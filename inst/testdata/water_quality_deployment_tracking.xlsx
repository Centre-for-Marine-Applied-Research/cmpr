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R:\tracking_sheets\metadata_tracking\"/>
    </mc:Choice>
  </mc:AlternateContent>
  <xr:revisionPtr revIDLastSave="0" documentId="13_ncr:1_{3A60A3A8-FCFC-4F06-92E8-9CFC76F34477}" xr6:coauthVersionLast="47" xr6:coauthVersionMax="47" xr10:uidLastSave="{00000000-0000-0000-0000-000000000000}"/>
  <bookViews>
    <workbookView xWindow="-28920" yWindow="-360" windowWidth="29040" windowHeight="15720" xr2:uid="{00000000-000D-0000-FFFF-FFFF00000000}"/>
  </bookViews>
  <sheets>
    <sheet name="tracker" sheetId="1" r:id="rId1"/>
    <sheet name="station_waterbody_county" sheetId="6" r:id="rId2"/>
    <sheet name="column_key" sheetId="4" r:id="rId3"/>
  </sheets>
  <definedNames>
    <definedName name="_xlnm._FilterDatabase" localSheetId="1" hidden="1">station_waterbody_county!$A$1:$I$225</definedName>
    <definedName name="_xlnm._FilterDatabase" localSheetId="0" hidden="1">tracker!$B$1:$AR$5</definedName>
    <definedName name="STATION_LIST">#REF!</definedName>
    <definedName name="WATERBODY_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7" i="1" l="1"/>
  <c r="C887" i="1"/>
  <c r="D886" i="1"/>
  <c r="C886" i="1"/>
  <c r="D885" i="1"/>
  <c r="C885" i="1"/>
  <c r="D884" i="1"/>
  <c r="C884" i="1"/>
  <c r="D883" i="1"/>
  <c r="C883" i="1"/>
  <c r="D881" i="1"/>
  <c r="C881" i="1"/>
  <c r="D880" i="1"/>
  <c r="C880" i="1"/>
  <c r="D879" i="1"/>
  <c r="C879" i="1"/>
  <c r="D878" i="1"/>
  <c r="C878" i="1"/>
  <c r="D877" i="1"/>
  <c r="C877" i="1"/>
  <c r="D875" i="1"/>
  <c r="C875" i="1"/>
  <c r="D874" i="1"/>
  <c r="C874" i="1"/>
  <c r="D873" i="1"/>
  <c r="C873" i="1"/>
  <c r="D872" i="1"/>
  <c r="C872" i="1"/>
  <c r="D871" i="1"/>
  <c r="C871" i="1"/>
  <c r="D869" i="1"/>
  <c r="C869" i="1"/>
  <c r="D868" i="1"/>
  <c r="C868" i="1"/>
  <c r="D867" i="1"/>
  <c r="C867" i="1"/>
  <c r="D866" i="1"/>
  <c r="C866" i="1"/>
  <c r="D864" i="1"/>
  <c r="C864" i="1"/>
  <c r="D863" i="1"/>
  <c r="C863" i="1"/>
  <c r="D862" i="1"/>
  <c r="C862" i="1"/>
  <c r="D861" i="1"/>
  <c r="C861" i="1"/>
  <c r="D859" i="1"/>
  <c r="C859" i="1"/>
  <c r="D858" i="1"/>
  <c r="C858" i="1"/>
  <c r="D857" i="1"/>
  <c r="C857" i="1"/>
  <c r="D856" i="1"/>
  <c r="C856" i="1"/>
  <c r="D854" i="1"/>
  <c r="C854" i="1"/>
  <c r="D853" i="1"/>
  <c r="C853" i="1"/>
  <c r="D852" i="1"/>
  <c r="C852" i="1"/>
  <c r="D851" i="1"/>
  <c r="C851" i="1"/>
  <c r="D850" i="1"/>
  <c r="C850" i="1"/>
  <c r="D841" i="1" l="1"/>
  <c r="C841" i="1"/>
  <c r="D840" i="1"/>
  <c r="C840" i="1"/>
  <c r="D839" i="1"/>
  <c r="C839" i="1"/>
  <c r="D838" i="1"/>
  <c r="C838" i="1"/>
  <c r="D837" i="1"/>
  <c r="C837" i="1"/>
  <c r="D836" i="1"/>
  <c r="C836" i="1"/>
  <c r="D835" i="1"/>
  <c r="C835" i="1"/>
  <c r="D834" i="1"/>
  <c r="C834" i="1"/>
  <c r="D833" i="1"/>
  <c r="C833" i="1"/>
  <c r="D831" i="1"/>
  <c r="C831" i="1"/>
  <c r="D830" i="1"/>
  <c r="C830" i="1"/>
  <c r="D591" i="1"/>
  <c r="C591" i="1"/>
  <c r="D590" i="1"/>
  <c r="C590" i="1"/>
  <c r="D589" i="1"/>
  <c r="C589" i="1"/>
  <c r="D588" i="1"/>
  <c r="C588" i="1"/>
  <c r="D587" i="1"/>
  <c r="C587" i="1"/>
  <c r="D719" i="1"/>
  <c r="C719" i="1"/>
  <c r="D718" i="1"/>
  <c r="C718" i="1"/>
  <c r="D717" i="1"/>
  <c r="C717" i="1"/>
  <c r="D716" i="1"/>
  <c r="C716" i="1"/>
  <c r="D715" i="1"/>
  <c r="C715" i="1"/>
  <c r="D714" i="1"/>
  <c r="C714" i="1"/>
  <c r="D388" i="1"/>
  <c r="C388" i="1"/>
  <c r="D387" i="1"/>
  <c r="C387" i="1"/>
  <c r="D386" i="1"/>
  <c r="C386" i="1"/>
  <c r="D385" i="1"/>
  <c r="C385" i="1"/>
  <c r="D384" i="1"/>
  <c r="C384" i="1"/>
  <c r="D383" i="1"/>
  <c r="C383" i="1"/>
  <c r="C382" i="1"/>
  <c r="C713" i="1"/>
  <c r="C586" i="1"/>
  <c r="D382" i="1"/>
  <c r="D713" i="1"/>
  <c r="D586" i="1"/>
  <c r="C829" i="1"/>
  <c r="C832" i="1"/>
  <c r="C842" i="1"/>
  <c r="D829" i="1"/>
  <c r="D832" i="1"/>
  <c r="D842" i="1"/>
  <c r="C843" i="1"/>
  <c r="C844" i="1"/>
  <c r="C845" i="1"/>
  <c r="C846" i="1"/>
  <c r="C847" i="1"/>
  <c r="C848" i="1"/>
  <c r="C849" i="1"/>
  <c r="C855" i="1"/>
  <c r="D844" i="1"/>
  <c r="D845" i="1"/>
  <c r="D846" i="1"/>
  <c r="D847" i="1"/>
  <c r="D848" i="1"/>
  <c r="D849" i="1"/>
  <c r="D855" i="1"/>
  <c r="C860" i="1"/>
  <c r="C865" i="1"/>
  <c r="C870" i="1"/>
  <c r="C876" i="1"/>
  <c r="D860" i="1"/>
  <c r="D865" i="1"/>
  <c r="D870" i="1"/>
  <c r="D876" i="1"/>
  <c r="C882" i="1"/>
  <c r="C888" i="1"/>
  <c r="C889" i="1"/>
  <c r="C890" i="1"/>
  <c r="C891" i="1"/>
  <c r="C892" i="1"/>
  <c r="C893" i="1"/>
  <c r="D882" i="1"/>
  <c r="D888" i="1"/>
  <c r="D889" i="1"/>
  <c r="D890" i="1"/>
  <c r="D891" i="1"/>
  <c r="D892" i="1"/>
  <c r="D893" i="1"/>
  <c r="C894" i="1"/>
  <c r="C895" i="1"/>
  <c r="C896" i="1"/>
  <c r="C897" i="1"/>
  <c r="C898" i="1"/>
  <c r="C899" i="1"/>
  <c r="C900" i="1"/>
  <c r="C901" i="1"/>
  <c r="C902" i="1"/>
  <c r="C903" i="1"/>
  <c r="C904" i="1"/>
  <c r="C905" i="1"/>
  <c r="C906" i="1"/>
  <c r="C907" i="1"/>
  <c r="C908" i="1"/>
  <c r="C909" i="1"/>
  <c r="C910" i="1"/>
  <c r="D894" i="1"/>
  <c r="D895" i="1"/>
  <c r="D896" i="1"/>
  <c r="D897" i="1"/>
  <c r="D898" i="1"/>
  <c r="D899" i="1"/>
  <c r="D900" i="1"/>
  <c r="D901" i="1"/>
  <c r="D902" i="1"/>
  <c r="D903" i="1"/>
  <c r="D904" i="1"/>
  <c r="D905" i="1"/>
  <c r="D906" i="1"/>
  <c r="D907" i="1"/>
  <c r="D908" i="1"/>
  <c r="D909" i="1"/>
  <c r="D910" i="1"/>
  <c r="C911" i="1"/>
  <c r="C912" i="1"/>
  <c r="C913" i="1"/>
  <c r="C914" i="1"/>
  <c r="C915" i="1"/>
  <c r="C916" i="1"/>
  <c r="C917" i="1"/>
  <c r="C918" i="1"/>
  <c r="C919" i="1"/>
  <c r="C920" i="1"/>
  <c r="C921" i="1"/>
  <c r="C922" i="1"/>
  <c r="C923" i="1"/>
  <c r="C924" i="1"/>
  <c r="C925" i="1"/>
  <c r="C926" i="1"/>
  <c r="C927" i="1"/>
  <c r="D911" i="1"/>
  <c r="D912" i="1"/>
  <c r="D913" i="1"/>
  <c r="D914" i="1"/>
  <c r="D915" i="1"/>
  <c r="D916" i="1"/>
  <c r="D917" i="1"/>
  <c r="D918" i="1"/>
  <c r="D919" i="1"/>
  <c r="D920" i="1"/>
  <c r="D921" i="1"/>
  <c r="D922" i="1"/>
  <c r="D923" i="1"/>
  <c r="D924" i="1"/>
  <c r="D925" i="1"/>
  <c r="D926" i="1"/>
  <c r="D927" i="1"/>
  <c r="C928" i="1"/>
  <c r="C929" i="1"/>
  <c r="C930" i="1"/>
  <c r="C931" i="1"/>
  <c r="C932" i="1"/>
  <c r="C933" i="1"/>
  <c r="C934" i="1"/>
  <c r="C935" i="1"/>
  <c r="C936" i="1"/>
  <c r="C937" i="1"/>
  <c r="C938" i="1"/>
  <c r="C939" i="1"/>
  <c r="C940" i="1"/>
  <c r="C941" i="1"/>
  <c r="C942" i="1"/>
  <c r="C943" i="1"/>
  <c r="C944" i="1"/>
  <c r="D928" i="1"/>
  <c r="D929" i="1"/>
  <c r="D930" i="1"/>
  <c r="D931" i="1"/>
  <c r="D932" i="1"/>
  <c r="D933" i="1"/>
  <c r="D934" i="1"/>
  <c r="D935" i="1"/>
  <c r="D936" i="1"/>
  <c r="D937" i="1"/>
  <c r="D938" i="1"/>
  <c r="D939" i="1"/>
  <c r="D940" i="1"/>
  <c r="D941" i="1"/>
  <c r="D942" i="1"/>
  <c r="D943" i="1"/>
  <c r="D944" i="1"/>
  <c r="C945" i="1"/>
  <c r="C946" i="1"/>
  <c r="C947" i="1"/>
  <c r="C948" i="1"/>
  <c r="C949" i="1"/>
  <c r="C950" i="1"/>
  <c r="C951" i="1"/>
  <c r="C952" i="1"/>
  <c r="C953" i="1"/>
  <c r="C954" i="1"/>
  <c r="C955" i="1"/>
  <c r="C956" i="1"/>
  <c r="C957" i="1"/>
  <c r="C958" i="1"/>
  <c r="C959" i="1"/>
  <c r="C960" i="1"/>
  <c r="C961" i="1"/>
  <c r="D945" i="1"/>
  <c r="D946" i="1"/>
  <c r="D947" i="1"/>
  <c r="D948" i="1"/>
  <c r="D949" i="1"/>
  <c r="D950" i="1"/>
  <c r="D951" i="1"/>
  <c r="D952" i="1"/>
  <c r="D953" i="1"/>
  <c r="D954" i="1"/>
  <c r="D955" i="1"/>
  <c r="D956" i="1"/>
  <c r="D957" i="1"/>
  <c r="D958" i="1"/>
  <c r="D959" i="1"/>
  <c r="D960" i="1"/>
  <c r="D961" i="1"/>
  <c r="C962" i="1"/>
  <c r="C963" i="1"/>
  <c r="C964" i="1"/>
  <c r="C965" i="1"/>
  <c r="C966" i="1"/>
  <c r="C967" i="1"/>
  <c r="C968" i="1"/>
  <c r="C969" i="1"/>
  <c r="C970" i="1"/>
  <c r="C971" i="1"/>
  <c r="C972" i="1"/>
  <c r="C973" i="1"/>
  <c r="C974" i="1"/>
  <c r="C975" i="1"/>
  <c r="C976" i="1"/>
  <c r="C977" i="1"/>
  <c r="C978" i="1"/>
  <c r="D962" i="1"/>
  <c r="D963" i="1"/>
  <c r="D964" i="1"/>
  <c r="D965" i="1"/>
  <c r="D966" i="1"/>
  <c r="D967" i="1"/>
  <c r="D968" i="1"/>
  <c r="D969" i="1"/>
  <c r="D970" i="1"/>
  <c r="D971" i="1"/>
  <c r="D972" i="1"/>
  <c r="D973" i="1"/>
  <c r="D974" i="1"/>
  <c r="D975" i="1"/>
  <c r="D976" i="1"/>
  <c r="D977" i="1"/>
  <c r="D978" i="1"/>
  <c r="C979" i="1"/>
  <c r="C980" i="1"/>
  <c r="C981" i="1"/>
  <c r="C982" i="1"/>
  <c r="C983" i="1"/>
  <c r="C984" i="1"/>
  <c r="D979" i="1"/>
  <c r="D980" i="1"/>
  <c r="D981" i="1"/>
  <c r="D982" i="1"/>
  <c r="D983" i="1"/>
  <c r="D984" i="1"/>
  <c r="C985" i="1"/>
  <c r="C986" i="1"/>
  <c r="C987" i="1"/>
  <c r="C988" i="1"/>
  <c r="C989" i="1"/>
  <c r="C990" i="1"/>
  <c r="D985" i="1"/>
  <c r="D986" i="1"/>
  <c r="D987" i="1"/>
  <c r="D988" i="1"/>
  <c r="D989" i="1"/>
  <c r="D990" i="1"/>
  <c r="C991" i="1"/>
  <c r="C992" i="1"/>
  <c r="C993" i="1"/>
  <c r="C994" i="1"/>
  <c r="C995" i="1"/>
  <c r="C996" i="1"/>
  <c r="D991" i="1"/>
  <c r="D992" i="1"/>
  <c r="D993" i="1"/>
  <c r="D994" i="1"/>
  <c r="D995" i="1"/>
  <c r="D996" i="1"/>
  <c r="C997" i="1"/>
  <c r="C998" i="1"/>
  <c r="C999" i="1"/>
  <c r="C1000" i="1"/>
  <c r="C1001" i="1"/>
  <c r="C1002" i="1"/>
  <c r="D997" i="1"/>
  <c r="D998" i="1"/>
  <c r="D999" i="1"/>
  <c r="D1000" i="1"/>
  <c r="D1001" i="1"/>
  <c r="D1002" i="1"/>
  <c r="C1003" i="1"/>
  <c r="C1004" i="1"/>
  <c r="C1005" i="1"/>
  <c r="C1006" i="1"/>
  <c r="C1007" i="1"/>
  <c r="C1008" i="1"/>
  <c r="D1003" i="1"/>
  <c r="D1004" i="1"/>
  <c r="D1005" i="1"/>
  <c r="D1006" i="1"/>
  <c r="D1007" i="1"/>
  <c r="D1008" i="1"/>
  <c r="C1009" i="1"/>
  <c r="C1010" i="1"/>
  <c r="C1011" i="1"/>
  <c r="C1012" i="1"/>
  <c r="C1013" i="1"/>
  <c r="C1014" i="1"/>
  <c r="D1009" i="1"/>
  <c r="D1010" i="1"/>
  <c r="D1011" i="1"/>
  <c r="D1012" i="1"/>
  <c r="D1013" i="1"/>
  <c r="D1014" i="1"/>
  <c r="C1015" i="1"/>
  <c r="C1016" i="1"/>
  <c r="C1017" i="1"/>
  <c r="C1018" i="1"/>
  <c r="C1019" i="1"/>
  <c r="C1020" i="1"/>
  <c r="D1015" i="1"/>
  <c r="D1016" i="1"/>
  <c r="D1017" i="1"/>
  <c r="D1018" i="1"/>
  <c r="D1019" i="1"/>
  <c r="D1020" i="1"/>
  <c r="C1021" i="1"/>
  <c r="C1022" i="1"/>
  <c r="C1023" i="1"/>
  <c r="C1024" i="1"/>
  <c r="C1025" i="1"/>
  <c r="C1026" i="1"/>
  <c r="D1021" i="1"/>
  <c r="D1022" i="1"/>
  <c r="D1023" i="1"/>
  <c r="D1024" i="1"/>
  <c r="D1025" i="1"/>
  <c r="D1026" i="1"/>
  <c r="C1027" i="1"/>
  <c r="C1028" i="1"/>
  <c r="C1029" i="1"/>
  <c r="C1030" i="1"/>
  <c r="C1031" i="1"/>
  <c r="C1032" i="1"/>
  <c r="D1027" i="1"/>
  <c r="D1028" i="1"/>
  <c r="D1029" i="1"/>
  <c r="D1030" i="1"/>
  <c r="D1031" i="1"/>
  <c r="D1032" i="1"/>
  <c r="C1033" i="1"/>
  <c r="C1034" i="1"/>
  <c r="C1035" i="1"/>
  <c r="C1036" i="1"/>
  <c r="C1037" i="1"/>
  <c r="C1038" i="1"/>
  <c r="D1033" i="1"/>
  <c r="D1034" i="1"/>
  <c r="D1035" i="1"/>
  <c r="D1036" i="1"/>
  <c r="D1037" i="1"/>
  <c r="D1038" i="1"/>
  <c r="C1039" i="1"/>
  <c r="C1040" i="1"/>
  <c r="C1041" i="1"/>
  <c r="C1042" i="1"/>
  <c r="C1043" i="1"/>
  <c r="C1044" i="1"/>
  <c r="D1039" i="1"/>
  <c r="D1040" i="1"/>
  <c r="D1041" i="1"/>
  <c r="D1042" i="1"/>
  <c r="D1043" i="1"/>
  <c r="D1044" i="1"/>
  <c r="C1045" i="1"/>
  <c r="C1046" i="1"/>
  <c r="C1047" i="1"/>
  <c r="C1048" i="1"/>
  <c r="C1049" i="1"/>
  <c r="C1050" i="1"/>
  <c r="D1045" i="1"/>
  <c r="D1046" i="1"/>
  <c r="D1047" i="1"/>
  <c r="D1048" i="1"/>
  <c r="D1049" i="1"/>
  <c r="D1050" i="1"/>
  <c r="C1051" i="1"/>
  <c r="C1052" i="1"/>
  <c r="C1053" i="1"/>
  <c r="C1054" i="1"/>
  <c r="C1055" i="1"/>
  <c r="C1056" i="1"/>
  <c r="D1051" i="1"/>
  <c r="D1052" i="1"/>
  <c r="D1053" i="1"/>
  <c r="D1054" i="1"/>
  <c r="D1055" i="1"/>
  <c r="D1056" i="1"/>
  <c r="C1057" i="1"/>
  <c r="C1058" i="1"/>
  <c r="C1059" i="1"/>
  <c r="C1060" i="1"/>
  <c r="C1061" i="1"/>
  <c r="C1062" i="1"/>
  <c r="D1057" i="1"/>
  <c r="D1058" i="1"/>
  <c r="D1059" i="1"/>
  <c r="D1060" i="1"/>
  <c r="D1061" i="1"/>
  <c r="D1062" i="1"/>
  <c r="C1063" i="1"/>
  <c r="D1063" i="1"/>
  <c r="C1064" i="1"/>
  <c r="D1064" i="1"/>
  <c r="C1065" i="1"/>
  <c r="D1065" i="1"/>
  <c r="C1066" i="1"/>
  <c r="D1066" i="1"/>
  <c r="C1067" i="1"/>
  <c r="D1067" i="1"/>
  <c r="C1068" i="1"/>
  <c r="D1068" i="1"/>
  <c r="C1069" i="1"/>
  <c r="D1069" i="1"/>
  <c r="C1070" i="1"/>
  <c r="D1070" i="1"/>
  <c r="C1071" i="1"/>
  <c r="D1071" i="1"/>
  <c r="C1072" i="1"/>
  <c r="D1072" i="1"/>
  <c r="C1073" i="1"/>
  <c r="D1073" i="1"/>
  <c r="C1074" i="1"/>
  <c r="D1074" i="1"/>
  <c r="C1075" i="1"/>
  <c r="D1075" i="1"/>
  <c r="C1076" i="1"/>
  <c r="D1076" i="1"/>
  <c r="C194" i="1"/>
  <c r="D194" i="1"/>
  <c r="D793" i="1"/>
  <c r="C793" i="1"/>
  <c r="D792" i="1"/>
  <c r="C792" i="1"/>
  <c r="D791" i="1"/>
  <c r="C791" i="1"/>
  <c r="D790" i="1"/>
  <c r="C790" i="1"/>
  <c r="D350" i="1"/>
  <c r="C350" i="1"/>
  <c r="D349" i="1"/>
  <c r="C349" i="1"/>
  <c r="D348" i="1"/>
  <c r="C348" i="1"/>
  <c r="D347" i="1"/>
  <c r="C347" i="1"/>
  <c r="D541" i="1"/>
  <c r="C541" i="1"/>
  <c r="D540" i="1"/>
  <c r="C540" i="1"/>
  <c r="D539" i="1"/>
  <c r="C539" i="1"/>
  <c r="D828" i="1"/>
  <c r="C828" i="1"/>
  <c r="D827" i="1"/>
  <c r="C827" i="1"/>
  <c r="D826" i="1"/>
  <c r="C826" i="1"/>
  <c r="D825" i="1"/>
  <c r="C825" i="1"/>
  <c r="D33" i="1"/>
  <c r="C33" i="1"/>
  <c r="D32" i="1"/>
  <c r="C32" i="1"/>
  <c r="D72" i="1"/>
  <c r="C72" i="1"/>
  <c r="D71" i="1"/>
  <c r="C71" i="1"/>
  <c r="D70" i="1"/>
  <c r="C70" i="1"/>
  <c r="D69" i="1"/>
  <c r="C69" i="1"/>
  <c r="C31" i="1"/>
  <c r="D31" i="1"/>
  <c r="C824" i="1"/>
  <c r="D824" i="1"/>
  <c r="C538" i="1"/>
  <c r="D538" i="1"/>
  <c r="C346" i="1"/>
  <c r="D346" i="1"/>
  <c r="D167" i="1"/>
  <c r="C167" i="1"/>
  <c r="D166" i="1"/>
  <c r="C166" i="1"/>
  <c r="D165" i="1"/>
  <c r="C165" i="1"/>
  <c r="D164" i="1"/>
  <c r="C164" i="1"/>
  <c r="D163" i="1"/>
  <c r="C163" i="1"/>
  <c r="D162" i="1"/>
  <c r="C162" i="1"/>
  <c r="D161" i="1"/>
  <c r="C161" i="1"/>
  <c r="D160" i="1"/>
  <c r="C160" i="1"/>
  <c r="C159" i="1"/>
  <c r="D159" i="1"/>
  <c r="C68" i="1"/>
  <c r="D68" i="1"/>
  <c r="C789" i="1"/>
  <c r="D789" i="1"/>
  <c r="D486" i="1"/>
  <c r="C486" i="1"/>
  <c r="D485" i="1"/>
  <c r="C485" i="1"/>
  <c r="D484" i="1"/>
  <c r="C484" i="1"/>
  <c r="D483" i="1"/>
  <c r="C483" i="1"/>
  <c r="D482" i="1"/>
  <c r="C482" i="1"/>
  <c r="C1077" i="1"/>
  <c r="D1077" i="1"/>
  <c r="D481" i="1"/>
  <c r="C481" i="1"/>
  <c r="D480" i="1"/>
  <c r="C480" i="1"/>
  <c r="D479" i="1"/>
  <c r="C479" i="1"/>
  <c r="D520" i="1"/>
  <c r="C520" i="1"/>
  <c r="D519" i="1"/>
  <c r="C519" i="1"/>
  <c r="D518" i="1"/>
  <c r="C518" i="1"/>
  <c r="D517" i="1"/>
  <c r="C517" i="1"/>
  <c r="D516" i="1"/>
  <c r="C516" i="1"/>
  <c r="D515" i="1"/>
  <c r="C515" i="1"/>
  <c r="D514" i="1"/>
  <c r="C514" i="1"/>
  <c r="D513" i="1"/>
  <c r="C513" i="1"/>
  <c r="D512" i="1"/>
  <c r="C512" i="1"/>
  <c r="D477" i="1"/>
  <c r="C477" i="1"/>
  <c r="D476" i="1"/>
  <c r="C476" i="1"/>
  <c r="D475" i="1"/>
  <c r="C475" i="1"/>
  <c r="D474" i="1"/>
  <c r="C474" i="1"/>
  <c r="D473" i="1"/>
  <c r="C473" i="1"/>
  <c r="D472" i="1"/>
  <c r="C472" i="1"/>
  <c r="D244" i="1"/>
  <c r="C244" i="1"/>
  <c r="D243" i="1"/>
  <c r="C243" i="1"/>
  <c r="D242" i="1"/>
  <c r="C242" i="1"/>
  <c r="D241" i="1"/>
  <c r="C241" i="1"/>
  <c r="D810" i="1"/>
  <c r="C810" i="1"/>
  <c r="D809" i="1"/>
  <c r="C809" i="1"/>
  <c r="D808" i="1"/>
  <c r="C808" i="1"/>
  <c r="D807" i="1"/>
  <c r="C807" i="1"/>
  <c r="D437" i="1"/>
  <c r="C437" i="1"/>
  <c r="D436" i="1"/>
  <c r="C436" i="1"/>
  <c r="D435" i="1"/>
  <c r="C435" i="1"/>
  <c r="D434" i="1"/>
  <c r="C434" i="1"/>
  <c r="D692" i="1"/>
  <c r="C692" i="1"/>
  <c r="D691" i="1"/>
  <c r="C691" i="1"/>
  <c r="D690" i="1"/>
  <c r="C690" i="1"/>
  <c r="D689" i="1"/>
  <c r="C689" i="1"/>
  <c r="D688" i="1"/>
  <c r="C688" i="1"/>
  <c r="D114" i="1"/>
  <c r="C114" i="1"/>
  <c r="D113" i="1"/>
  <c r="C113" i="1"/>
  <c r="D112" i="1"/>
  <c r="C112" i="1"/>
  <c r="D111" i="1"/>
  <c r="C111" i="1"/>
  <c r="D255" i="1"/>
  <c r="C255" i="1"/>
  <c r="D254" i="1"/>
  <c r="C254" i="1"/>
  <c r="D253" i="1"/>
  <c r="C253" i="1"/>
  <c r="D252" i="1"/>
  <c r="C252" i="1"/>
  <c r="D670" i="1"/>
  <c r="C670" i="1"/>
  <c r="D669" i="1"/>
  <c r="C669" i="1"/>
  <c r="D668" i="1"/>
  <c r="C668" i="1"/>
  <c r="D667" i="1"/>
  <c r="C667" i="1"/>
  <c r="D666" i="1"/>
  <c r="C666" i="1"/>
  <c r="C478" i="1"/>
  <c r="D478" i="1"/>
  <c r="C240" i="1"/>
  <c r="D240" i="1"/>
  <c r="C511" i="1"/>
  <c r="D511" i="1"/>
  <c r="C806" i="1"/>
  <c r="D806" i="1"/>
  <c r="C471" i="1"/>
  <c r="D471" i="1"/>
  <c r="C687" i="1"/>
  <c r="D687" i="1"/>
  <c r="C665" i="1"/>
  <c r="D665" i="1"/>
  <c r="C251" i="1"/>
  <c r="D251" i="1"/>
  <c r="C110" i="1"/>
  <c r="D110" i="1"/>
  <c r="C433" i="1"/>
  <c r="D433" i="1"/>
  <c r="D823" i="1"/>
  <c r="C823" i="1"/>
  <c r="C343" i="1"/>
  <c r="D343" i="1"/>
  <c r="C344" i="1"/>
  <c r="D344" i="1"/>
  <c r="C345" i="1"/>
  <c r="D345" i="1"/>
  <c r="C342" i="1"/>
  <c r="D342" i="1"/>
  <c r="D804" i="1"/>
  <c r="C804" i="1"/>
  <c r="D803" i="1"/>
  <c r="C803" i="1"/>
  <c r="D802" i="1"/>
  <c r="C802" i="1"/>
  <c r="D801" i="1"/>
  <c r="C801" i="1"/>
  <c r="D800" i="1"/>
  <c r="C800" i="1"/>
  <c r="D784" i="1"/>
  <c r="C784" i="1"/>
  <c r="D783" i="1"/>
  <c r="C783" i="1"/>
  <c r="D782" i="1"/>
  <c r="C782" i="1"/>
  <c r="D123" i="1"/>
  <c r="C123" i="1"/>
  <c r="D122" i="1"/>
  <c r="C122" i="1"/>
  <c r="D121" i="1"/>
  <c r="C121" i="1"/>
  <c r="D120" i="1"/>
  <c r="C120" i="1"/>
  <c r="D119" i="1"/>
  <c r="C11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87" i="1"/>
  <c r="D88" i="1"/>
  <c r="D89" i="1"/>
  <c r="D90" i="1"/>
  <c r="D91" i="1"/>
  <c r="D92" i="1"/>
  <c r="D93" i="1"/>
  <c r="D94" i="1"/>
  <c r="D73" i="1"/>
  <c r="D74" i="1"/>
  <c r="D75" i="1"/>
  <c r="D76" i="1"/>
  <c r="D77" i="1"/>
  <c r="D78" i="1"/>
  <c r="D79" i="1"/>
  <c r="D80" i="1"/>
  <c r="D81" i="1"/>
  <c r="D82" i="1"/>
  <c r="D83" i="1"/>
  <c r="D84" i="1"/>
  <c r="D85" i="1"/>
  <c r="D86" i="1"/>
  <c r="D103" i="1"/>
  <c r="D107" i="1"/>
  <c r="D108" i="1"/>
  <c r="D109" i="1"/>
  <c r="D104" i="1"/>
  <c r="D105" i="1"/>
  <c r="D106" i="1"/>
  <c r="D115" i="1"/>
  <c r="D116" i="1"/>
  <c r="D117" i="1"/>
  <c r="D126" i="1"/>
  <c r="D127" i="1"/>
  <c r="D124" i="1"/>
  <c r="D125" i="1"/>
  <c r="D128" i="1"/>
  <c r="D129" i="1"/>
  <c r="D133" i="1"/>
  <c r="D134" i="1"/>
  <c r="D135" i="1"/>
  <c r="D136" i="1"/>
  <c r="D137" i="1"/>
  <c r="D138" i="1"/>
  <c r="D139" i="1"/>
  <c r="D140" i="1"/>
  <c r="D141" i="1"/>
  <c r="D142" i="1"/>
  <c r="D143" i="1"/>
  <c r="D144" i="1"/>
  <c r="D145" i="1"/>
  <c r="D146" i="1"/>
  <c r="D148" i="1"/>
  <c r="D147" i="1"/>
  <c r="D174" i="1"/>
  <c r="D175" i="1"/>
  <c r="D176" i="1"/>
  <c r="D177" i="1"/>
  <c r="D178" i="1"/>
  <c r="D179" i="1"/>
  <c r="D168" i="1"/>
  <c r="D169" i="1"/>
  <c r="D170" i="1"/>
  <c r="D171" i="1"/>
  <c r="D172" i="1"/>
  <c r="D173" i="1"/>
  <c r="D180" i="1"/>
  <c r="D181" i="1"/>
  <c r="D182" i="1"/>
  <c r="D183" i="1"/>
  <c r="D184" i="1"/>
  <c r="D185" i="1"/>
  <c r="D186" i="1"/>
  <c r="D195" i="1"/>
  <c r="D196" i="1"/>
  <c r="D197" i="1"/>
  <c r="D198" i="1"/>
  <c r="D199" i="1"/>
  <c r="D200" i="1"/>
  <c r="D201" i="1"/>
  <c r="D202" i="1"/>
  <c r="D203" i="1"/>
  <c r="D204" i="1"/>
  <c r="D205" i="1"/>
  <c r="D206" i="1"/>
  <c r="D207" i="1"/>
  <c r="D208" i="1"/>
  <c r="D209" i="1"/>
  <c r="D220" i="1"/>
  <c r="D221" i="1"/>
  <c r="D222" i="1"/>
  <c r="D223" i="1"/>
  <c r="D224" i="1"/>
  <c r="D225" i="1"/>
  <c r="D210" i="1"/>
  <c r="D211" i="1"/>
  <c r="D212" i="1"/>
  <c r="D213" i="1"/>
  <c r="D214" i="1"/>
  <c r="D215" i="1"/>
  <c r="D216" i="1"/>
  <c r="D217" i="1"/>
  <c r="D218" i="1"/>
  <c r="D219" i="1"/>
  <c r="D236" i="1"/>
  <c r="D237" i="1"/>
  <c r="D238" i="1"/>
  <c r="D239" i="1"/>
  <c r="D232" i="1"/>
  <c r="D233" i="1"/>
  <c r="D234" i="1"/>
  <c r="D235" i="1"/>
  <c r="D245" i="1"/>
  <c r="D246" i="1"/>
  <c r="D247" i="1"/>
  <c r="D248" i="1"/>
  <c r="D249" i="1"/>
  <c r="D250" i="1"/>
  <c r="D260" i="1"/>
  <c r="D261" i="1"/>
  <c r="D262" i="1"/>
  <c r="D263" i="1"/>
  <c r="D256" i="1"/>
  <c r="D257" i="1"/>
  <c r="D258" i="1"/>
  <c r="D259" i="1"/>
  <c r="D269" i="1"/>
  <c r="D270" i="1"/>
  <c r="D271" i="1"/>
  <c r="D272" i="1"/>
  <c r="D273" i="1"/>
  <c r="D282" i="1"/>
  <c r="D283" i="1"/>
  <c r="D284" i="1"/>
  <c r="D285" i="1"/>
  <c r="D286" i="1"/>
  <c r="D274" i="1"/>
  <c r="D275" i="1"/>
  <c r="D276" i="1"/>
  <c r="D277" i="1"/>
  <c r="D278" i="1"/>
  <c r="D279" i="1"/>
  <c r="D280" i="1"/>
  <c r="D281" i="1"/>
  <c r="D292" i="1"/>
  <c r="D293" i="1"/>
  <c r="D294" i="1"/>
  <c r="D299" i="1"/>
  <c r="D300" i="1"/>
  <c r="D301" i="1"/>
  <c r="D302" i="1"/>
  <c r="D295" i="1"/>
  <c r="D296" i="1"/>
  <c r="D297" i="1"/>
  <c r="D298" i="1"/>
  <c r="D303" i="1"/>
  <c r="D304" i="1"/>
  <c r="D305" i="1"/>
  <c r="D306" i="1"/>
  <c r="D319" i="1"/>
  <c r="D320" i="1"/>
  <c r="D321" i="1"/>
  <c r="D322" i="1"/>
  <c r="D323" i="1"/>
  <c r="D324" i="1"/>
  <c r="D325" i="1"/>
  <c r="D307" i="1"/>
  <c r="D308" i="1"/>
  <c r="D309" i="1"/>
  <c r="D310" i="1"/>
  <c r="D311" i="1"/>
  <c r="D312" i="1"/>
  <c r="D313" i="1"/>
  <c r="D314" i="1"/>
  <c r="D315" i="1"/>
  <c r="D316" i="1"/>
  <c r="D317" i="1"/>
  <c r="D318" i="1"/>
  <c r="D333" i="1"/>
  <c r="D334" i="1"/>
  <c r="D335" i="1"/>
  <c r="D336" i="1"/>
  <c r="D337" i="1"/>
  <c r="D338" i="1"/>
  <c r="D339" i="1"/>
  <c r="D340" i="1"/>
  <c r="D341" i="1"/>
  <c r="D357" i="1"/>
  <c r="D358" i="1"/>
  <c r="D359" i="1"/>
  <c r="D360" i="1"/>
  <c r="D361" i="1"/>
  <c r="D362" i="1"/>
  <c r="D363" i="1"/>
  <c r="D351" i="1"/>
  <c r="D352" i="1"/>
  <c r="D353" i="1"/>
  <c r="D354" i="1"/>
  <c r="D355" i="1"/>
  <c r="D356" i="1"/>
  <c r="D364" i="1"/>
  <c r="D365" i="1"/>
  <c r="D366" i="1"/>
  <c r="D367" i="1"/>
  <c r="D368" i="1"/>
  <c r="D369" i="1"/>
  <c r="D376" i="1"/>
  <c r="D377" i="1"/>
  <c r="D378" i="1"/>
  <c r="D379" i="1"/>
  <c r="D380" i="1"/>
  <c r="D381" i="1"/>
  <c r="D370" i="1"/>
  <c r="D371" i="1"/>
  <c r="D372" i="1"/>
  <c r="D373" i="1"/>
  <c r="D374" i="1"/>
  <c r="D375"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9" i="1"/>
  <c r="D430" i="1"/>
  <c r="D431" i="1"/>
  <c r="D432" i="1"/>
  <c r="D424" i="1"/>
  <c r="D425" i="1"/>
  <c r="D426" i="1"/>
  <c r="D427" i="1"/>
  <c r="D428" i="1"/>
  <c r="D438" i="1"/>
  <c r="D439" i="1"/>
  <c r="D440" i="1"/>
  <c r="D441" i="1"/>
  <c r="D442" i="1"/>
  <c r="D443" i="1"/>
  <c r="D444" i="1"/>
  <c r="D457" i="1"/>
  <c r="D458" i="1"/>
  <c r="D459" i="1"/>
  <c r="D460" i="1"/>
  <c r="D461" i="1"/>
  <c r="D462" i="1"/>
  <c r="D463" i="1"/>
  <c r="D445" i="1"/>
  <c r="D446" i="1"/>
  <c r="D447" i="1"/>
  <c r="D448" i="1"/>
  <c r="D449" i="1"/>
  <c r="D450" i="1"/>
  <c r="D451" i="1"/>
  <c r="D452" i="1"/>
  <c r="D453" i="1"/>
  <c r="D454" i="1"/>
  <c r="D455" i="1"/>
  <c r="D456" i="1"/>
  <c r="D490" i="1"/>
  <c r="D491" i="1"/>
  <c r="D492" i="1"/>
  <c r="D487" i="1"/>
  <c r="D488" i="1"/>
  <c r="D489" i="1"/>
  <c r="D493" i="1"/>
  <c r="D494" i="1"/>
  <c r="D503" i="1"/>
  <c r="D504" i="1"/>
  <c r="D505" i="1"/>
  <c r="D506" i="1"/>
  <c r="D495" i="1"/>
  <c r="D496" i="1"/>
  <c r="D497" i="1"/>
  <c r="D498" i="1"/>
  <c r="D499" i="1"/>
  <c r="D500" i="1"/>
  <c r="D501" i="1"/>
  <c r="D502" i="1"/>
  <c r="D521" i="1"/>
  <c r="D522" i="1"/>
  <c r="D523" i="1"/>
  <c r="D527" i="1"/>
  <c r="D528" i="1"/>
  <c r="D529" i="1"/>
  <c r="D530" i="1"/>
  <c r="D531" i="1"/>
  <c r="D532" i="1"/>
  <c r="D533" i="1"/>
  <c r="D534" i="1"/>
  <c r="D535" i="1"/>
  <c r="D536" i="1"/>
  <c r="D537" i="1"/>
  <c r="D542" i="1"/>
  <c r="D543" i="1"/>
  <c r="D544" i="1"/>
  <c r="D557" i="1"/>
  <c r="D558" i="1"/>
  <c r="D559" i="1"/>
  <c r="D560" i="1"/>
  <c r="D561" i="1"/>
  <c r="D562" i="1"/>
  <c r="D563" i="1"/>
  <c r="D545" i="1"/>
  <c r="D546" i="1"/>
  <c r="D547" i="1"/>
  <c r="D548" i="1"/>
  <c r="D549" i="1"/>
  <c r="D550" i="1"/>
  <c r="D551" i="1"/>
  <c r="D552" i="1"/>
  <c r="D553" i="1"/>
  <c r="D554" i="1"/>
  <c r="D555" i="1"/>
  <c r="D556" i="1"/>
  <c r="D571" i="1"/>
  <c r="D572" i="1"/>
  <c r="D573" i="1"/>
  <c r="D574" i="1"/>
  <c r="D575" i="1"/>
  <c r="D581" i="1"/>
  <c r="D582" i="1"/>
  <c r="D583" i="1"/>
  <c r="D584" i="1"/>
  <c r="D585" i="1"/>
  <c r="D576" i="1"/>
  <c r="D577" i="1"/>
  <c r="D578" i="1"/>
  <c r="D579" i="1"/>
  <c r="D580" i="1"/>
  <c r="D592" i="1"/>
  <c r="D593" i="1"/>
  <c r="D594" i="1"/>
  <c r="D595" i="1"/>
  <c r="D596" i="1"/>
  <c r="D597" i="1"/>
  <c r="D598" i="1"/>
  <c r="D599" i="1"/>
  <c r="D600" i="1"/>
  <c r="D601" i="1"/>
  <c r="D602" i="1"/>
  <c r="D603" i="1"/>
  <c r="D604" i="1"/>
  <c r="D605" i="1"/>
  <c r="D606" i="1"/>
  <c r="D607" i="1"/>
  <c r="D608" i="1"/>
  <c r="D609" i="1"/>
  <c r="D610" i="1"/>
  <c r="D616" i="1"/>
  <c r="D632" i="1"/>
  <c r="D617" i="1"/>
  <c r="D618" i="1"/>
  <c r="D619" i="1"/>
  <c r="D611" i="1"/>
  <c r="D612" i="1"/>
  <c r="D613" i="1"/>
  <c r="D614" i="1"/>
  <c r="D615" i="1"/>
  <c r="D620" i="1"/>
  <c r="D621" i="1"/>
  <c r="D622" i="1"/>
  <c r="D623" i="1"/>
  <c r="D624" i="1"/>
  <c r="D625" i="1"/>
  <c r="D633" i="1"/>
  <c r="D634" i="1"/>
  <c r="D641" i="1"/>
  <c r="D642" i="1"/>
  <c r="D643" i="1"/>
  <c r="D635" i="1"/>
  <c r="D636" i="1"/>
  <c r="D637" i="1"/>
  <c r="D638" i="1"/>
  <c r="D639" i="1"/>
  <c r="D640" i="1"/>
  <c r="D648" i="1"/>
  <c r="D649" i="1"/>
  <c r="D650" i="1"/>
  <c r="D651" i="1"/>
  <c r="D652" i="1"/>
  <c r="D653" i="1"/>
  <c r="D654" i="1"/>
  <c r="D655" i="1"/>
  <c r="D656" i="1"/>
  <c r="D657" i="1"/>
  <c r="D658" i="1"/>
  <c r="D659" i="1"/>
  <c r="D660" i="1"/>
  <c r="D661" i="1"/>
  <c r="D662" i="1"/>
  <c r="D663" i="1"/>
  <c r="D664" i="1"/>
  <c r="D671" i="1"/>
  <c r="D672" i="1"/>
  <c r="D673" i="1"/>
  <c r="D674" i="1"/>
  <c r="D675" i="1"/>
  <c r="D676" i="1"/>
  <c r="D677" i="1"/>
  <c r="D678" i="1"/>
  <c r="D679" i="1"/>
  <c r="D680" i="1"/>
  <c r="D681" i="1"/>
  <c r="D682" i="1"/>
  <c r="D683" i="1"/>
  <c r="D684" i="1"/>
  <c r="D685" i="1"/>
  <c r="D686" i="1"/>
  <c r="D703" i="1"/>
  <c r="D704" i="1"/>
  <c r="D705" i="1"/>
  <c r="D706" i="1"/>
  <c r="D707" i="1"/>
  <c r="D708" i="1"/>
  <c r="D709" i="1"/>
  <c r="D710" i="1"/>
  <c r="D711" i="1"/>
  <c r="D712" i="1"/>
  <c r="D693" i="1"/>
  <c r="D694" i="1"/>
  <c r="D695" i="1"/>
  <c r="D696" i="1"/>
  <c r="D697" i="1"/>
  <c r="D698" i="1"/>
  <c r="D699" i="1"/>
  <c r="D700" i="1"/>
  <c r="D701" i="1"/>
  <c r="D702" i="1"/>
  <c r="D720" i="1"/>
  <c r="D721" i="1"/>
  <c r="D722" i="1"/>
  <c r="D723" i="1"/>
  <c r="D724" i="1"/>
  <c r="D725" i="1"/>
  <c r="D726" i="1"/>
  <c r="D727" i="1"/>
  <c r="D728" i="1"/>
  <c r="D737" i="1"/>
  <c r="D738" i="1"/>
  <c r="D729" i="1"/>
  <c r="D730" i="1"/>
  <c r="D731" i="1"/>
  <c r="D732" i="1"/>
  <c r="D733" i="1"/>
  <c r="D734" i="1"/>
  <c r="D735" i="1"/>
  <c r="D736" i="1"/>
  <c r="D739" i="1"/>
  <c r="D740" i="1"/>
  <c r="D741" i="1"/>
  <c r="D742" i="1"/>
  <c r="D743" i="1"/>
  <c r="D744" i="1"/>
  <c r="D745" i="1"/>
  <c r="D746" i="1"/>
  <c r="D747" i="1"/>
  <c r="D748" i="1"/>
  <c r="D764" i="1"/>
  <c r="D765" i="1"/>
  <c r="D766" i="1"/>
  <c r="D767" i="1"/>
  <c r="D768" i="1"/>
  <c r="D769" i="1"/>
  <c r="D770" i="1"/>
  <c r="D752" i="1"/>
  <c r="D753" i="1"/>
  <c r="D754" i="1"/>
  <c r="D755" i="1"/>
  <c r="D756" i="1"/>
  <c r="D757" i="1"/>
  <c r="D758" i="1"/>
  <c r="D759" i="1"/>
  <c r="D760" i="1"/>
  <c r="D761" i="1"/>
  <c r="D762" i="1"/>
  <c r="D763" i="1"/>
  <c r="D785" i="1"/>
  <c r="D786" i="1"/>
  <c r="D787" i="1"/>
  <c r="D788" i="1"/>
  <c r="D805" i="1"/>
  <c r="D811" i="1"/>
  <c r="D812" i="1"/>
  <c r="D813" i="1"/>
  <c r="D814" i="1"/>
  <c r="D815" i="1"/>
  <c r="D816" i="1"/>
  <c r="D817" i="1"/>
  <c r="D818" i="1"/>
  <c r="D819" i="1"/>
  <c r="D820" i="1"/>
  <c r="D821" i="1"/>
  <c r="D822" i="1"/>
  <c r="D226" i="1"/>
  <c r="D227" i="1"/>
  <c r="D228" i="1"/>
  <c r="D229" i="1"/>
  <c r="D230" i="1"/>
  <c r="D231" i="1"/>
  <c r="D326" i="1"/>
  <c r="D327" i="1"/>
  <c r="D328" i="1"/>
  <c r="D329" i="1"/>
  <c r="D330" i="1"/>
  <c r="D331" i="1"/>
  <c r="D332" i="1"/>
  <c r="D771" i="1"/>
  <c r="D772" i="1"/>
  <c r="D773" i="1"/>
  <c r="D774" i="1"/>
  <c r="D775" i="1"/>
  <c r="D776" i="1"/>
  <c r="D777" i="1"/>
  <c r="D149" i="1"/>
  <c r="D150" i="1"/>
  <c r="D95" i="1"/>
  <c r="D96" i="1"/>
  <c r="D97" i="1"/>
  <c r="D98" i="1"/>
  <c r="D99" i="1"/>
  <c r="D100" i="1"/>
  <c r="D101" i="1"/>
  <c r="D102" i="1"/>
  <c r="D626" i="1"/>
  <c r="D627" i="1"/>
  <c r="D628" i="1"/>
  <c r="D629" i="1"/>
  <c r="D630" i="1"/>
  <c r="D631" i="1"/>
  <c r="D464" i="1"/>
  <c r="D465" i="1"/>
  <c r="D466" i="1"/>
  <c r="D467" i="1"/>
  <c r="D468" i="1"/>
  <c r="D469" i="1"/>
  <c r="D470" i="1"/>
  <c r="D564" i="1"/>
  <c r="D565" i="1"/>
  <c r="D566" i="1"/>
  <c r="D567" i="1"/>
  <c r="D568" i="1"/>
  <c r="D569" i="1"/>
  <c r="D570" i="1"/>
  <c r="D187" i="1"/>
  <c r="D188" i="1"/>
  <c r="D189" i="1"/>
  <c r="D190" i="1"/>
  <c r="D191" i="1"/>
  <c r="D192" i="1"/>
  <c r="D193" i="1"/>
  <c r="D524" i="1"/>
  <c r="D525" i="1"/>
  <c r="D526" i="1"/>
  <c r="D749" i="1"/>
  <c r="D750" i="1"/>
  <c r="D751" i="1"/>
  <c r="D264" i="1"/>
  <c r="D265" i="1"/>
  <c r="D266" i="1"/>
  <c r="D267" i="1"/>
  <c r="D268" i="1"/>
  <c r="D287" i="1"/>
  <c r="D288" i="1"/>
  <c r="D289" i="1"/>
  <c r="D290" i="1"/>
  <c r="D291" i="1"/>
  <c r="D644" i="1"/>
  <c r="D645" i="1"/>
  <c r="D646" i="1"/>
  <c r="D647" i="1"/>
  <c r="D130" i="1"/>
  <c r="D131" i="1"/>
  <c r="D132" i="1"/>
  <c r="D507" i="1"/>
  <c r="D508" i="1"/>
  <c r="D509" i="1"/>
  <c r="D510" i="1"/>
  <c r="D778" i="1"/>
  <c r="D779" i="1"/>
  <c r="D780" i="1"/>
  <c r="D151" i="1"/>
  <c r="D152" i="1"/>
  <c r="D153" i="1"/>
  <c r="D154" i="1"/>
  <c r="D155" i="1"/>
  <c r="D156" i="1"/>
  <c r="D157" i="1"/>
  <c r="D158" i="1"/>
  <c r="D794" i="1"/>
  <c r="D795" i="1"/>
  <c r="D796" i="1"/>
  <c r="D797" i="1"/>
  <c r="D798" i="1"/>
  <c r="D389" i="1"/>
  <c r="D390" i="1"/>
  <c r="D391" i="1"/>
  <c r="D392" i="1"/>
  <c r="D393" i="1"/>
  <c r="D394" i="1"/>
  <c r="D395" i="1"/>
  <c r="D396" i="1"/>
  <c r="D118" i="1"/>
  <c r="D781" i="1"/>
  <c r="D799" i="1"/>
  <c r="C799" i="1"/>
  <c r="C781" i="1"/>
  <c r="C396" i="1"/>
  <c r="C395" i="1"/>
  <c r="C394" i="1"/>
  <c r="C393" i="1"/>
  <c r="C392" i="1"/>
  <c r="C391" i="1"/>
  <c r="C390" i="1"/>
  <c r="C798" i="1"/>
  <c r="C797" i="1"/>
  <c r="C796" i="1"/>
  <c r="C795" i="1"/>
  <c r="C158" i="1"/>
  <c r="C157" i="1"/>
  <c r="C156" i="1"/>
  <c r="C155" i="1"/>
  <c r="C154" i="1"/>
  <c r="C153" i="1"/>
  <c r="C152" i="1"/>
  <c r="C780" i="1"/>
  <c r="C779" i="1"/>
  <c r="C647" i="1"/>
  <c r="C268" i="1"/>
  <c r="C267" i="1"/>
  <c r="C266" i="1"/>
  <c r="C265" i="1"/>
  <c r="C751" i="1"/>
  <c r="C750" i="1"/>
  <c r="C526" i="1"/>
  <c r="C525" i="1"/>
  <c r="C631" i="1"/>
  <c r="C630" i="1"/>
  <c r="C629" i="1"/>
  <c r="C628" i="1"/>
  <c r="C627" i="1"/>
  <c r="C102" i="1"/>
  <c r="C101" i="1"/>
  <c r="C100" i="1"/>
  <c r="C99" i="1"/>
  <c r="C98" i="1"/>
  <c r="C97" i="1"/>
  <c r="C96" i="1"/>
  <c r="C150" i="1"/>
  <c r="C772" i="1"/>
  <c r="C773" i="1"/>
  <c r="C774" i="1"/>
  <c r="C775" i="1"/>
  <c r="C776" i="1"/>
  <c r="C777" i="1"/>
  <c r="C327" i="1"/>
  <c r="C328" i="1"/>
  <c r="C329" i="1"/>
  <c r="C330" i="1"/>
  <c r="C331" i="1"/>
  <c r="C332" i="1"/>
  <c r="C227" i="1" l="1"/>
  <c r="C228" i="1"/>
  <c r="C229" i="1"/>
  <c r="C230" i="1"/>
  <c r="C231" i="1"/>
  <c r="C226"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87" i="1"/>
  <c r="C88" i="1"/>
  <c r="C89" i="1"/>
  <c r="C90" i="1"/>
  <c r="C91" i="1"/>
  <c r="C92" i="1"/>
  <c r="C93" i="1"/>
  <c r="C94" i="1"/>
  <c r="C73" i="1"/>
  <c r="C74" i="1"/>
  <c r="C75" i="1"/>
  <c r="C76" i="1"/>
  <c r="C77" i="1"/>
  <c r="C78" i="1"/>
  <c r="C79" i="1"/>
  <c r="C80" i="1"/>
  <c r="C81" i="1"/>
  <c r="C82" i="1"/>
  <c r="C83" i="1"/>
  <c r="C84" i="1"/>
  <c r="C85" i="1"/>
  <c r="C86" i="1"/>
  <c r="C103" i="1"/>
  <c r="C107" i="1"/>
  <c r="C108" i="1"/>
  <c r="C109" i="1"/>
  <c r="C104" i="1"/>
  <c r="C105" i="1"/>
  <c r="C106" i="1"/>
  <c r="C115" i="1"/>
  <c r="C116" i="1"/>
  <c r="C117" i="1"/>
  <c r="C128" i="1"/>
  <c r="C129" i="1"/>
  <c r="C124" i="1"/>
  <c r="C125" i="1"/>
  <c r="C126" i="1"/>
  <c r="C127" i="1"/>
  <c r="C133" i="1"/>
  <c r="C134" i="1"/>
  <c r="C135" i="1"/>
  <c r="C136" i="1"/>
  <c r="C137" i="1"/>
  <c r="C138" i="1"/>
  <c r="C139" i="1"/>
  <c r="C140" i="1"/>
  <c r="C141" i="1"/>
  <c r="C142" i="1"/>
  <c r="C143" i="1"/>
  <c r="C144" i="1"/>
  <c r="C145" i="1"/>
  <c r="C146" i="1"/>
  <c r="C148" i="1"/>
  <c r="C147" i="1"/>
  <c r="C180" i="1"/>
  <c r="C181" i="1"/>
  <c r="C182" i="1"/>
  <c r="C183" i="1"/>
  <c r="C184" i="1"/>
  <c r="C185" i="1"/>
  <c r="C186" i="1"/>
  <c r="C168" i="1"/>
  <c r="C169" i="1"/>
  <c r="C170" i="1"/>
  <c r="C171" i="1"/>
  <c r="C172" i="1"/>
  <c r="C173" i="1"/>
  <c r="C174" i="1"/>
  <c r="C175" i="1"/>
  <c r="C176" i="1"/>
  <c r="C177" i="1"/>
  <c r="C178" i="1"/>
  <c r="C179" i="1"/>
  <c r="C195" i="1"/>
  <c r="C196" i="1"/>
  <c r="C197" i="1"/>
  <c r="C198" i="1"/>
  <c r="C199" i="1"/>
  <c r="C200" i="1"/>
  <c r="C201" i="1"/>
  <c r="C202" i="1"/>
  <c r="C203" i="1"/>
  <c r="C204" i="1"/>
  <c r="C205" i="1"/>
  <c r="C206" i="1"/>
  <c r="C207" i="1"/>
  <c r="C208" i="1"/>
  <c r="C209" i="1"/>
  <c r="C220" i="1"/>
  <c r="C221" i="1"/>
  <c r="C222" i="1"/>
  <c r="C223" i="1"/>
  <c r="C224" i="1"/>
  <c r="C225" i="1"/>
  <c r="C210" i="1"/>
  <c r="C211" i="1"/>
  <c r="C212" i="1"/>
  <c r="C213" i="1"/>
  <c r="C214" i="1"/>
  <c r="C215" i="1"/>
  <c r="C216" i="1"/>
  <c r="C217" i="1"/>
  <c r="C218" i="1"/>
  <c r="C219" i="1"/>
  <c r="C236" i="1"/>
  <c r="C237" i="1"/>
  <c r="C238" i="1"/>
  <c r="C239" i="1"/>
  <c r="C232" i="1"/>
  <c r="C233" i="1"/>
  <c r="C234" i="1"/>
  <c r="C235" i="1"/>
  <c r="C245" i="1"/>
  <c r="C246" i="1"/>
  <c r="C247" i="1"/>
  <c r="C248" i="1"/>
  <c r="C249" i="1"/>
  <c r="C250" i="1"/>
  <c r="C269" i="1"/>
  <c r="C270" i="1"/>
  <c r="C271" i="1"/>
  <c r="C272" i="1"/>
  <c r="C273" i="1"/>
  <c r="C256" i="1"/>
  <c r="C257" i="1"/>
  <c r="C258" i="1"/>
  <c r="C259" i="1"/>
  <c r="C260" i="1"/>
  <c r="C261" i="1"/>
  <c r="C262" i="1"/>
  <c r="C263" i="1"/>
  <c r="C282" i="1"/>
  <c r="C283" i="1"/>
  <c r="C284" i="1"/>
  <c r="C285" i="1"/>
  <c r="C286" i="1"/>
  <c r="C274" i="1"/>
  <c r="C275" i="1"/>
  <c r="C276" i="1"/>
  <c r="C277" i="1"/>
  <c r="C278" i="1"/>
  <c r="C279" i="1"/>
  <c r="C280" i="1"/>
  <c r="C281" i="1"/>
  <c r="C292" i="1"/>
  <c r="C293" i="1"/>
  <c r="C294" i="1"/>
  <c r="C299" i="1"/>
  <c r="C300" i="1"/>
  <c r="C301" i="1"/>
  <c r="C302" i="1"/>
  <c r="C295" i="1"/>
  <c r="C296" i="1"/>
  <c r="C297" i="1"/>
  <c r="C298" i="1"/>
  <c r="C303" i="1"/>
  <c r="C304" i="1"/>
  <c r="C305" i="1"/>
  <c r="C306" i="1"/>
  <c r="C319" i="1"/>
  <c r="C320" i="1"/>
  <c r="C321" i="1"/>
  <c r="C322" i="1"/>
  <c r="C323" i="1"/>
  <c r="C324" i="1"/>
  <c r="C325" i="1"/>
  <c r="C307" i="1"/>
  <c r="C308" i="1"/>
  <c r="C309" i="1"/>
  <c r="C310" i="1"/>
  <c r="C311" i="1"/>
  <c r="C312" i="1"/>
  <c r="C313" i="1"/>
  <c r="C314" i="1"/>
  <c r="C315" i="1"/>
  <c r="C316" i="1"/>
  <c r="C317" i="1"/>
  <c r="C318" i="1"/>
  <c r="C333" i="1"/>
  <c r="C334" i="1"/>
  <c r="C335" i="1"/>
  <c r="C336" i="1"/>
  <c r="C337" i="1"/>
  <c r="C338" i="1"/>
  <c r="C339" i="1"/>
  <c r="C340" i="1"/>
  <c r="C341" i="1"/>
  <c r="C357" i="1"/>
  <c r="C358" i="1"/>
  <c r="C359" i="1"/>
  <c r="C360" i="1"/>
  <c r="C361" i="1"/>
  <c r="C362" i="1"/>
  <c r="C363" i="1"/>
  <c r="C351" i="1"/>
  <c r="C352" i="1"/>
  <c r="C353" i="1"/>
  <c r="C354" i="1"/>
  <c r="C355" i="1"/>
  <c r="C356" i="1"/>
  <c r="C364" i="1"/>
  <c r="C365" i="1"/>
  <c r="C366" i="1"/>
  <c r="C367" i="1"/>
  <c r="C368" i="1"/>
  <c r="C369" i="1"/>
  <c r="C376" i="1"/>
  <c r="C377" i="1"/>
  <c r="C378" i="1"/>
  <c r="C379" i="1"/>
  <c r="C380" i="1"/>
  <c r="C381" i="1"/>
  <c r="C370" i="1"/>
  <c r="C371" i="1"/>
  <c r="C372" i="1"/>
  <c r="C373" i="1"/>
  <c r="C374" i="1"/>
  <c r="C375"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9" i="1"/>
  <c r="C430" i="1"/>
  <c r="C431" i="1"/>
  <c r="C432" i="1"/>
  <c r="C424" i="1"/>
  <c r="C425" i="1"/>
  <c r="C426" i="1"/>
  <c r="C427" i="1"/>
  <c r="C428" i="1"/>
  <c r="C438" i="1"/>
  <c r="C439" i="1"/>
  <c r="C440" i="1"/>
  <c r="C441" i="1"/>
  <c r="C442" i="1"/>
  <c r="C443" i="1"/>
  <c r="C444" i="1"/>
  <c r="C457" i="1"/>
  <c r="C458" i="1"/>
  <c r="C459" i="1"/>
  <c r="C460" i="1"/>
  <c r="C461" i="1"/>
  <c r="C462" i="1"/>
  <c r="C463" i="1"/>
  <c r="C445" i="1"/>
  <c r="C446" i="1"/>
  <c r="C447" i="1"/>
  <c r="C448" i="1"/>
  <c r="C449" i="1"/>
  <c r="C450" i="1"/>
  <c r="C451" i="1"/>
  <c r="C452" i="1"/>
  <c r="C453" i="1"/>
  <c r="C454" i="1"/>
  <c r="C455" i="1"/>
  <c r="C456" i="1"/>
  <c r="C490" i="1"/>
  <c r="C491" i="1"/>
  <c r="C492" i="1"/>
  <c r="C487" i="1"/>
  <c r="C488" i="1"/>
  <c r="C489" i="1"/>
  <c r="C493" i="1"/>
  <c r="C494" i="1"/>
  <c r="C503" i="1"/>
  <c r="C504" i="1"/>
  <c r="C505" i="1"/>
  <c r="C506" i="1"/>
  <c r="C495" i="1"/>
  <c r="C496" i="1"/>
  <c r="C497" i="1"/>
  <c r="C498" i="1"/>
  <c r="C499" i="1"/>
  <c r="C500" i="1"/>
  <c r="C501" i="1"/>
  <c r="C502" i="1"/>
  <c r="C521" i="1"/>
  <c r="C522" i="1"/>
  <c r="C523" i="1"/>
  <c r="C527" i="1"/>
  <c r="C528" i="1"/>
  <c r="C529" i="1"/>
  <c r="C530" i="1"/>
  <c r="C531" i="1"/>
  <c r="C532" i="1"/>
  <c r="C533" i="1"/>
  <c r="C534" i="1"/>
  <c r="C535" i="1"/>
  <c r="C536" i="1"/>
  <c r="C537" i="1"/>
  <c r="C542" i="1"/>
  <c r="C543" i="1"/>
  <c r="C544" i="1"/>
  <c r="C557" i="1"/>
  <c r="C558" i="1"/>
  <c r="C559" i="1"/>
  <c r="C560" i="1"/>
  <c r="C561" i="1"/>
  <c r="C562" i="1"/>
  <c r="C563" i="1"/>
  <c r="C545" i="1"/>
  <c r="C546" i="1"/>
  <c r="C547" i="1"/>
  <c r="C548" i="1"/>
  <c r="C549" i="1"/>
  <c r="C550" i="1"/>
  <c r="C551" i="1"/>
  <c r="C552" i="1"/>
  <c r="C553" i="1"/>
  <c r="C554" i="1"/>
  <c r="C555" i="1"/>
  <c r="C556" i="1"/>
  <c r="C571" i="1"/>
  <c r="C572" i="1"/>
  <c r="C573" i="1"/>
  <c r="C574" i="1"/>
  <c r="C575" i="1"/>
  <c r="C581" i="1"/>
  <c r="C582" i="1"/>
  <c r="C583" i="1"/>
  <c r="C584" i="1"/>
  <c r="C585" i="1"/>
  <c r="C576" i="1"/>
  <c r="C577" i="1"/>
  <c r="C578" i="1"/>
  <c r="C579" i="1"/>
  <c r="C580" i="1"/>
  <c r="C592" i="1"/>
  <c r="C593" i="1"/>
  <c r="C594" i="1"/>
  <c r="C595" i="1"/>
  <c r="C596" i="1"/>
  <c r="C597" i="1"/>
  <c r="C598" i="1"/>
  <c r="C599" i="1"/>
  <c r="C600" i="1"/>
  <c r="C601" i="1"/>
  <c r="C602" i="1"/>
  <c r="C603" i="1"/>
  <c r="C604" i="1"/>
  <c r="C605" i="1"/>
  <c r="C606" i="1"/>
  <c r="C607" i="1"/>
  <c r="C608" i="1"/>
  <c r="C609" i="1"/>
  <c r="C610" i="1"/>
  <c r="C620" i="1"/>
  <c r="C621" i="1"/>
  <c r="C622" i="1"/>
  <c r="C623" i="1"/>
  <c r="C624" i="1"/>
  <c r="C625" i="1"/>
  <c r="C611" i="1"/>
  <c r="C612" i="1"/>
  <c r="C613" i="1"/>
  <c r="C614" i="1"/>
  <c r="C615" i="1"/>
  <c r="C616" i="1"/>
  <c r="C632" i="1"/>
  <c r="C617" i="1"/>
  <c r="C618" i="1"/>
  <c r="C619" i="1"/>
  <c r="C633" i="1"/>
  <c r="C634" i="1"/>
  <c r="C641" i="1"/>
  <c r="C642" i="1"/>
  <c r="C643" i="1"/>
  <c r="C635" i="1"/>
  <c r="C636" i="1"/>
  <c r="C637" i="1"/>
  <c r="C638" i="1"/>
  <c r="C639" i="1"/>
  <c r="C640" i="1"/>
  <c r="C648" i="1"/>
  <c r="C649" i="1"/>
  <c r="C650" i="1"/>
  <c r="C651" i="1"/>
  <c r="C652" i="1"/>
  <c r="C653" i="1"/>
  <c r="C654" i="1"/>
  <c r="C655" i="1"/>
  <c r="C656" i="1"/>
  <c r="C657" i="1"/>
  <c r="C658" i="1"/>
  <c r="C659" i="1"/>
  <c r="C660" i="1"/>
  <c r="C661" i="1"/>
  <c r="C662" i="1"/>
  <c r="C663" i="1"/>
  <c r="C664" i="1"/>
  <c r="C671" i="1"/>
  <c r="C672" i="1"/>
  <c r="C673" i="1"/>
  <c r="C674" i="1"/>
  <c r="C675" i="1"/>
  <c r="C676" i="1"/>
  <c r="C677" i="1"/>
  <c r="C678" i="1"/>
  <c r="C679" i="1"/>
  <c r="C680" i="1"/>
  <c r="C681" i="1"/>
  <c r="C682" i="1"/>
  <c r="C683" i="1"/>
  <c r="C684" i="1"/>
  <c r="C685" i="1"/>
  <c r="C686" i="1"/>
  <c r="C703" i="1"/>
  <c r="C704" i="1"/>
  <c r="C705" i="1"/>
  <c r="C706" i="1"/>
  <c r="C707" i="1"/>
  <c r="C708" i="1"/>
  <c r="C709" i="1"/>
  <c r="C710" i="1"/>
  <c r="C711" i="1"/>
  <c r="C712" i="1"/>
  <c r="C693" i="1"/>
  <c r="C694" i="1"/>
  <c r="C695" i="1"/>
  <c r="C696" i="1"/>
  <c r="C697" i="1"/>
  <c r="C698" i="1"/>
  <c r="C699" i="1"/>
  <c r="C700" i="1"/>
  <c r="C701" i="1"/>
  <c r="C702" i="1"/>
  <c r="C720" i="1"/>
  <c r="C721" i="1"/>
  <c r="C722" i="1"/>
  <c r="C723" i="1"/>
  <c r="C724" i="1"/>
  <c r="C725" i="1"/>
  <c r="C726" i="1"/>
  <c r="C727" i="1"/>
  <c r="C728" i="1"/>
  <c r="C737" i="1"/>
  <c r="C738" i="1"/>
  <c r="C729" i="1"/>
  <c r="C730" i="1"/>
  <c r="C731" i="1"/>
  <c r="C732" i="1"/>
  <c r="C733" i="1"/>
  <c r="C734" i="1"/>
  <c r="C735" i="1"/>
  <c r="C736" i="1"/>
  <c r="C739" i="1"/>
  <c r="C740" i="1"/>
  <c r="C741" i="1"/>
  <c r="C742" i="1"/>
  <c r="C743" i="1"/>
  <c r="C744" i="1"/>
  <c r="C745" i="1"/>
  <c r="C746" i="1"/>
  <c r="C747" i="1"/>
  <c r="C748" i="1"/>
  <c r="C764" i="1"/>
  <c r="C765" i="1"/>
  <c r="C766" i="1"/>
  <c r="C767" i="1"/>
  <c r="C768" i="1"/>
  <c r="C769" i="1"/>
  <c r="C770" i="1"/>
  <c r="C752" i="1"/>
  <c r="C753" i="1"/>
  <c r="C754" i="1"/>
  <c r="C755" i="1"/>
  <c r="C756" i="1"/>
  <c r="C757" i="1"/>
  <c r="C758" i="1"/>
  <c r="C759" i="1"/>
  <c r="C760" i="1"/>
  <c r="C761" i="1"/>
  <c r="C762" i="1"/>
  <c r="C763" i="1"/>
  <c r="C785" i="1"/>
  <c r="C786" i="1"/>
  <c r="C787" i="1"/>
  <c r="C788" i="1"/>
  <c r="C805" i="1"/>
  <c r="C811" i="1"/>
  <c r="C812" i="1"/>
  <c r="C813" i="1"/>
  <c r="C814" i="1"/>
  <c r="C815" i="1"/>
  <c r="C816" i="1"/>
  <c r="C817" i="1"/>
  <c r="C818" i="1"/>
  <c r="C819" i="1"/>
  <c r="C820" i="1"/>
  <c r="C821" i="1"/>
  <c r="C822" i="1"/>
  <c r="C326" i="1"/>
  <c r="C771" i="1"/>
  <c r="C149" i="1"/>
  <c r="C95" i="1"/>
  <c r="C626" i="1"/>
  <c r="C464" i="1"/>
  <c r="C465" i="1"/>
  <c r="C466" i="1"/>
  <c r="C467" i="1"/>
  <c r="C468" i="1"/>
  <c r="C469" i="1"/>
  <c r="C470" i="1"/>
  <c r="C564" i="1"/>
  <c r="C565" i="1"/>
  <c r="C566" i="1"/>
  <c r="C567" i="1"/>
  <c r="C568" i="1"/>
  <c r="C569" i="1"/>
  <c r="C570" i="1"/>
  <c r="C187" i="1"/>
  <c r="C188" i="1"/>
  <c r="C189" i="1"/>
  <c r="C190" i="1"/>
  <c r="C191" i="1"/>
  <c r="C192" i="1"/>
  <c r="C193" i="1"/>
  <c r="C524" i="1"/>
  <c r="C749" i="1"/>
  <c r="C264" i="1"/>
  <c r="C287" i="1"/>
  <c r="C288" i="1"/>
  <c r="C289" i="1"/>
  <c r="C290" i="1"/>
  <c r="C291" i="1"/>
  <c r="C644" i="1"/>
  <c r="C645" i="1"/>
  <c r="C646" i="1"/>
  <c r="C130" i="1"/>
  <c r="C131" i="1"/>
  <c r="C132" i="1"/>
  <c r="C507" i="1"/>
  <c r="C508" i="1"/>
  <c r="C509" i="1"/>
  <c r="C510" i="1"/>
  <c r="C778" i="1"/>
  <c r="C151" i="1"/>
  <c r="C794" i="1"/>
  <c r="C389" i="1"/>
  <c r="C118" i="1"/>
  <c r="C2" i="1"/>
</calcChain>
</file>

<file path=xl/sharedStrings.xml><?xml version="1.0" encoding="utf-8"?>
<sst xmlns="http://schemas.openxmlformats.org/spreadsheetml/2006/main" count="15549" uniqueCount="1482">
  <si>
    <t>waterbody</t>
  </si>
  <si>
    <t>station</t>
  </si>
  <si>
    <t>lease</t>
  </si>
  <si>
    <t>status</t>
  </si>
  <si>
    <t>deployment_date</t>
  </si>
  <si>
    <t>deployment_time_utc</t>
  </si>
  <si>
    <t>retrieval_date</t>
  </si>
  <si>
    <t>retrieval_time_utc</t>
  </si>
  <si>
    <t>deployment_latitude</t>
  </si>
  <si>
    <t>deployment_longitude</t>
  </si>
  <si>
    <t>retrieval_latitude</t>
  </si>
  <si>
    <t>retrieval_longitude</t>
  </si>
  <si>
    <t>sensor_type</t>
  </si>
  <si>
    <t>sensor_serial_number</t>
  </si>
  <si>
    <t>sensor_depth_m</t>
  </si>
  <si>
    <t>acoustic_release</t>
  </si>
  <si>
    <t>string_configuration</t>
  </si>
  <si>
    <t>sounding_m</t>
  </si>
  <si>
    <t>tide_correction_m</t>
  </si>
  <si>
    <t>deployment_tide_direction</t>
  </si>
  <si>
    <t>vr2ar_lug_height_above_seafloor_m</t>
  </si>
  <si>
    <t>anchor_type</t>
  </si>
  <si>
    <t>anchor_weight_kg</t>
  </si>
  <si>
    <t>primary_buoy_type</t>
  </si>
  <si>
    <t>secondary_buoy_type</t>
  </si>
  <si>
    <t>bottom_buoy_type</t>
  </si>
  <si>
    <t>biofouling_prevention</t>
  </si>
  <si>
    <t>deployment_attendant</t>
  </si>
  <si>
    <t>retrieval_attendant</t>
  </si>
  <si>
    <t>datum</t>
  </si>
  <si>
    <t>photos_taken</t>
  </si>
  <si>
    <t>notes</t>
  </si>
  <si>
    <t>Medway River</t>
  </si>
  <si>
    <t>Fryingpan Island</t>
  </si>
  <si>
    <t>deployed</t>
  </si>
  <si>
    <t>y</t>
  </si>
  <si>
    <t>sub-surface buoy</t>
  </si>
  <si>
    <t>7 rotors</t>
  </si>
  <si>
    <t>14" hard vinyl</t>
  </si>
  <si>
    <t>8" hard vinyl</t>
  </si>
  <si>
    <t>none</t>
  </si>
  <si>
    <t>Anne, SOAR</t>
  </si>
  <si>
    <t>VR2AR</t>
  </si>
  <si>
    <t>Country Harbour</t>
  </si>
  <si>
    <t>Marie Joseph Harbour</t>
  </si>
  <si>
    <t>Denas Pond</t>
  </si>
  <si>
    <t>Arichat Harbour</t>
  </si>
  <si>
    <t>St. Marys Bay</t>
  </si>
  <si>
    <t>Annapolis Basin</t>
  </si>
  <si>
    <t>Whitehead Harbour</t>
  </si>
  <si>
    <t>Sober Island Pond</t>
  </si>
  <si>
    <t>Mabou Harbour</t>
  </si>
  <si>
    <t>Whycocomagh Basin</t>
  </si>
  <si>
    <t>Whycocomagh Bay</t>
  </si>
  <si>
    <t>Grahams Cove</t>
  </si>
  <si>
    <t>Merigomish Harbour</t>
  </si>
  <si>
    <t>Indian Harbour</t>
  </si>
  <si>
    <t>Bras d'Or Lakes</t>
  </si>
  <si>
    <t>Green Cove</t>
  </si>
  <si>
    <t>Beaver Harbour</t>
  </si>
  <si>
    <t>Chebogue Harbour</t>
  </si>
  <si>
    <t>Salt Bay</t>
  </si>
  <si>
    <t>St. Margarets Bay</t>
  </si>
  <si>
    <t>Green Harbour</t>
  </si>
  <si>
    <t>Shoal Bay</t>
  </si>
  <si>
    <t>Woods Harbour</t>
  </si>
  <si>
    <t>Strait of Canso</t>
  </si>
  <si>
    <t>Lennox Passage</t>
  </si>
  <si>
    <t>Tor Bay</t>
  </si>
  <si>
    <t>Chedabucto Bay</t>
  </si>
  <si>
    <t>Sheet Harbour</t>
  </si>
  <si>
    <t>Mahone Bay</t>
  </si>
  <si>
    <t>Havre Boucher</t>
  </si>
  <si>
    <t>Negro Harbour</t>
  </si>
  <si>
    <t>Chance Harbour</t>
  </si>
  <si>
    <t>Lawrencetown Beach</t>
  </si>
  <si>
    <t>Bay of Rocks</t>
  </si>
  <si>
    <t>Sandy Bay</t>
  </si>
  <si>
    <t>Little Harbour</t>
  </si>
  <si>
    <t>Little Narrows</t>
  </si>
  <si>
    <t>Lobster Bay</t>
  </si>
  <si>
    <t>St. Marys River</t>
  </si>
  <si>
    <t>Dover Bay</t>
  </si>
  <si>
    <t>Tatamagouche Bay</t>
  </si>
  <si>
    <t>McNabs Bay</t>
  </si>
  <si>
    <t>Shelburne Harbour</t>
  </si>
  <si>
    <t>Fishermans Harbour</t>
  </si>
  <si>
    <t>Liverpool Bay</t>
  </si>
  <si>
    <t>Monks Head Harbour</t>
  </si>
  <si>
    <t>Aspy Bay</t>
  </si>
  <si>
    <t>Owls Head Bay</t>
  </si>
  <si>
    <t>French Channel</t>
  </si>
  <si>
    <t>Aspotogan Harbour</t>
  </si>
  <si>
    <t>Shad Bay</t>
  </si>
  <si>
    <t>Lamonts Cove</t>
  </si>
  <si>
    <t>Antigonish Harbour</t>
  </si>
  <si>
    <t>Spry Bay</t>
  </si>
  <si>
    <t>Port La Tour</t>
  </si>
  <si>
    <t>New Harbour</t>
  </si>
  <si>
    <t>Tracadie Harbour</t>
  </si>
  <si>
    <t>Caribou Harbour</t>
  </si>
  <si>
    <t>Wine Harbour</t>
  </si>
  <si>
    <t>Careys Cove</t>
  </si>
  <si>
    <t>0716 Center</t>
  </si>
  <si>
    <t>Aberdeen</t>
  </si>
  <si>
    <t>Antigonish 1</t>
  </si>
  <si>
    <t>Antigonish 2</t>
  </si>
  <si>
    <t>Antigonish 3</t>
  </si>
  <si>
    <t>Back Harbour</t>
  </si>
  <si>
    <t>Bald Rock</t>
  </si>
  <si>
    <t>Barachois</t>
  </si>
  <si>
    <t>Barren Island</t>
  </si>
  <si>
    <t>Bartletts Beach</t>
  </si>
  <si>
    <t>Beaver Point</t>
  </si>
  <si>
    <t>Big Pond Point</t>
  </si>
  <si>
    <t>Big Sluice</t>
  </si>
  <si>
    <t>Birchy Head</t>
  </si>
  <si>
    <t>Blue Island</t>
  </si>
  <si>
    <t>Borgles Island</t>
  </si>
  <si>
    <t>Burnt Island</t>
  </si>
  <si>
    <t>Camerons Cove</t>
  </si>
  <si>
    <t>Canso Lock</t>
  </si>
  <si>
    <t>Cape Auguet</t>
  </si>
  <si>
    <t>Cape Auguet Bay</t>
  </si>
  <si>
    <t>Captains Pond</t>
  </si>
  <si>
    <t>Cascarette Island</t>
  </si>
  <si>
    <t>Center Bay</t>
  </si>
  <si>
    <t>Centreville</t>
  </si>
  <si>
    <t>Centreville 1</t>
  </si>
  <si>
    <t>Church Point 1</t>
  </si>
  <si>
    <t>Church Point 2</t>
  </si>
  <si>
    <t>Cornwallis</t>
  </si>
  <si>
    <t>Deep Basin</t>
  </si>
  <si>
    <t>Denys Basin E</t>
  </si>
  <si>
    <t>Denys Basin W</t>
  </si>
  <si>
    <t>Dorts Cove</t>
  </si>
  <si>
    <t>Dorts Cove 1</t>
  </si>
  <si>
    <t>East Gibbs Island</t>
  </si>
  <si>
    <t>Eastern Passage</t>
  </si>
  <si>
    <t>Eddy Cove</t>
  </si>
  <si>
    <t>English Harbour</t>
  </si>
  <si>
    <t>Fishermans Island</t>
  </si>
  <si>
    <t>Flat Island</t>
  </si>
  <si>
    <t>Gabion Shoal</t>
  </si>
  <si>
    <t>Great Bras d'Or Channel NE-E</t>
  </si>
  <si>
    <t>Great Bras d'Or Channel NE-W</t>
  </si>
  <si>
    <t>Great Bras d'Or Channel SW-E</t>
  </si>
  <si>
    <t>Great Bras d'Or Channel SW-W</t>
  </si>
  <si>
    <t>Harbour Island</t>
  </si>
  <si>
    <t>Ile du Havre</t>
  </si>
  <si>
    <t>Ingomar</t>
  </si>
  <si>
    <t>Inner Harbour</t>
  </si>
  <si>
    <t>Jerseyman Island</t>
  </si>
  <si>
    <t>Jewers Bay</t>
  </si>
  <si>
    <t>Kavanagh Point</t>
  </si>
  <si>
    <t>Larrys River</t>
  </si>
  <si>
    <t>Les Rochers</t>
  </si>
  <si>
    <t>Lesser Hope Rock</t>
  </si>
  <si>
    <t>Little Bras d'Or Channel</t>
  </si>
  <si>
    <t>Little Narrows N</t>
  </si>
  <si>
    <t>Little Narrows S</t>
  </si>
  <si>
    <t>Little Rafuse Island</t>
  </si>
  <si>
    <t>Lobster Ledge</t>
  </si>
  <si>
    <t>Logger 1</t>
  </si>
  <si>
    <t>Logger 2</t>
  </si>
  <si>
    <t>Logger 3</t>
  </si>
  <si>
    <t>Long Beach</t>
  </si>
  <si>
    <t>Long Beach 1</t>
  </si>
  <si>
    <t>Long Island 1</t>
  </si>
  <si>
    <t>Long Island 2</t>
  </si>
  <si>
    <t>Lower St. Marys River</t>
  </si>
  <si>
    <t>Madeline Point</t>
  </si>
  <si>
    <t>Madeline Point 1</t>
  </si>
  <si>
    <t>Malagash</t>
  </si>
  <si>
    <t>McNabs Point 1</t>
  </si>
  <si>
    <t>McNabs Point 2</t>
  </si>
  <si>
    <t>McNabs Point 3</t>
  </si>
  <si>
    <t>McNutts Island</t>
  </si>
  <si>
    <t>Meal Rock</t>
  </si>
  <si>
    <t>Melmerby Beach</t>
  </si>
  <si>
    <t>Mersey Point</t>
  </si>
  <si>
    <t>Mid Bay</t>
  </si>
  <si>
    <t>Monks Head</t>
  </si>
  <si>
    <t>Moose Point</t>
  </si>
  <si>
    <t>Moose Point 1</t>
  </si>
  <si>
    <t>Morris Island</t>
  </si>
  <si>
    <t>Mussel Run</t>
  </si>
  <si>
    <t>North Harbour</t>
  </si>
  <si>
    <t>Northeast Branch</t>
  </si>
  <si>
    <t>Northwest Branch</t>
  </si>
  <si>
    <t>Nyanza Bay E</t>
  </si>
  <si>
    <t>Nyanza Bay W</t>
  </si>
  <si>
    <t>Old Point Channel</t>
  </si>
  <si>
    <t>Olding Island</t>
  </si>
  <si>
    <t>Owls Head</t>
  </si>
  <si>
    <t>Pirate Harbour</t>
  </si>
  <si>
    <t>Pulp Mill</t>
  </si>
  <si>
    <t>Ram Island</t>
  </si>
  <si>
    <t>Red Point</t>
  </si>
  <si>
    <t>Robinson Cove</t>
  </si>
  <si>
    <t>Rook Island</t>
  </si>
  <si>
    <t>Rook Island 1</t>
  </si>
  <si>
    <t>Roy Island 1</t>
  </si>
  <si>
    <t>Roy Island 2</t>
  </si>
  <si>
    <t>Roy Island 3</t>
  </si>
  <si>
    <t>Saddle Island</t>
  </si>
  <si>
    <t>Sandy Cove</t>
  </si>
  <si>
    <t>Seal Cove</t>
  </si>
  <si>
    <t>Seal Cove 1</t>
  </si>
  <si>
    <t>Short Beach</t>
  </si>
  <si>
    <t>Shut-In Island</t>
  </si>
  <si>
    <t>Snake Island</t>
  </si>
  <si>
    <t>Sober Island</t>
  </si>
  <si>
    <t>Southside</t>
  </si>
  <si>
    <t>Spry Harbour</t>
  </si>
  <si>
    <t>St. Andrews Channel E</t>
  </si>
  <si>
    <t>St. Peters Canal N</t>
  </si>
  <si>
    <t>St. Peters Canal S</t>
  </si>
  <si>
    <t>Tanner Island</t>
  </si>
  <si>
    <t>Taylors Rock</t>
  </si>
  <si>
    <t>Taylors Rock 1</t>
  </si>
  <si>
    <t>The Basin</t>
  </si>
  <si>
    <t>The Bull</t>
  </si>
  <si>
    <t>The Channel</t>
  </si>
  <si>
    <t>Tickle Island</t>
  </si>
  <si>
    <t>Tickle Island 1</t>
  </si>
  <si>
    <t>Tilley Point</t>
  </si>
  <si>
    <t>Tracadie 1</t>
  </si>
  <si>
    <t>Tracadie 2</t>
  </si>
  <si>
    <t>Tracadie 3</t>
  </si>
  <si>
    <t>Tucker Island</t>
  </si>
  <si>
    <t>Upper Blandford</t>
  </si>
  <si>
    <t>Waterside</t>
  </si>
  <si>
    <t>Wedgeport</t>
  </si>
  <si>
    <t>West Ferry Ramp</t>
  </si>
  <si>
    <t>White Island</t>
  </si>
  <si>
    <t>Yankee Cove</t>
  </si>
  <si>
    <t>Yarmouth Bar</t>
  </si>
  <si>
    <t>WGS84</t>
  </si>
  <si>
    <t>HOBO Pro V2</t>
  </si>
  <si>
    <t>aquaMeasure DOT</t>
  </si>
  <si>
    <t>n</t>
  </si>
  <si>
    <t>vinyl</t>
  </si>
  <si>
    <t>rising</t>
  </si>
  <si>
    <t>HOBO DO</t>
  </si>
  <si>
    <t>Suspected typo in deployment latitude. Changed from 44.686209 to match NSDFA tracking sheet and previous deployments at this locatoin</t>
  </si>
  <si>
    <t>attached to gear</t>
  </si>
  <si>
    <t>Block 1, Line 5. SN updated from 20305080 to match log and inventory - suspect typo.</t>
  </si>
  <si>
    <t>0716</t>
  </si>
  <si>
    <t>4 rotors</t>
  </si>
  <si>
    <t>Yellow nav buoy closeest to shore. Rope tied to handle on side of buoy</t>
  </si>
  <si>
    <t>falling</t>
  </si>
  <si>
    <t>deployment coordinates very close to Rook Island 1 station. Station name and coordinates to be reconsidered upon retrieval. Added an underscore at the end of station name to temporarily exclude it from the station midpoint analysis until retrieval.</t>
  </si>
  <si>
    <t>aquaMeasure SAL</t>
  </si>
  <si>
    <t>surface buoy</t>
  </si>
  <si>
    <t>Not on oyster line, on two small orange surface buoys</t>
  </si>
  <si>
    <t>8 rotors</t>
  </si>
  <si>
    <t>originally named "Long Beach", renamed after deployment to better reflect coordinates</t>
  </si>
  <si>
    <t>Deployment log had typo in serial #. Updated from 21038007. originally named "Long Beach", renamed after deployment to better reflect coordinates</t>
  </si>
  <si>
    <t>VR2ARX</t>
  </si>
  <si>
    <t>rotors</t>
  </si>
  <si>
    <t>Block 3, Line 7</t>
  </si>
  <si>
    <t>Block 7, Line 2, north end</t>
  </si>
  <si>
    <t>Senrial # updated from 21152407 which was deployed simultaneously at Big Pond Point. NSDFA tracking sheet says 21142409, and field sheet from Big Pond Point is clear. Typo in coordinates originally listed in log. Coordinates updated based on NSDFA tracking sheet</t>
  </si>
  <si>
    <t>Typo in coordinates originally listed in log. Coordinates updated based on NSDFA tracking sheet</t>
  </si>
  <si>
    <t>previously named Rook Island</t>
  </si>
  <si>
    <t>Original log had station name and waterbody swapped. Updated station name from 1323 to match NSDFA tracking and coordinates. Updated 2024-04-17</t>
  </si>
  <si>
    <t>Line 3, East end</t>
  </si>
  <si>
    <t>Michelle Plamondon, Albert Spears</t>
  </si>
  <si>
    <t>Betty Roethlisberger, Michelle Plamondon</t>
  </si>
  <si>
    <t>Betty Roethlisberger, Michelle Plamondon, Danny Rowe</t>
  </si>
  <si>
    <t>Michelle Plamondon, Will Rowe</t>
  </si>
  <si>
    <t>Nick Nickerson, Betty Roethlisberger</t>
  </si>
  <si>
    <t>1113</t>
  </si>
  <si>
    <t>Michelle Plamondon</t>
  </si>
  <si>
    <t>Betty Roethlisberger, Danny Rowe</t>
  </si>
  <si>
    <t>Michelle Plamondon, Brett Savoury</t>
  </si>
  <si>
    <t>nav buoy</t>
  </si>
  <si>
    <t>2 chains</t>
  </si>
  <si>
    <t>0904</t>
  </si>
  <si>
    <t>Michelle Plamondon, Danny Rowe</t>
  </si>
  <si>
    <t>2  vinyl buoys</t>
  </si>
  <si>
    <t>cement block</t>
  </si>
  <si>
    <t>Betty Roethlisberger</t>
  </si>
  <si>
    <t>Mark Decker, Michelle Plamondon</t>
  </si>
  <si>
    <t>Betty Roethlisberger, Albert Spears</t>
  </si>
  <si>
    <t>9 rotors</t>
  </si>
  <si>
    <t>1199</t>
  </si>
  <si>
    <t>1198</t>
  </si>
  <si>
    <t>1348</t>
  </si>
  <si>
    <t>2 chains + anchor</t>
  </si>
  <si>
    <t>0839</t>
  </si>
  <si>
    <t>1114</t>
  </si>
  <si>
    <t>steel bars + rotors</t>
  </si>
  <si>
    <t>Betty Roethlisberger, Michelle Plamondon, Mark Decker</t>
  </si>
  <si>
    <t>1091</t>
  </si>
  <si>
    <t>deployment_longitude_w_ddm</t>
  </si>
  <si>
    <t>deployment_latitude_n_ddm</t>
  </si>
  <si>
    <t>retrieval_latitude_n_ddm</t>
  </si>
  <si>
    <t>retrieval_longitude_w_ddm</t>
  </si>
  <si>
    <t>last_updated_date</t>
  </si>
  <si>
    <t>45 38.624</t>
  </si>
  <si>
    <t>62 28.083</t>
  </si>
  <si>
    <t>45 40.499</t>
  </si>
  <si>
    <t>45 40.492</t>
  </si>
  <si>
    <t>61 54.474</t>
  </si>
  <si>
    <t>45 39.601</t>
  </si>
  <si>
    <t>61 54.253</t>
  </si>
  <si>
    <t>45 39.291</t>
  </si>
  <si>
    <t>61 49.721</t>
  </si>
  <si>
    <t>retrieved</t>
  </si>
  <si>
    <t>lost</t>
  </si>
  <si>
    <t>45 39.613</t>
  </si>
  <si>
    <t>61 54.245</t>
  </si>
  <si>
    <t>slack low</t>
  </si>
  <si>
    <t>3 rotors</t>
  </si>
  <si>
    <t>61 54.469</t>
  </si>
  <si>
    <t>62 28.087</t>
  </si>
  <si>
    <t>St. Georges Bay</t>
  </si>
  <si>
    <t>45 40.297</t>
  </si>
  <si>
    <t>61 53.557</t>
  </si>
  <si>
    <t>11" hard vinyl</t>
  </si>
  <si>
    <t>cylindrical buoy</t>
  </si>
  <si>
    <t>Anne, TPO</t>
  </si>
  <si>
    <t>2 rotors</t>
  </si>
  <si>
    <t>St. Georges Bay N</t>
  </si>
  <si>
    <t>St. Georges Bay S</t>
  </si>
  <si>
    <t>St. Georges Bay W</t>
  </si>
  <si>
    <t>45 42.482</t>
  </si>
  <si>
    <t>61 51.392</t>
  </si>
  <si>
    <t>45 41.921</t>
  </si>
  <si>
    <t>61 51.840</t>
  </si>
  <si>
    <t>45 41.682</t>
  </si>
  <si>
    <t>61 51.004</t>
  </si>
  <si>
    <t>44 30.4547</t>
  </si>
  <si>
    <t>64 7.97868</t>
  </si>
  <si>
    <t>Michelle, Betty, Mark</t>
  </si>
  <si>
    <t>Anne, Huntley's</t>
  </si>
  <si>
    <t>2 steel blocks</t>
  </si>
  <si>
    <t>44 30.54834</t>
  </si>
  <si>
    <t>64 7.97952</t>
  </si>
  <si>
    <t>44 26.24154</t>
  </si>
  <si>
    <t>64 15.03456</t>
  </si>
  <si>
    <t>briefly retrieved 2024-05-30 (14:00:00-14:30:00 UTC) &amp; redeployed; deployment location noted here is current/correct</t>
  </si>
  <si>
    <t>no data collection until 2024-05-30 14:30:00 UTC; deployment location noted here is current/correct</t>
  </si>
  <si>
    <t>44 26.238</t>
  </si>
  <si>
    <t>64 15.038</t>
  </si>
  <si>
    <t>44 26.015</t>
  </si>
  <si>
    <t>64 8.051</t>
  </si>
  <si>
    <t>briefly retrieved 2024-05-30 (16:15:00-17:00:00 UTC) &amp; redeployed; deployment location noted here is current/correct</t>
  </si>
  <si>
    <t>no data collection until 2024-05-30 17:00:00 UTC; deployment location noted here is current/correct</t>
  </si>
  <si>
    <t>44 26.004</t>
  </si>
  <si>
    <t>64 7.891</t>
  </si>
  <si>
    <t>44 32.89878</t>
  </si>
  <si>
    <t>64 1.0443</t>
  </si>
  <si>
    <t>44 32.846</t>
  </si>
  <si>
    <t>64 1.049</t>
  </si>
  <si>
    <t>sensor missing from string on retrieval</t>
  </si>
  <si>
    <t>briefly retrieved 2024-06-05 (17:00:00-17:20:00 UTC) &amp; redeployed; deployment location noted here is current/correct</t>
  </si>
  <si>
    <t>no data collection until 2024-06-05 17:20:00 UTC; deployment location noted here is current/correct</t>
  </si>
  <si>
    <t>44 34.208</t>
  </si>
  <si>
    <t>64 2.07276</t>
  </si>
  <si>
    <t>44 34.206</t>
  </si>
  <si>
    <t>64 2.063</t>
  </si>
  <si>
    <t>briefly retrieved 2024-06-05 (14:35:00-14:55:00 UTC) &amp; redeployed; deployment location noted here is current/correct</t>
  </si>
  <si>
    <t>no data collection until 2024-06-05 14:55:00 UTC; deployment location noted here is current/correct</t>
  </si>
  <si>
    <t>44 33.44604</t>
  </si>
  <si>
    <t>63 57.24558</t>
  </si>
  <si>
    <t>44 33.452</t>
  </si>
  <si>
    <t>63 57.269</t>
  </si>
  <si>
    <t>slack high</t>
  </si>
  <si>
    <t>44 22.91046</t>
  </si>
  <si>
    <t>66 10.64364</t>
  </si>
  <si>
    <t>44 29.13714</t>
  </si>
  <si>
    <t>66 3.5841</t>
  </si>
  <si>
    <t>42 32.1744</t>
  </si>
  <si>
    <t>66 0.102</t>
  </si>
  <si>
    <t>44 32.175</t>
  </si>
  <si>
    <t>66 0.099</t>
  </si>
  <si>
    <t>45 9.582</t>
  </si>
  <si>
    <t>61 24.1908</t>
  </si>
  <si>
    <t>45 5.026</t>
  </si>
  <si>
    <t>61 38.7919</t>
  </si>
  <si>
    <t>Betty Roethlisberger, Michelle Plamondon, Samuel Andrews</t>
  </si>
  <si>
    <t>CMAR hobo deployed on Acadia Researcher Samuel Andrews' array, 6m from the bottom. Other gear (including acoustic release) provided by Andrew. Previously named "Bass Line 2"</t>
  </si>
  <si>
    <t>CMAR hobo deployed on Acadia Researcher Samuel Andrews' array, 5m from the bottom. Other gear (including acoustic release) provided by Andrew. Previously named "Bass Line 3"</t>
  </si>
  <si>
    <t>Bull Rock</t>
  </si>
  <si>
    <t>Black Rocks</t>
  </si>
  <si>
    <t>Attempted retrieval 2023 with no luck. Found by local kayaking near Halls Harbour in June 2024. Retrieval coordinates approximate. VR2 and one hobo missing.</t>
  </si>
  <si>
    <t>43 37.7726</t>
  </si>
  <si>
    <t>65 15.6886</t>
  </si>
  <si>
    <t>45 12.1147</t>
  </si>
  <si>
    <t>64 37.1421</t>
  </si>
  <si>
    <t>Betty, Esha, Danny</t>
  </si>
  <si>
    <t>Local kayaker</t>
  </si>
  <si>
    <t>45 40.741</t>
  </si>
  <si>
    <t>61 53.735</t>
  </si>
  <si>
    <t>Anne, John Porter</t>
  </si>
  <si>
    <t>45 29.890</t>
  </si>
  <si>
    <t>61 2.672</t>
  </si>
  <si>
    <t>heavily biofouled</t>
  </si>
  <si>
    <t>45 29.895</t>
  </si>
  <si>
    <t>61 2.677</t>
  </si>
  <si>
    <t>61 1.147</t>
  </si>
  <si>
    <t>45 29.896</t>
  </si>
  <si>
    <t>61 1.144</t>
  </si>
  <si>
    <t>45 23.708</t>
  </si>
  <si>
    <t>61 24.616</t>
  </si>
  <si>
    <t>45 23.709</t>
  </si>
  <si>
    <t>61 24.546</t>
  </si>
  <si>
    <t>45 21.651</t>
  </si>
  <si>
    <t>61 24.407</t>
  </si>
  <si>
    <t>45 21.719</t>
  </si>
  <si>
    <t>61 24.438</t>
  </si>
  <si>
    <t>45 21.153</t>
  </si>
  <si>
    <t>61 17.186</t>
  </si>
  <si>
    <t>61 17.189</t>
  </si>
  <si>
    <t>unable to locate/retrieve 2024-07-24 -- deemed Lost</t>
  </si>
  <si>
    <t>station &gt;500m away from other Taylors Rock deployments. Renamed to "Taylors Rock 1" for accuracy. Unable to locate/retrieve 2024-07-24 -- deemed Lost.</t>
  </si>
  <si>
    <t>43 47.995</t>
  </si>
  <si>
    <t>64 52.722</t>
  </si>
  <si>
    <t>43 47.963</t>
  </si>
  <si>
    <t>64 52.733</t>
  </si>
  <si>
    <t>43 41.177</t>
  </si>
  <si>
    <t>65 10.065</t>
  </si>
  <si>
    <t>43 41.169</t>
  </si>
  <si>
    <t>65 10.056</t>
  </si>
  <si>
    <t>44 6.008</t>
  </si>
  <si>
    <t>64 31.670</t>
  </si>
  <si>
    <t>44 6.009</t>
  </si>
  <si>
    <t>64 31.667</t>
  </si>
  <si>
    <t>44 1.567</t>
  </si>
  <si>
    <t>64 39.946</t>
  </si>
  <si>
    <t>44 1.561</t>
  </si>
  <si>
    <t>64 39.940</t>
  </si>
  <si>
    <t>43 55.880</t>
  </si>
  <si>
    <t>66 10.061</t>
  </si>
  <si>
    <t>43 55.865</t>
  </si>
  <si>
    <t>66 10.073</t>
  </si>
  <si>
    <t>Forgot to record the VR2 serial number; process of elimination means it was either 548042 or 548591</t>
  </si>
  <si>
    <t>43 49.891</t>
  </si>
  <si>
    <t>66 10.392</t>
  </si>
  <si>
    <t>43 49.890</t>
  </si>
  <si>
    <t>66 10.387</t>
  </si>
  <si>
    <t>43 46.226</t>
  </si>
  <si>
    <t>66 8.101</t>
  </si>
  <si>
    <t>43 46.236</t>
  </si>
  <si>
    <t>66 8.097</t>
  </si>
  <si>
    <t>(Renamed from SN:Cape St. Mary's/WB: Cape Cove on 2023-08-30 to better reflect location); no contact on attempted retrieval in 2024-08-07</t>
  </si>
  <si>
    <t>43 40.941</t>
  </si>
  <si>
    <t>65 50.173</t>
  </si>
  <si>
    <t>43 40.938</t>
  </si>
  <si>
    <t>65 50.168</t>
  </si>
  <si>
    <t>43 40.749</t>
  </si>
  <si>
    <t>65 53.889</t>
  </si>
  <si>
    <t>43 40.744</t>
  </si>
  <si>
    <t>65 53.876</t>
  </si>
  <si>
    <t>44 29.140</t>
  </si>
  <si>
    <t>66 3.579</t>
  </si>
  <si>
    <t>44 22.918</t>
  </si>
  <si>
    <t>66 10.646</t>
  </si>
  <si>
    <t>44 20.018</t>
  </si>
  <si>
    <t>66 12.117</t>
  </si>
  <si>
    <t>Michelle, Albert</t>
  </si>
  <si>
    <t>44 38.089</t>
  </si>
  <si>
    <t>63 20.313</t>
  </si>
  <si>
    <t>44 49.082</t>
  </si>
  <si>
    <t>62 37.131</t>
  </si>
  <si>
    <t>44 57.015</t>
  </si>
  <si>
    <t>62 0.680</t>
  </si>
  <si>
    <t>44 57.017</t>
  </si>
  <si>
    <t>62 0.681</t>
  </si>
  <si>
    <t>45 6.137</t>
  </si>
  <si>
    <t>61 37.779</t>
  </si>
  <si>
    <t>45 6.126</t>
  </si>
  <si>
    <t>61 37.794</t>
  </si>
  <si>
    <t>44 54.632</t>
  </si>
  <si>
    <t>62 19.199</t>
  </si>
  <si>
    <t>Anne, Chris Snow</t>
  </si>
  <si>
    <t>previously named Tickle Island; attempted to retrieve on July 5 2024, VR2 talking but had error &amp; would not release -- attempted dive with Huntley's on Sept 6 2024, no dice</t>
  </si>
  <si>
    <t>45 21.737</t>
  </si>
  <si>
    <t>61 2.501</t>
  </si>
  <si>
    <t>44 30.5457</t>
  </si>
  <si>
    <t>45 30.5457</t>
  </si>
  <si>
    <t>46 30.5457</t>
  </si>
  <si>
    <t>47 30.5457</t>
  </si>
  <si>
    <t>48 30.5457</t>
  </si>
  <si>
    <t>49 30.5457</t>
  </si>
  <si>
    <t>Careys Point</t>
  </si>
  <si>
    <t>Snows Cove</t>
  </si>
  <si>
    <t>Previously named Smiths Point with waterbody Harrigan Cove</t>
  </si>
  <si>
    <t>heavily biofouled; top buoy was on the surface and very sun-bleached -- suspect it was never/rarely underwater; we did the math (sounding &amp; length &amp; tide) and chopped 2m off the string between VR2 and last HOBO to successfully submerge; DD changed configuration to surface buoy; DD renamed from Cape Auguet, since stations are within 500 m and do not have overlapping data</t>
  </si>
  <si>
    <t>previously Cape Auguet, which is what the scanned field sheet will say; DD updated waterbody to Arichat Harbour to match previous deployments at this station</t>
  </si>
  <si>
    <t>found by fishers in Tiverton and returned to OTN</t>
  </si>
  <si>
    <t>1442</t>
  </si>
  <si>
    <t>45 21.129</t>
  </si>
  <si>
    <t>61 17.191</t>
  </si>
  <si>
    <t>45 21.717</t>
  </si>
  <si>
    <t>61 24.415</t>
  </si>
  <si>
    <t>DOT retrieved, but data cannot be offloaded; to be sent to Innovasea for repair and data offload</t>
  </si>
  <si>
    <t>45 21.647</t>
  </si>
  <si>
    <t>61 24.416</t>
  </si>
  <si>
    <t>45 23.711</t>
  </si>
  <si>
    <t>61 24.504</t>
  </si>
  <si>
    <t>45 23.715</t>
  </si>
  <si>
    <t>61 24.551</t>
  </si>
  <si>
    <t>45 29.872</t>
  </si>
  <si>
    <t>61 1.174</t>
  </si>
  <si>
    <t>0176</t>
  </si>
  <si>
    <t>61 1.139</t>
  </si>
  <si>
    <t>DOT patch wrapped in wet towel for transit to keep patch hydrated</t>
  </si>
  <si>
    <t>45 29.894</t>
  </si>
  <si>
    <t>61 2.673</t>
  </si>
  <si>
    <t>45 29.887</t>
  </si>
  <si>
    <t>61 2.682</t>
  </si>
  <si>
    <t>45 38.612</t>
  </si>
  <si>
    <t>62 28.082</t>
  </si>
  <si>
    <t>Recommend increasing anchor weight to at least 5 rotors</t>
  </si>
  <si>
    <t>Recommend increasing anchor weight to at least 5 rotors; DOT patch wrapped in wet towel for transit to keep patch hydrated</t>
  </si>
  <si>
    <t>45 40.487</t>
  </si>
  <si>
    <t>61 54.465</t>
  </si>
  <si>
    <t>45 40.482</t>
  </si>
  <si>
    <t>61 54.476</t>
  </si>
  <si>
    <t>45 39.593</t>
  </si>
  <si>
    <t>61 54.256</t>
  </si>
  <si>
    <t>45 40.295</t>
  </si>
  <si>
    <t>61 53.548</t>
  </si>
  <si>
    <t>Anne, Ernie Porter</t>
  </si>
  <si>
    <t>61 53.746</t>
  </si>
  <si>
    <t>45 42.481</t>
  </si>
  <si>
    <t>61 51.394</t>
  </si>
  <si>
    <t>45 41.680</t>
  </si>
  <si>
    <t>61 51.006</t>
  </si>
  <si>
    <t>45 41.922</t>
  </si>
  <si>
    <t>45 17.219</t>
  </si>
  <si>
    <t>61 10.110</t>
  </si>
  <si>
    <t>Kiersten, Bill &amp; Stanley</t>
  </si>
  <si>
    <t>45 16.240</t>
  </si>
  <si>
    <t>61 8.102</t>
  </si>
  <si>
    <t>45 14.678</t>
  </si>
  <si>
    <t>61 9.291</t>
  </si>
  <si>
    <t>Line 2 North by the end buoy</t>
  </si>
  <si>
    <t>0613</t>
  </si>
  <si>
    <t>45 15.328</t>
  </si>
  <si>
    <t>61 8.760</t>
  </si>
  <si>
    <t>45 15.961</t>
  </si>
  <si>
    <t>61 8.853</t>
  </si>
  <si>
    <t>45 14.961</t>
  </si>
  <si>
    <t>Block 1, Line 2, east end</t>
  </si>
  <si>
    <t>45 14.386</t>
  </si>
  <si>
    <t>45 14.311</t>
  </si>
  <si>
    <t>61 9.965</t>
  </si>
  <si>
    <t>Buoy visible at surface prior to release</t>
  </si>
  <si>
    <t>61 10.107</t>
  </si>
  <si>
    <t>DOT wrapped in wet towel for travel to meet hydration requirement</t>
  </si>
  <si>
    <t>45 14.017</t>
  </si>
  <si>
    <t>61 9.502</t>
  </si>
  <si>
    <t>45 14.307</t>
  </si>
  <si>
    <t>61 9.036</t>
  </si>
  <si>
    <t>Exchanged the DOT for a HOBO temp</t>
  </si>
  <si>
    <t>45 14.345</t>
  </si>
  <si>
    <t>61 8.968</t>
  </si>
  <si>
    <t>45 14.255</t>
  </si>
  <si>
    <t>61 8.970</t>
  </si>
  <si>
    <t>0075</t>
  </si>
  <si>
    <t>45 4.341</t>
  </si>
  <si>
    <t>61 51.658</t>
  </si>
  <si>
    <t>45 9.310</t>
  </si>
  <si>
    <t>61 23.902</t>
  </si>
  <si>
    <t>45 9.289</t>
  </si>
  <si>
    <t>61 23.893</t>
  </si>
  <si>
    <t>45 13.535</t>
  </si>
  <si>
    <t>61 17.738</t>
  </si>
  <si>
    <t>45 13.543</t>
  </si>
  <si>
    <t>61 17.772</t>
  </si>
  <si>
    <t>Used launch on western shore across from Fisheries, not a great option; for retrieval, try the one on the northern shore just to the west of Seawind Landing Country Inn</t>
  </si>
  <si>
    <t>45 15.131</t>
  </si>
  <si>
    <t>61 1.026</t>
  </si>
  <si>
    <t>Station name updated from "Seal Cove"; on retrieval, large top buoy was cracked and not floating properly -- replaced on redeployment</t>
  </si>
  <si>
    <t>45 15.173</t>
  </si>
  <si>
    <t>61 1.077</t>
  </si>
  <si>
    <t>45 15.947</t>
  </si>
  <si>
    <t>60 57.652</t>
  </si>
  <si>
    <t>45 15.936</t>
  </si>
  <si>
    <t>Bring a spare 14" buoy on retrieval to replace the emergency 11" buoy currently attached</t>
  </si>
  <si>
    <t>The Basin N</t>
  </si>
  <si>
    <t>9th line, middle of the line; retrieved and discontinued -- very close to The Basin string, overlapping data; DD changed name to The Basin N for consistency</t>
  </si>
  <si>
    <t>DD corrected deployment date</t>
  </si>
  <si>
    <t>44 30.537</t>
  </si>
  <si>
    <t>64 7.976</t>
  </si>
  <si>
    <t>44 25.993</t>
  </si>
  <si>
    <t>64 7.906</t>
  </si>
  <si>
    <t>44 26.006</t>
  </si>
  <si>
    <t>64 7.903</t>
  </si>
  <si>
    <t>44 26.232</t>
  </si>
  <si>
    <t>64 15.049</t>
  </si>
  <si>
    <t>64 15.017</t>
  </si>
  <si>
    <t>44 32.906</t>
  </si>
  <si>
    <t>64 1.044</t>
  </si>
  <si>
    <t>44 32.850</t>
  </si>
  <si>
    <t>64 1.038</t>
  </si>
  <si>
    <t>44 33.415</t>
  </si>
  <si>
    <t>63 57.272</t>
  </si>
  <si>
    <t>44 33.548</t>
  </si>
  <si>
    <t>63 57.255</t>
  </si>
  <si>
    <t>44 34.190</t>
  </si>
  <si>
    <t>64 2.057</t>
  </si>
  <si>
    <t>briefly retrieved 2024-05-30 (16:15:00-17:00:00 UTC) &amp; redeployed; deployment location noted here is current/correct; DD updated SN</t>
  </si>
  <si>
    <t>Timmonds Cove</t>
  </si>
  <si>
    <t>WGS85</t>
  </si>
  <si>
    <t>WGS86</t>
  </si>
  <si>
    <t>WGS87</t>
  </si>
  <si>
    <t>NSCC OTEC</t>
  </si>
  <si>
    <t>Deployed by NSCC Ocean Tech program</t>
  </si>
  <si>
    <t>Halifax Harbour</t>
  </si>
  <si>
    <t>Typo in coordinates originally listed in log. Coordinates updated based on NSDFA tracking sheet. Metadata error - depth updated from 5m on 2024-12-05</t>
  </si>
  <si>
    <t>Depth updated from 15m on 2024-12-05</t>
  </si>
  <si>
    <t>Depth updated from 5m on 2024-12-05</t>
  </si>
  <si>
    <t>attached to fixed structure</t>
  </si>
  <si>
    <t>Sindy Dove &amp; Rod Beresford (CBU)</t>
  </si>
  <si>
    <t>Deployed by CBU for MSX monitoring. Missing data - would not offload from sensors</t>
  </si>
  <si>
    <t>East Bay</t>
  </si>
  <si>
    <t>Benacadie Pond</t>
  </si>
  <si>
    <t>Soldiers Cove</t>
  </si>
  <si>
    <t>Lochmore Harbour</t>
  </si>
  <si>
    <t>McKinnons Harbour</t>
  </si>
  <si>
    <t>Nyanza Bay</t>
  </si>
  <si>
    <t>Blues Cove</t>
  </si>
  <si>
    <t>MacKillops Pond</t>
  </si>
  <si>
    <t>MacDonalds Pond</t>
  </si>
  <si>
    <t>MacIvers Cove</t>
  </si>
  <si>
    <t>Campbells Cove</t>
  </si>
  <si>
    <t>Little Boom</t>
  </si>
  <si>
    <t>Ross Pond</t>
  </si>
  <si>
    <t>MacKinnons Cove</t>
  </si>
  <si>
    <t>MacRaes Cove</t>
  </si>
  <si>
    <t>MacLeans Cove</t>
  </si>
  <si>
    <t>Morrison Cove</t>
  </si>
  <si>
    <t>BDLS-EBS</t>
  </si>
  <si>
    <t>BDLS-BP</t>
  </si>
  <si>
    <t>BDLS-838</t>
  </si>
  <si>
    <t>BDLS-1108</t>
  </si>
  <si>
    <t>BDLS-1225</t>
  </si>
  <si>
    <t>BDLS-NW</t>
  </si>
  <si>
    <t>BDLS-OD</t>
  </si>
  <si>
    <t>BDLS-193</t>
  </si>
  <si>
    <t>BDLS-BSA</t>
  </si>
  <si>
    <t>BDLS-1430</t>
  </si>
  <si>
    <t>BDLS-MDP</t>
  </si>
  <si>
    <t>BDLS-1246</t>
  </si>
  <si>
    <t>BDLS-WBR</t>
  </si>
  <si>
    <t>BDLS-BMB</t>
  </si>
  <si>
    <t>BDLS-RPWB</t>
  </si>
  <si>
    <t>BDLS-JLM</t>
  </si>
  <si>
    <t>BDLS-MFH</t>
  </si>
  <si>
    <t>BDLS-496</t>
  </si>
  <si>
    <t>BDLS-MC</t>
  </si>
  <si>
    <t>BDLS-AD</t>
  </si>
  <si>
    <t>briefly retrieved 2024-06-05 (17:00:00-17:20:00 UTC) &amp; redeployed; deployment location noted here is current/correct; DD updated lat/long (previous was on land)</t>
  </si>
  <si>
    <t>Boat Harbour</t>
  </si>
  <si>
    <t>Pictou Landing</t>
  </si>
  <si>
    <t>aquaMeasure CHL</t>
  </si>
  <si>
    <t>Ramon Filgueira (dal)</t>
  </si>
  <si>
    <t>Deployed by Ramon Filgueira's lab for boat harbour oyster project</t>
  </si>
  <si>
    <t>Point Michaud</t>
  </si>
  <si>
    <t>Michaud Cove</t>
  </si>
  <si>
    <t xml:space="preserve">45 33.971 </t>
  </si>
  <si>
    <t xml:space="preserve">60 40.038 </t>
  </si>
  <si>
    <t>Kiersten Watson, Nicole Torrie</t>
  </si>
  <si>
    <t>Middle Head</t>
  </si>
  <si>
    <t>North Bay Ingonish</t>
  </si>
  <si>
    <t xml:space="preserve">46 39.891 </t>
  </si>
  <si>
    <t xml:space="preserve">60 22.599 </t>
  </si>
  <si>
    <t>Bay St. Lawrence</t>
  </si>
  <si>
    <t>47 0.838</t>
  </si>
  <si>
    <t>60 29.313</t>
  </si>
  <si>
    <t>Had to lift and drag string ~50m after initial deployment location was too shallow. Check VR2 for damage upon retrieval</t>
  </si>
  <si>
    <t>Sand Dunes</t>
  </si>
  <si>
    <t>Northumberland Strait</t>
  </si>
  <si>
    <t xml:space="preserve">46 5.549 </t>
  </si>
  <si>
    <t xml:space="preserve">61 30.317 </t>
  </si>
  <si>
    <t>SOAR &amp; Anne attempted retrieval 2024-07-25 with no luck</t>
  </si>
  <si>
    <t>Huntley's Diving</t>
  </si>
  <si>
    <t>SOAR &amp; Anne attempted retrieval 2024-07-25 with no luck. Huntley's Diving recovered</t>
  </si>
  <si>
    <t>Nicole, Paul Keith</t>
  </si>
  <si>
    <t>column</t>
  </si>
  <si>
    <t>description</t>
  </si>
  <si>
    <t>format</t>
  </si>
  <si>
    <t>example</t>
  </si>
  <si>
    <t>dropdown_options</t>
  </si>
  <si>
    <t>most recent date any information in this row was updated</t>
  </si>
  <si>
    <t>yyyy-mm-dd</t>
  </si>
  <si>
    <t>unique station name</t>
  </si>
  <si>
    <t>follow spelling format in the Canadian Geographical Names database</t>
  </si>
  <si>
    <t>see station_list tab</t>
  </si>
  <si>
    <t>station waterbody</t>
  </si>
  <si>
    <t>see waterbody_list tab</t>
  </si>
  <si>
    <t>aquaculture lease # station is deployed on (if applicable)</t>
  </si>
  <si>
    <t>status of sensor</t>
  </si>
  <si>
    <t>deployed, retrieved, lost</t>
  </si>
  <si>
    <t>date of sensor deployment</t>
  </si>
  <si>
    <t>time of sensor deployment in UTC</t>
  </si>
  <si>
    <t>hh:mm:ss, 24 hour format, UTC</t>
  </si>
  <si>
    <t>date of sensor retrieval</t>
  </si>
  <si>
    <t>time of sensor retrieval in UTC</t>
  </si>
  <si>
    <t>deployment latitude in decimal degrees</t>
  </si>
  <si>
    <t>decimal degrees</t>
  </si>
  <si>
    <t>deployment longitude in decimal degrees</t>
  </si>
  <si>
    <t>retrieval latitude in decimal degrees</t>
  </si>
  <si>
    <t>retrieval longitude in decimal degrees</t>
  </si>
  <si>
    <t>deployment latitude in degree decimal minutes</t>
  </si>
  <si>
    <t>degree decimal minutes</t>
  </si>
  <si>
    <t>deployment longitude in degree decimal minutes</t>
  </si>
  <si>
    <t>retrieval latitude in degree decimal minutes</t>
  </si>
  <si>
    <t>retrieval longitude in degree decimal minutes</t>
  </si>
  <si>
    <t>sensor type</t>
  </si>
  <si>
    <t>aquaMeasure DOT, aquaMeasure SAL, aquaMeasure CHL, Hobo DO, Hobo Pro V2, Hobo Level Logger, Hobo PH, Tidbit MX2203, miniDOT, VR2AR, VR2ARX</t>
  </si>
  <si>
    <t>sensor serial number</t>
  </si>
  <si>
    <t>sensor depth below surface at low tide in meters, rounded to the nearest 0.5m</t>
  </si>
  <si>
    <t>configuration of deployed equipment</t>
  </si>
  <si>
    <t>sub-surface buoy, surface buoy, attached to fixed structure, attached to gear, floating dock, unknown</t>
  </si>
  <si>
    <t>chart sounding of deployment location in meters</t>
  </si>
  <si>
    <t>is there an acoustic release sensor on this string?</t>
  </si>
  <si>
    <t>y, n</t>
  </si>
  <si>
    <t>difference between the chart depth and the actual depth (sounding) at time of deployment due to the tide.</t>
  </si>
  <si>
    <t>tide at deployment time can be viewed on the federal tides website</t>
  </si>
  <si>
    <t>deployed height of VR2AR lug above anchor in meters</t>
  </si>
  <si>
    <t>direction of tide at time of deployment</t>
  </si>
  <si>
    <t>rising, falling, slack high, slack low</t>
  </si>
  <si>
    <t>type of subsurface buoy</t>
  </si>
  <si>
    <t>11" hard vinyl, 14" hard vinyl, 8" hard vinyl, n/a</t>
  </si>
  <si>
    <t>type of second subsurface buoy, if applicable (if two buoys are used at the top of the string)</t>
  </si>
  <si>
    <t>type of buoy above VR2AR</t>
  </si>
  <si>
    <t>description of anchor</t>
  </si>
  <si>
    <t>weight of anchor in kilograms</t>
  </si>
  <si>
    <t>type of biofouling prevention applied</t>
  </si>
  <si>
    <t>none, copper tape, copper cage, PME miniWIPER, pvc pipe, uv light, Hobo DO antifouling protective guard</t>
  </si>
  <si>
    <t>datum of coordinate reference system</t>
  </si>
  <si>
    <t>were photos taken of this string upon deployment or retrieval?</t>
  </si>
  <si>
    <t>names of field staff involved in deployment of equipment</t>
  </si>
  <si>
    <t>Anne McKee, Greg Trowse</t>
  </si>
  <si>
    <t>names of field staff involved in retrieval of euquipment</t>
  </si>
  <si>
    <t>any additional notes about the sensor or sensor string</t>
  </si>
  <si>
    <t>floating dock</t>
  </si>
  <si>
    <t>Deployed by Ramon Filgueira's lab on Shandaph Oysters lease.  Sensors were moved in the fall from 1369 to Robinson Cove at an unknown date. Start/End dates derived from data signal. Use caution.</t>
  </si>
  <si>
    <t>1369</t>
  </si>
  <si>
    <t>1086</t>
  </si>
  <si>
    <t>county</t>
  </si>
  <si>
    <t>Antigonish</t>
  </si>
  <si>
    <t>Annapolis</t>
  </si>
  <si>
    <t>Richmond</t>
  </si>
  <si>
    <t>Lunenburg</t>
  </si>
  <si>
    <t>Victoria</t>
  </si>
  <si>
    <t>Halifax</t>
  </si>
  <si>
    <t>Cape Breton</t>
  </si>
  <si>
    <t>Inverness</t>
  </si>
  <si>
    <t>Pictou</t>
  </si>
  <si>
    <t>Queens</t>
  </si>
  <si>
    <t>Yarmouth</t>
  </si>
  <si>
    <t>Guysborough</t>
  </si>
  <si>
    <t>Fourchu Bay</t>
  </si>
  <si>
    <t>Digby</t>
  </si>
  <si>
    <t>Shelburne</t>
  </si>
  <si>
    <t>Colchester</t>
  </si>
  <si>
    <t>Outer Cheticamp Harbour</t>
  </si>
  <si>
    <t>Outer Margaree Harbour</t>
  </si>
  <si>
    <t>Pennant Bay</t>
  </si>
  <si>
    <t>Pomquet Harbour</t>
  </si>
  <si>
    <t>Port Mouton</t>
  </si>
  <si>
    <t>Ram Island Passage</t>
  </si>
  <si>
    <t>Shag Harbour</t>
  </si>
  <si>
    <t>Ships Channel</t>
  </si>
  <si>
    <t>St. Anns Harbour</t>
  </si>
  <si>
    <t>St. Peters Inlet</t>
  </si>
  <si>
    <t>station county</t>
  </si>
  <si>
    <t>NOTE: Right on county boundary line. Double check county after deployment</t>
  </si>
  <si>
    <t>latitude</t>
  </si>
  <si>
    <t>longitude</t>
  </si>
  <si>
    <t>latitude_ddm</t>
  </si>
  <si>
    <t>longitude_ddm</t>
  </si>
  <si>
    <t>44 39.1716 N</t>
  </si>
  <si>
    <t>65 40.4718 W</t>
  </si>
  <si>
    <t>44 40.5942 N</t>
  </si>
  <si>
    <t>65 41.4708 W</t>
  </si>
  <si>
    <t>44 38.0502 N</t>
  </si>
  <si>
    <t>65 42.7158 W</t>
  </si>
  <si>
    <t>44 40.1748 N</t>
  </si>
  <si>
    <t>65 38.8638 W</t>
  </si>
  <si>
    <t>44 40.164 N</t>
  </si>
  <si>
    <t>65 38.6868 W</t>
  </si>
  <si>
    <t>44 40.6926 N</t>
  </si>
  <si>
    <t>65 41.001 W</t>
  </si>
  <si>
    <t>45 40.297 N</t>
  </si>
  <si>
    <t>61 53.557 W</t>
  </si>
  <si>
    <t>45 40.741 N</t>
  </si>
  <si>
    <t>61 53.735 W</t>
  </si>
  <si>
    <t>45 39.5862 N</t>
  </si>
  <si>
    <t>61 54.2556 W</t>
  </si>
  <si>
    <t>45 29.6046 N</t>
  </si>
  <si>
    <t>61 1.1682 W</t>
  </si>
  <si>
    <t>45 30.081 N</t>
  </si>
  <si>
    <t>61 2.5182 W</t>
  </si>
  <si>
    <t>45 29.892 N</t>
  </si>
  <si>
    <t>61 1.1502 W</t>
  </si>
  <si>
    <t>45 30.0216 N</t>
  </si>
  <si>
    <t>61 1.122 W</t>
  </si>
  <si>
    <t>45 29.4168 N</t>
  </si>
  <si>
    <t>61 2.2986 W</t>
  </si>
  <si>
    <t>45 29.8902 N</t>
  </si>
  <si>
    <t>61 2.679 W</t>
  </si>
  <si>
    <t>45 29.8944 N</t>
  </si>
  <si>
    <t>61 1.1586 W</t>
  </si>
  <si>
    <t>44 30.201 N</t>
  </si>
  <si>
    <t>64 2.994 W</t>
  </si>
  <si>
    <t>46 54.6738 N</t>
  </si>
  <si>
    <t>60 28.4868 W</t>
  </si>
  <si>
    <t>North Harbour Beach</t>
  </si>
  <si>
    <t>46 55.57734 N</t>
  </si>
  <si>
    <t>60 26.92254 W</t>
  </si>
  <si>
    <t>45 31.7424 N</t>
  </si>
  <si>
    <t>60 55.5606 W</t>
  </si>
  <si>
    <t>47 0.838 N</t>
  </si>
  <si>
    <t>60 29.313 W</t>
  </si>
  <si>
    <t>44 52.611 N</t>
  </si>
  <si>
    <t>62 23.991 W</t>
  </si>
  <si>
    <t>MSX Surveillance (Bras d'Or Lakes Surveillance)</t>
  </si>
  <si>
    <t>45 40.41936 N</t>
  </si>
  <si>
    <t>62 38.23452</t>
  </si>
  <si>
    <t>Deployed by Ramon Filguiera for Boat Harbour Monitoring</t>
  </si>
  <si>
    <t>Barra Strait N</t>
  </si>
  <si>
    <t>45 57.927 N</t>
  </si>
  <si>
    <t>60 47.9616 W</t>
  </si>
  <si>
    <t>Barra Strait S</t>
  </si>
  <si>
    <t>45 56.8188 N</t>
  </si>
  <si>
    <t>60 48.5514 W</t>
  </si>
  <si>
    <t>45 54.2394 N</t>
  </si>
  <si>
    <t>60 59.6916 W</t>
  </si>
  <si>
    <t>45 54.0618 N</t>
  </si>
  <si>
    <t>61 1.7196 W</t>
  </si>
  <si>
    <t>45 58.4052 N</t>
  </si>
  <si>
    <t>60 28.212 W</t>
  </si>
  <si>
    <t>46 15.0822 N</t>
  </si>
  <si>
    <t>60 27.8712 W</t>
  </si>
  <si>
    <t>46 15.3288 N</t>
  </si>
  <si>
    <t>60 28.2714 W</t>
  </si>
  <si>
    <t>46 7.1046 N</t>
  </si>
  <si>
    <t>60 37.5954 W</t>
  </si>
  <si>
    <t>46 7.2354 N</t>
  </si>
  <si>
    <t>60 38.0376 W</t>
  </si>
  <si>
    <t>46 17.7756 N</t>
  </si>
  <si>
    <t>60 17.2614 W</t>
  </si>
  <si>
    <t>45 59.9388 N</t>
  </si>
  <si>
    <t>60 58.4604 W</t>
  </si>
  <si>
    <t>45 59.1846 N</t>
  </si>
  <si>
    <t>60 59.4168 W</t>
  </si>
  <si>
    <t>46 3.9144 N</t>
  </si>
  <si>
    <t>60 53.6898 W</t>
  </si>
  <si>
    <t>46 3.8868 N</t>
  </si>
  <si>
    <t>60 54.1416 W</t>
  </si>
  <si>
    <t>46 14.5974 N</t>
  </si>
  <si>
    <t>60 18.1866 W</t>
  </si>
  <si>
    <t>45 39.573 N</t>
  </si>
  <si>
    <t>60 51.8706 W</t>
  </si>
  <si>
    <t>45 39.0474 N</t>
  </si>
  <si>
    <t>60 52.4448 W</t>
  </si>
  <si>
    <t>Wadden Cove W</t>
  </si>
  <si>
    <t>46 4.7226 N</t>
  </si>
  <si>
    <t>60 53.3358 W</t>
  </si>
  <si>
    <t>Called "CMAR_NY" by OTN</t>
  </si>
  <si>
    <t>West Bay</t>
  </si>
  <si>
    <t>45 42.6438 N</t>
  </si>
  <si>
    <t>61 8.3772 W</t>
  </si>
  <si>
    <t>43 49.8918 N</t>
  </si>
  <si>
    <t>66 10.3926 W</t>
  </si>
  <si>
    <t>45 45.375 N</t>
  </si>
  <si>
    <t>62 46.2186 W</t>
  </si>
  <si>
    <t>45 40.1442 N</t>
  </si>
  <si>
    <t>62 34.314 W</t>
  </si>
  <si>
    <t>45 40.1472 N</t>
  </si>
  <si>
    <t>62 34.35 W</t>
  </si>
  <si>
    <t>43 46.2234 N</t>
  </si>
  <si>
    <t>66 8.1108 W</t>
  </si>
  <si>
    <t>45 21.543 N</t>
  </si>
  <si>
    <t>61 25.1796 W</t>
  </si>
  <si>
    <t>45 21.651 N</t>
  </si>
  <si>
    <t>61 24.4218 W</t>
  </si>
  <si>
    <t>Some deployments formerly Sandy Cove Chedabucto, renamed to avoid confusion with Sandy Cove St. Marys deployments</t>
  </si>
  <si>
    <t>45 23.988 N</t>
  </si>
  <si>
    <t>61 25.2432 W</t>
  </si>
  <si>
    <t>45 23.7 N</t>
  </si>
  <si>
    <t>61 24.5706 W</t>
  </si>
  <si>
    <t>Some deployments formerly Moose Point, renamed due to distance from other deployments at Moose Point station</t>
  </si>
  <si>
    <t>45 21.0528 N</t>
  </si>
  <si>
    <t>61 16.0866 W</t>
  </si>
  <si>
    <t>45 21.1392 N</t>
  </si>
  <si>
    <t>61 17.2122 W</t>
  </si>
  <si>
    <t>Some deployments formerly Rook Island, renamed due to distance from other deployments at Rook Island station</t>
  </si>
  <si>
    <t>45 21.2958 N</t>
  </si>
  <si>
    <t>61 2.2758 W</t>
  </si>
  <si>
    <t>45 21.708 N</t>
  </si>
  <si>
    <t>61 2.64 W</t>
  </si>
  <si>
    <t>Some deployments formerly Tickle Island, renamed due to distance from other deployments at Tickle Island station</t>
  </si>
  <si>
    <t>45 11.1366 N</t>
  </si>
  <si>
    <t>61 43.0056 W</t>
  </si>
  <si>
    <t>45 13.9164 N</t>
  </si>
  <si>
    <t>61 45.6 W</t>
  </si>
  <si>
    <t>45 9.6042 N</t>
  </si>
  <si>
    <t>61 40.8036 W</t>
  </si>
  <si>
    <t>45 10.434 N</t>
  </si>
  <si>
    <t>61 42.4524 W</t>
  </si>
  <si>
    <t>46 0.4308 N</t>
  </si>
  <si>
    <t>60 59.3124 W</t>
  </si>
  <si>
    <t>45 16.0602 N</t>
  </si>
  <si>
    <t>60 58.7634 W</t>
  </si>
  <si>
    <t>45 15.948 N</t>
  </si>
  <si>
    <t>60 57.651 W</t>
  </si>
  <si>
    <t>Some deployments formerly Madeline Point, renamed due to distance from other deployments at Madeline Point station</t>
  </si>
  <si>
    <t>45 15.5154 N</t>
  </si>
  <si>
    <t>60 59.9682 W</t>
  </si>
  <si>
    <t>45 15.1482 N</t>
  </si>
  <si>
    <t>61 1.0722 W</t>
  </si>
  <si>
    <t>Some deployments formerly Seal Cove, renamed due to distance from other deployments at Seal Cove station</t>
  </si>
  <si>
    <t>45 5.026 N</t>
  </si>
  <si>
    <t>61 38.7919 W</t>
  </si>
  <si>
    <t>45 6.1194 N</t>
  </si>
  <si>
    <t>61 37.797 W</t>
  </si>
  <si>
    <t>Fourchu Rock</t>
  </si>
  <si>
    <t>45 43.88976 N</t>
  </si>
  <si>
    <t>60 12.54936 W</t>
  </si>
  <si>
    <t>45 39.6 N</t>
  </si>
  <si>
    <t>62 24.7002 W</t>
  </si>
  <si>
    <t>45 40.6608 N</t>
  </si>
  <si>
    <t>61 54.7488 W</t>
  </si>
  <si>
    <t>45 40.6572 N</t>
  </si>
  <si>
    <t>61 54.759 W</t>
  </si>
  <si>
    <t>45 40.6536 N</t>
  </si>
  <si>
    <t>61 54.7692 W</t>
  </si>
  <si>
    <t>45 40.488 N</t>
  </si>
  <si>
    <t>61 54.4716 W</t>
  </si>
  <si>
    <t>44 0.6114 N</t>
  </si>
  <si>
    <t>66 11.1708 W</t>
  </si>
  <si>
    <t>43 41.1768 N</t>
  </si>
  <si>
    <t>65 10.0686 W</t>
  </si>
  <si>
    <t>44 37.40166 N</t>
  </si>
  <si>
    <t>63 31.263 W</t>
  </si>
  <si>
    <t>45 41.4186 N</t>
  </si>
  <si>
    <t>61 31.0386 W</t>
  </si>
  <si>
    <t>45 5.0886 N</t>
  </si>
  <si>
    <t>61 49.4184 W</t>
  </si>
  <si>
    <t>43 55.8558 N</t>
  </si>
  <si>
    <t>66 10.0788 W</t>
  </si>
  <si>
    <t>44 38.0592 N</t>
  </si>
  <si>
    <t>63 20.2326 W</t>
  </si>
  <si>
    <t>45 36.6774 N</t>
  </si>
  <si>
    <t>60 59.0646 W</t>
  </si>
  <si>
    <t>45 36.156 N</t>
  </si>
  <si>
    <t>60 54.1464 W</t>
  </si>
  <si>
    <t>43 42.9432 N</t>
  </si>
  <si>
    <t>65 0.504 W</t>
  </si>
  <si>
    <t>45 39.006 N</t>
  </si>
  <si>
    <t>62 31.5054 W</t>
  </si>
  <si>
    <t>2021-12-09: DD changed Waterbody to Little Harbour (from Pictou Harbour)</t>
  </si>
  <si>
    <t>45 33.6516 N</t>
  </si>
  <si>
    <t>60 45.6756 W</t>
  </si>
  <si>
    <t>45 39.624 N</t>
  </si>
  <si>
    <t>62 30.8892 W</t>
  </si>
  <si>
    <t>45 39.6258 N</t>
  </si>
  <si>
    <t>62 30.8922 W</t>
  </si>
  <si>
    <t>45 39.6276 N</t>
  </si>
  <si>
    <t>62 30.8952 W</t>
  </si>
  <si>
    <t>Gypsum Wharf</t>
  </si>
  <si>
    <t>46 0.1656 N</t>
  </si>
  <si>
    <t>60 57.6066 W</t>
  </si>
  <si>
    <t>44 1.5672 N</t>
  </si>
  <si>
    <t>64 39.9456 W</t>
  </si>
  <si>
    <t>43 40.7412 N</t>
  </si>
  <si>
    <t>65 53.868 W</t>
  </si>
  <si>
    <t>43 47.4498 N</t>
  </si>
  <si>
    <t>65 54.684 W</t>
  </si>
  <si>
    <t>43 43.2606 N</t>
  </si>
  <si>
    <t>65 50.7438 W</t>
  </si>
  <si>
    <t>Peases Island</t>
  </si>
  <si>
    <t>43 38.0136 N</t>
  </si>
  <si>
    <t>66 1.8198 W</t>
  </si>
  <si>
    <t>43 40.9692 N</t>
  </si>
  <si>
    <t>65 50.1486 W</t>
  </si>
  <si>
    <t>The Brothers</t>
  </si>
  <si>
    <t>43 38.2398 N</t>
  </si>
  <si>
    <t>65 49.3116 W</t>
  </si>
  <si>
    <t>43 42.9648 N</t>
  </si>
  <si>
    <t>65 56.5614 W</t>
  </si>
  <si>
    <t>43 41.6412 N</t>
  </si>
  <si>
    <t>65 57.5652 W</t>
  </si>
  <si>
    <t>46 5.0502 N</t>
  </si>
  <si>
    <t>61 27.4332 W</t>
  </si>
  <si>
    <t>46 4.5282 N</t>
  </si>
  <si>
    <t>61 26.8416 W</t>
  </si>
  <si>
    <t>44 26.0064 N</t>
  </si>
  <si>
    <t>64 7.8966 W</t>
  </si>
  <si>
    <t>44 26.232 N</t>
  </si>
  <si>
    <t>64 15.0348 W</t>
  </si>
  <si>
    <t>44 32.6142 N</t>
  </si>
  <si>
    <t>64 10.4052 W</t>
  </si>
  <si>
    <t>44 30.5322 N</t>
  </si>
  <si>
    <t>64 7.9782 W</t>
  </si>
  <si>
    <t>44 57.75 N</t>
  </si>
  <si>
    <t>62 3.6498 W</t>
  </si>
  <si>
    <t>44 57.012 N</t>
  </si>
  <si>
    <t>62 0.6642 W</t>
  </si>
  <si>
    <t>44 57.7626 N</t>
  </si>
  <si>
    <t>62 5.2746 W</t>
  </si>
  <si>
    <t>45 45.7686 N</t>
  </si>
  <si>
    <t>63 21.0822 W</t>
  </si>
  <si>
    <t>45 45.7692 N</t>
  </si>
  <si>
    <t>63 21.0936 W</t>
  </si>
  <si>
    <t>45 45.7704 N</t>
  </si>
  <si>
    <t>63 21.105 W</t>
  </si>
  <si>
    <t>44 6.0078 N</t>
  </si>
  <si>
    <t>64 31.6698 W</t>
  </si>
  <si>
    <t>45 39.2819 N</t>
  </si>
  <si>
    <t>62 25.7706 W</t>
  </si>
  <si>
    <t>Ramon Deployment</t>
  </si>
  <si>
    <t>45 37.9278 N</t>
  </si>
  <si>
    <t>62 30.3378 W</t>
  </si>
  <si>
    <t>45 38.6358 N</t>
  </si>
  <si>
    <t>62 28.0872 W</t>
  </si>
  <si>
    <t>45 33.971 N</t>
  </si>
  <si>
    <t>60 40.038 W</t>
  </si>
  <si>
    <t>45 39.2934 N</t>
  </si>
  <si>
    <t>61 49.7238 W</t>
  </si>
  <si>
    <t>2021-12-09: DD removed apostrophe from Station and changed Waterbody to Monks Head Harbour (from Antigonish Harbour/Malagash)</t>
  </si>
  <si>
    <t>43 31.461 N</t>
  </si>
  <si>
    <t>65 21.33 W</t>
  </si>
  <si>
    <t>45 9.582 N</t>
  </si>
  <si>
    <t>61 24.1908 W</t>
  </si>
  <si>
    <t>45 9.303 N</t>
  </si>
  <si>
    <t>61 23.9112 W</t>
  </si>
  <si>
    <t>46 39.891 N</t>
  </si>
  <si>
    <t>60 22.599 W</t>
  </si>
  <si>
    <t>46 5.549 N</t>
  </si>
  <si>
    <t>61 30.317 W</t>
  </si>
  <si>
    <t>46 5.124 N</t>
  </si>
  <si>
    <t>60 53.5704 W</t>
  </si>
  <si>
    <t>Cheticamp River</t>
  </si>
  <si>
    <t>46 40.594 N</t>
  </si>
  <si>
    <t>60 58.073 W</t>
  </si>
  <si>
    <t>Margaree River</t>
  </si>
  <si>
    <t>46 26.988 N</t>
  </si>
  <si>
    <t>61 7.026 W</t>
  </si>
  <si>
    <t>44 44.0472 N</t>
  </si>
  <si>
    <t>62 48.6072 W</t>
  </si>
  <si>
    <t>2021-12-09: DD removed apostrophe from Station and changed Waterbody to Owls Head Bay (from Owls Head Harbour)</t>
  </si>
  <si>
    <t>Mackerel Island</t>
  </si>
  <si>
    <t>44 27.7842 N</t>
  </si>
  <si>
    <t>63 40.644 W</t>
  </si>
  <si>
    <t>Summerside</t>
  </si>
  <si>
    <t>45 36.7158 N</t>
  </si>
  <si>
    <t>61 47.2062 W</t>
  </si>
  <si>
    <t>43 28.098 N</t>
  </si>
  <si>
    <t>65 25.9824 W</t>
  </si>
  <si>
    <t>2021-12-09: DD changed Waterbody to Port La Tour (from Port Latour)</t>
  </si>
  <si>
    <t>43 28.0458 N</t>
  </si>
  <si>
    <t>65 25.3698 W</t>
  </si>
  <si>
    <t>White Point Rock</t>
  </si>
  <si>
    <t>43 56.57154 N</t>
  </si>
  <si>
    <t>64 43.40022 W</t>
  </si>
  <si>
    <t>The Jolt</t>
  </si>
  <si>
    <t>43 41.14482 N</t>
  </si>
  <si>
    <t>65 1.0914 W</t>
  </si>
  <si>
    <t>43 48.8064 N</t>
  </si>
  <si>
    <t>65 54.7284 W</t>
  </si>
  <si>
    <t>43 47.9622 N</t>
  </si>
  <si>
    <t>64 52.7412 W</t>
  </si>
  <si>
    <t>44 30.0702 N</t>
  </si>
  <si>
    <t>63 48.849 W</t>
  </si>
  <si>
    <t>Outer Island</t>
  </si>
  <si>
    <t>43 28.143 N</t>
  </si>
  <si>
    <t>65 44.4132 W</t>
  </si>
  <si>
    <t>44 50.3154 N</t>
  </si>
  <si>
    <t>62 30.702 W</t>
  </si>
  <si>
    <t>43 37.845 N</t>
  </si>
  <si>
    <t>65 15.6456 W</t>
  </si>
  <si>
    <t>Moshers Island</t>
  </si>
  <si>
    <t>44 13.22148 N</t>
  </si>
  <si>
    <t>64 18.51114 W</t>
  </si>
  <si>
    <t>44 46.3866 N</t>
  </si>
  <si>
    <t>62 43.551 W</t>
  </si>
  <si>
    <t>44 54.632 N</t>
  </si>
  <si>
    <t>62 19.199 W</t>
  </si>
  <si>
    <t>44 50.7114 N</t>
  </si>
  <si>
    <t>62 27.9774 W</t>
  </si>
  <si>
    <t>44 50.3304 N</t>
  </si>
  <si>
    <t>62 28.2642 W</t>
  </si>
  <si>
    <t>44 49.0758 N</t>
  </si>
  <si>
    <t>62 37.1394 W</t>
  </si>
  <si>
    <t>Englishtown</t>
  </si>
  <si>
    <t>46 15.8244 N</t>
  </si>
  <si>
    <t>60 33.2958 W</t>
  </si>
  <si>
    <t>45 42.482 N</t>
  </si>
  <si>
    <t>61 51.392 W</t>
  </si>
  <si>
    <t>45 41.682 N</t>
  </si>
  <si>
    <t>61 51.004 W</t>
  </si>
  <si>
    <t>45 41.921 N</t>
  </si>
  <si>
    <t>61 51.840 W</t>
  </si>
  <si>
    <t>44 34.2006 N</t>
  </si>
  <si>
    <t>64 2.0676 W</t>
  </si>
  <si>
    <t>Charley Rock</t>
  </si>
  <si>
    <t>44 30.87828 N</t>
  </si>
  <si>
    <t>63 58.66698 W</t>
  </si>
  <si>
    <t>44 33.4374 N</t>
  </si>
  <si>
    <t>63 57.2538 W</t>
  </si>
  <si>
    <t>44 32.8974 N</t>
  </si>
  <si>
    <t>64 1.0452 W</t>
  </si>
  <si>
    <t>44 24.426 N</t>
  </si>
  <si>
    <t>66 9.6318 W</t>
  </si>
  <si>
    <t>44 32.3472 N</t>
  </si>
  <si>
    <t>65 57.4788 W</t>
  </si>
  <si>
    <t>44 30.2304 N</t>
  </si>
  <si>
    <t>65 55.938 W</t>
  </si>
  <si>
    <t>44 32.1744 N</t>
  </si>
  <si>
    <t>66 0.1032 W</t>
  </si>
  <si>
    <t>44 31.968 N</t>
  </si>
  <si>
    <t>65 59.0424 W</t>
  </si>
  <si>
    <t>Formerly Centreville, renamed due to distance from other deployments at Centreville station</t>
  </si>
  <si>
    <t>44 19.4412 N</t>
  </si>
  <si>
    <t>66 8.1408 W</t>
  </si>
  <si>
    <t>44 19.209 N</t>
  </si>
  <si>
    <t>66 8.1042 W</t>
  </si>
  <si>
    <t>East Ferry</t>
  </si>
  <si>
    <t>44 23.3664 N</t>
  </si>
  <si>
    <t>66 10.5826 W</t>
  </si>
  <si>
    <t>44 24.0912 N</t>
  </si>
  <si>
    <t>66 9.6762 W</t>
  </si>
  <si>
    <t>44 22.9104 N</t>
  </si>
  <si>
    <t>66 10.6434 W</t>
  </si>
  <si>
    <t>44 21.0234 N</t>
  </si>
  <si>
    <t>66 13.4802 W</t>
  </si>
  <si>
    <t>Includes one former station called "Long Island"</t>
  </si>
  <si>
    <t>44 20.01 N</t>
  </si>
  <si>
    <t>66 12.1128 W</t>
  </si>
  <si>
    <t>Long Island 3</t>
  </si>
  <si>
    <t>44 19.992 N</t>
  </si>
  <si>
    <t>66 14.6106 W</t>
  </si>
  <si>
    <t>44 23.2104 N</t>
  </si>
  <si>
    <t>66 8.6544 W</t>
  </si>
  <si>
    <t>44 29.142 N</t>
  </si>
  <si>
    <t>66 3.5676 W</t>
  </si>
  <si>
    <t>2021-12-13: DD changed station to Sandy Cove St. Mary's (from Sandy Cove St Marys). Changed back to Sandy Cove 2023-03-16</t>
  </si>
  <si>
    <t>45 4.6866 N</t>
  </si>
  <si>
    <t>61 56.3064 W</t>
  </si>
  <si>
    <t>45 4.2714 N</t>
  </si>
  <si>
    <t>61 55.6032 W</t>
  </si>
  <si>
    <t>45 4.0734 N</t>
  </si>
  <si>
    <t>61 54.8436 W</t>
  </si>
  <si>
    <t>Previously 1435, deployed by producer</t>
  </si>
  <si>
    <t>45 39.7098 N</t>
  </si>
  <si>
    <t>60 50.8566 W</t>
  </si>
  <si>
    <t>45 39.3198 N</t>
  </si>
  <si>
    <t>60 50.7486 W</t>
  </si>
  <si>
    <t>45 38.8128 N</t>
  </si>
  <si>
    <t>61 24.6882 W</t>
  </si>
  <si>
    <t>45 31.5102 N</t>
  </si>
  <si>
    <t>61 15.321 W</t>
  </si>
  <si>
    <t>45 35.358 N</t>
  </si>
  <si>
    <t>61 22.7664 W</t>
  </si>
  <si>
    <t>45 35.7516 N</t>
  </si>
  <si>
    <t>61 21.8292 W</t>
  </si>
  <si>
    <t>Pulp Mill Site 2</t>
  </si>
  <si>
    <t>45 35.67 N</t>
  </si>
  <si>
    <t>45 46.9896 N</t>
  </si>
  <si>
    <t>63 13.5102 W</t>
  </si>
  <si>
    <t>45 13.539 N</t>
  </si>
  <si>
    <t>61 17.7696 W</t>
  </si>
  <si>
    <t>**Called Tor Bay Center in NSDFA tracking</t>
  </si>
  <si>
    <t>45 15.0042 N</t>
  </si>
  <si>
    <t>61 17.9196 W</t>
  </si>
  <si>
    <t>45 12.4608 N</t>
  </si>
  <si>
    <t>61 21.1914 W</t>
  </si>
  <si>
    <t>45 13.8108 N</t>
  </si>
  <si>
    <t>61 15.2034 W</t>
  </si>
  <si>
    <t>45 38.6346 N</t>
  </si>
  <si>
    <t>61 38.8554 W</t>
  </si>
  <si>
    <t>45 38.6424 N</t>
  </si>
  <si>
    <t>61 38.8656 W</t>
  </si>
  <si>
    <t>45 38.6502 N</t>
  </si>
  <si>
    <t>61 38.8734 W</t>
  </si>
  <si>
    <t>45 16.4574 N</t>
  </si>
  <si>
    <t>61 7.7064 W</t>
  </si>
  <si>
    <t>May be distinct from Northeast Branch</t>
  </si>
  <si>
    <t>45 11.9208 N</t>
  </si>
  <si>
    <t>61 11.3178 W</t>
  </si>
  <si>
    <t>45 15.3426 N</t>
  </si>
  <si>
    <t>61 8.8008 W</t>
  </si>
  <si>
    <t>45 14.3982 N</t>
  </si>
  <si>
    <t>61 10.1028 W</t>
  </si>
  <si>
    <t>45 14.3016 N</t>
  </si>
  <si>
    <t>61 9.0306 W</t>
  </si>
  <si>
    <t>45 14.394 N</t>
  </si>
  <si>
    <t>61 9.162 W</t>
  </si>
  <si>
    <t>45 16.2372 N</t>
  </si>
  <si>
    <t>61 8.1 W</t>
  </si>
  <si>
    <t>45 17.2044 N</t>
  </si>
  <si>
    <t>61 10.101 W</t>
  </si>
  <si>
    <t>45 14.2554 N</t>
  </si>
  <si>
    <t>61 8.9682 W</t>
  </si>
  <si>
    <t>45 14.3436 N</t>
  </si>
  <si>
    <t>61 8.9772 W</t>
  </si>
  <si>
    <t>45 14.9574 N</t>
  </si>
  <si>
    <t>61 8.8062 W</t>
  </si>
  <si>
    <t>45 14.7894 N</t>
  </si>
  <si>
    <t>61 9.372 W</t>
  </si>
  <si>
    <t>45 14.0166 N</t>
  </si>
  <si>
    <t>61 9.5088 W</t>
  </si>
  <si>
    <t>0814x E</t>
  </si>
  <si>
    <t>45 57.0756 N</t>
  </si>
  <si>
    <t>61 7.2426 W</t>
  </si>
  <si>
    <t>0814x W</t>
  </si>
  <si>
    <t>45 56.7282 N</t>
  </si>
  <si>
    <t>61 7.7502 W</t>
  </si>
  <si>
    <t>45 56.9106 N</t>
  </si>
  <si>
    <t>61 7.4796 W</t>
  </si>
  <si>
    <t>45 58.5648 N</t>
  </si>
  <si>
    <t>61 1.3608 W</t>
  </si>
  <si>
    <t>45 4.3374 N</t>
  </si>
  <si>
    <t>61 51.6552 W</t>
  </si>
  <si>
    <t>43 29.8284 N</t>
  </si>
  <si>
    <t>65 44.2704 W</t>
  </si>
  <si>
    <t>44 26.002</t>
  </si>
  <si>
    <t>64 7.910</t>
  </si>
  <si>
    <t>44 26.021</t>
  </si>
  <si>
    <t>64 7.905</t>
  </si>
  <si>
    <t>44 26.242</t>
  </si>
  <si>
    <t>64 15.021</t>
  </si>
  <si>
    <t>whale_safe_link_number</t>
  </si>
  <si>
    <t>whale_safe_link_type</t>
  </si>
  <si>
    <t>64 15.044</t>
  </si>
  <si>
    <t>44 30.562</t>
  </si>
  <si>
    <t>64 7.988</t>
  </si>
  <si>
    <t>bizarrely un-fouled (see photos in folder); slight suspicion this is due to the rope type (slick poly from RNR)</t>
  </si>
  <si>
    <t>44 30.560</t>
  </si>
  <si>
    <t>64 8.000</t>
  </si>
  <si>
    <t>type of whale safe linkage used</t>
  </si>
  <si>
    <t>number of whale safe linkages used</t>
  </si>
  <si>
    <t>none, SSL link, Fundy loop</t>
  </si>
  <si>
    <t>SSL link</t>
  </si>
  <si>
    <t>44 30.877</t>
  </si>
  <si>
    <t>63 58.671</t>
  </si>
  <si>
    <t>deployed as VR2-only string for OTN; accidentally added too many rotors, likely only need 4</t>
  </si>
  <si>
    <t>44 34.211</t>
  </si>
  <si>
    <t>64 2.064</t>
  </si>
  <si>
    <t>44 34.168</t>
  </si>
  <si>
    <t>64 2.249</t>
  </si>
  <si>
    <t>Hobo DO antifouling protective guard</t>
  </si>
  <si>
    <t>has a copper cage over the DO sensor head</t>
  </si>
  <si>
    <t>44 33.470</t>
  </si>
  <si>
    <t>63 57.256</t>
  </si>
  <si>
    <t>44 33.463</t>
  </si>
  <si>
    <t>Could not offload data from sensor ("Read out error: Could not read data from device.") To be sent to Innovasea for repair/recovery.; 2025-05-15: data was offloaded and sent by Onset</t>
  </si>
  <si>
    <t>Deliberately deployed ~200 m from previous deployment to allow for possible dragging of lost deployment later; still well within the bounds of the official point area. May 2025 -- string released from anchor but did not float to surface; tracked via VR2 pings but unable to retrieve; lost.</t>
  </si>
  <si>
    <t>45 23.712</t>
  </si>
  <si>
    <t>61 24.548</t>
  </si>
  <si>
    <t>45 23.707</t>
  </si>
  <si>
    <t>61 24.566</t>
  </si>
  <si>
    <t>45 21.138</t>
  </si>
  <si>
    <t>61 17.196</t>
  </si>
  <si>
    <t>45 20.834</t>
  </si>
  <si>
    <t>61 17.287</t>
  </si>
  <si>
    <t>45 21.650</t>
  </si>
  <si>
    <t>61 24.412</t>
  </si>
  <si>
    <t>45 21.661</t>
  </si>
  <si>
    <t>45 35.441</t>
  </si>
  <si>
    <t>61 22.867</t>
  </si>
  <si>
    <t>Troy Harbour</t>
  </si>
  <si>
    <t>45 40.908</t>
  </si>
  <si>
    <t>61 26.706</t>
  </si>
  <si>
    <t>45 40.908 N</t>
  </si>
  <si>
    <t>61 26.706 W</t>
  </si>
  <si>
    <t>4m under surface to help avoid ship traffic; OTN request location</t>
  </si>
  <si>
    <t>45 29.897</t>
  </si>
  <si>
    <t>61 2.681</t>
  </si>
  <si>
    <t>45 29.882</t>
  </si>
  <si>
    <t>61 2.679</t>
  </si>
  <si>
    <t>45 29.900</t>
  </si>
  <si>
    <t>61 1.141</t>
  </si>
  <si>
    <t>45 29.899</t>
  </si>
  <si>
    <t>61 1.161</t>
  </si>
  <si>
    <t>45 39.597</t>
  </si>
  <si>
    <t>61 54.255</t>
  </si>
  <si>
    <t>45 39.595</t>
  </si>
  <si>
    <t>61 54.246</t>
  </si>
  <si>
    <t>45 40.300</t>
  </si>
  <si>
    <t>61 54.683</t>
  </si>
  <si>
    <t>45 38.613</t>
  </si>
  <si>
    <t>62 28.077</t>
  </si>
  <si>
    <t>45 38.633</t>
  </si>
  <si>
    <t>62 28.074</t>
  </si>
  <si>
    <t>retired</t>
  </si>
  <si>
    <t>active</t>
  </si>
  <si>
    <t>wishlist</t>
  </si>
  <si>
    <t>46 4.7226</t>
  </si>
  <si>
    <t>60 53.3358</t>
  </si>
  <si>
    <t>OTN (Caitlin Bate)</t>
  </si>
  <si>
    <t>45 58.4052</t>
  </si>
  <si>
    <t>60 28.212</t>
  </si>
  <si>
    <t>45 42.6438</t>
  </si>
  <si>
    <t>61 8.3772</t>
  </si>
  <si>
    <t>Deployment and retrieval coordinates are 144.56m apart</t>
  </si>
  <si>
    <t>Deployment and retrieval coordinates are 430.84m apart. Retrieval coordinates incorrect (on land). Likely due to satellite signal inaccuracy in Navionics.</t>
  </si>
  <si>
    <t xml:space="preserve">Deployment and retrieval coordinates are 144.56m apart. </t>
  </si>
  <si>
    <t>Attached to Cooke Buoy. Cleaned around June 13 by SIMCorp. Cleaned August 22 at 10am by Anne. On return in June 2025, entire compensator buoy was missing; Cooke has no idea where it went…</t>
  </si>
  <si>
    <t>44 20.010</t>
  </si>
  <si>
    <t>66 12.121</t>
  </si>
  <si>
    <t>attempted retrieval June 2025, string there and communicating but did not float; Leah to communicate with regional MILO (?) to get out word with local fisherman; will reattempt in August</t>
  </si>
  <si>
    <t>44 29.141</t>
  </si>
  <si>
    <t>66 3.574</t>
  </si>
  <si>
    <t>HOBO sensor retrieved but battery so low it cannot offload :(</t>
  </si>
  <si>
    <t>MacRaes Island</t>
  </si>
  <si>
    <t>Cameron Island</t>
  </si>
  <si>
    <t>45 47.364</t>
  </si>
  <si>
    <t>61 4.500</t>
  </si>
  <si>
    <t>Anne &amp; OTN (Caitlin, Iago)</t>
  </si>
  <si>
    <t>45 48.697</t>
  </si>
  <si>
    <t>61 1.593</t>
  </si>
  <si>
    <t>46 4.729</t>
  </si>
  <si>
    <t>60 53.318</t>
  </si>
  <si>
    <t>46 4.699</t>
  </si>
  <si>
    <t>60 53.354</t>
  </si>
  <si>
    <t>45 42.646</t>
  </si>
  <si>
    <t>61 8.372</t>
  </si>
  <si>
    <t>45 42.649</t>
  </si>
  <si>
    <t>61 8.371</t>
  </si>
  <si>
    <t>briefly retrieved 2024-06-05 (17:00:00-17:20:00 UTC) &amp; redeployed; deployment location noted here is current/correct; DD updated lat/long (previous was on land); 2025-05-15: data from this sensor could not be offloaded. Send to Onset, but the board was severely corroded; 2025-06-23 Data successfully offloaded by Onset, now uploaded to appropriate folder</t>
  </si>
  <si>
    <t>43 40.74</t>
  </si>
  <si>
    <t>65 53.88</t>
  </si>
  <si>
    <t>Timothy Dada, Michelle Plamondon, Joe Erly, Mark Decker</t>
  </si>
  <si>
    <t>Fisherman</t>
  </si>
  <si>
    <t>String was lost for 4 years. Retrieved by fisherman June 2025 and returned to CMAR. Sal sensor damaged upon retrieval. VR2 only recorded data for 4 months. Dataset trimmed to this date due to inability to validate depth/location after this point.</t>
  </si>
  <si>
    <t>Recommend increasing anchor weight to at least 5 rotors; 2025-07-10 Changed hobo SN in metadata from 21925319, suspected typo based on hobo data file</t>
  </si>
  <si>
    <t>43 28.052</t>
  </si>
  <si>
    <t>65 25.394</t>
  </si>
  <si>
    <t>43 31.448</t>
  </si>
  <si>
    <t>65 21.371</t>
  </si>
  <si>
    <t>43 41.171</t>
  </si>
  <si>
    <t>65 10.072</t>
  </si>
  <si>
    <t>43 41.164</t>
  </si>
  <si>
    <t>65 10.104</t>
  </si>
  <si>
    <t>43 41.115</t>
  </si>
  <si>
    <t>65 1.163</t>
  </si>
  <si>
    <t>43 47.961</t>
  </si>
  <si>
    <t>64 52.735</t>
  </si>
  <si>
    <t>44 1.559</t>
  </si>
  <si>
    <t>64 39.964</t>
  </si>
  <si>
    <t>43 56.500</t>
  </si>
  <si>
    <t>64 43.520</t>
  </si>
  <si>
    <t>44 5.998</t>
  </si>
  <si>
    <t>44 6.003</t>
  </si>
  <si>
    <t>64 31.681</t>
  </si>
  <si>
    <t>44 13.300</t>
  </si>
  <si>
    <t>64 18.522</t>
  </si>
  <si>
    <t>Otter Island</t>
  </si>
  <si>
    <t>Mouse Island</t>
  </si>
  <si>
    <t>46 12.490</t>
  </si>
  <si>
    <t>60 31.261</t>
  </si>
  <si>
    <t>46 12.311</t>
  </si>
  <si>
    <t>60 23.712</t>
  </si>
  <si>
    <t>45 58.346</t>
  </si>
  <si>
    <t>60 28.075</t>
  </si>
  <si>
    <t>Head of West Bay Cove</t>
  </si>
  <si>
    <t>45 47.364 N</t>
  </si>
  <si>
    <t>61 4.500 W</t>
  </si>
  <si>
    <t>45 48.697 N</t>
  </si>
  <si>
    <t>61 1.593 W</t>
  </si>
  <si>
    <t>Cossitt Point</t>
  </si>
  <si>
    <t>46 12.311 N</t>
  </si>
  <si>
    <t>60 23.712 W</t>
  </si>
  <si>
    <t>St. Andrews Channel</t>
  </si>
  <si>
    <t>Great Bras d'Or Channel</t>
  </si>
  <si>
    <t>43 46.232</t>
  </si>
  <si>
    <t>66 8.163</t>
  </si>
  <si>
    <t>43 46.230</t>
  </si>
  <si>
    <t>66 8.106</t>
  </si>
  <si>
    <t>44 0.581</t>
  </si>
  <si>
    <t>66 11.150</t>
  </si>
  <si>
    <t>43 49.925</t>
  </si>
  <si>
    <t>66 10.362</t>
  </si>
  <si>
    <t>43 49.909</t>
  </si>
  <si>
    <t>66 10.403</t>
  </si>
  <si>
    <t>43 40.970</t>
  </si>
  <si>
    <t>65 50.146</t>
  </si>
  <si>
    <t>Heavily biofouled on retrieval</t>
  </si>
  <si>
    <t>43 40.942</t>
  </si>
  <si>
    <t>65 50.170</t>
  </si>
  <si>
    <t>43 40.756</t>
  </si>
  <si>
    <t>65 53.880</t>
  </si>
  <si>
    <t>43 40.740</t>
  </si>
  <si>
    <t>65 53.870</t>
  </si>
  <si>
    <t>copper tape</t>
  </si>
  <si>
    <t>43 41.650</t>
  </si>
  <si>
    <t>65 57.560</t>
  </si>
  <si>
    <t>16 rotors</t>
  </si>
  <si>
    <t>Dalhousie, Nicole</t>
  </si>
  <si>
    <t>East River Marina</t>
  </si>
  <si>
    <t>East River Bay</t>
  </si>
  <si>
    <t>44 34.65768 N</t>
  </si>
  <si>
    <t>64 10.2672 W</t>
  </si>
  <si>
    <t xml:space="preserve">44 34.65768 </t>
  </si>
  <si>
    <t xml:space="preserve">64 10.2672 </t>
  </si>
  <si>
    <t>Deployed with Hugh MacIntyre's Dalhousie Oceanography Lab. Sensor suspended on a rigid strucure between two dock floats. Site accessed by swimming from shoreline, homeowner contact.</t>
  </si>
  <si>
    <t>string drifted 88 m</t>
  </si>
  <si>
    <t>45 5.090</t>
  </si>
  <si>
    <t>61 49.415</t>
  </si>
  <si>
    <t>44 20.006</t>
  </si>
  <si>
    <t>66 12.113</t>
  </si>
  <si>
    <t>14" hard vinyl (orange)</t>
  </si>
  <si>
    <t>Tiddville</t>
  </si>
  <si>
    <t>44 24.331</t>
  </si>
  <si>
    <t>66 9.379</t>
  </si>
  <si>
    <t>16" hard vinyl</t>
  </si>
  <si>
    <t>44 29.137</t>
  </si>
  <si>
    <t>66 3.572</t>
  </si>
  <si>
    <t>string drifted &gt; 200 m</t>
  </si>
  <si>
    <t>VR2 responded and released but string did not pop up; partial string discovered by member of public on Little Tancook Island a month later</t>
  </si>
  <si>
    <t>VR2 responded and released but string did not pop up; partial string discovered by member of public on Little Tancook Island a month later; retrieval time &amp; date based on when the VR2 responded/released</t>
  </si>
  <si>
    <t>Deployed by CBU for MSX monitoring; Limited metadata. Do not include in CMP datasets or reports</t>
  </si>
  <si>
    <t>Anne, Bill &amp; Stanley</t>
  </si>
  <si>
    <t>45 16.275</t>
  </si>
  <si>
    <t>61 8.007</t>
  </si>
  <si>
    <t>Line 300, west end</t>
  </si>
  <si>
    <t>SAL missing -- suspected it got torn off by the unusual amount of ice over the winter. Did not replace.</t>
  </si>
  <si>
    <t>45 4.314</t>
  </si>
  <si>
    <t>61 51.660</t>
  </si>
  <si>
    <t>45 14.389</t>
  </si>
  <si>
    <t>61 10.105</t>
  </si>
  <si>
    <t>45 14.384</t>
  </si>
  <si>
    <t>61 10.100</t>
  </si>
  <si>
    <t>sunken line, had to hunt for it with a drag</t>
  </si>
  <si>
    <t>45 14.308</t>
  </si>
  <si>
    <t>61 9.024</t>
  </si>
  <si>
    <t>not on oyster line; two orange surface buoys</t>
  </si>
  <si>
    <t xml:space="preserve"> </t>
  </si>
  <si>
    <t>45 14.676</t>
  </si>
  <si>
    <t>61 9.303</t>
  </si>
  <si>
    <t>Anne, OTN (Caitlin &amp; Iago)</t>
  </si>
  <si>
    <t>Line 2, East end</t>
  </si>
  <si>
    <t>Block 1, Line 2, East end</t>
  </si>
  <si>
    <t>Block 1, Line 5, South end</t>
  </si>
  <si>
    <t>Block 7, Line 2, North end</t>
  </si>
  <si>
    <t>Battery dead on retrieval, no data recovered</t>
  </si>
  <si>
    <t>45 14.964</t>
  </si>
  <si>
    <t>61 8.785</t>
  </si>
  <si>
    <t>45 15.330</t>
  </si>
  <si>
    <t>61 8.761</t>
  </si>
  <si>
    <t>45 17.222</t>
  </si>
  <si>
    <t>61 10.114</t>
  </si>
  <si>
    <t>45 15.937</t>
  </si>
  <si>
    <t>60 57.653</t>
  </si>
  <si>
    <t>61 37.793</t>
  </si>
  <si>
    <t>45 9.295</t>
  </si>
  <si>
    <t>61 23.892</t>
  </si>
  <si>
    <t>45 9.300</t>
  </si>
  <si>
    <t>61 23.861</t>
  </si>
  <si>
    <t>44 49.068</t>
  </si>
  <si>
    <t>44 49.079</t>
  </si>
  <si>
    <t>62 37.140</t>
  </si>
  <si>
    <t>44 57.003</t>
  </si>
  <si>
    <t>62 0.679</t>
  </si>
  <si>
    <t>44 57.005</t>
  </si>
  <si>
    <t>62 0.695</t>
  </si>
  <si>
    <t>45 5.085</t>
  </si>
  <si>
    <t>61 49.417</t>
  </si>
  <si>
    <t>45 5.087</t>
  </si>
  <si>
    <t>61 49.407</t>
  </si>
  <si>
    <t>14" hard vinyl (white)</t>
  </si>
  <si>
    <t>45 6.122</t>
  </si>
  <si>
    <t>45 6.130</t>
  </si>
  <si>
    <t>61 37.8817</t>
  </si>
  <si>
    <t>45 13.551</t>
  </si>
  <si>
    <t>45 13.644</t>
  </si>
  <si>
    <t>45 15.139</t>
  </si>
  <si>
    <t>45 15.147</t>
  </si>
  <si>
    <t>61 1.031</t>
  </si>
  <si>
    <t>2025-10-16: DD changed deployment date to match data and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</si>
</sst>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00"/>
  </numFmts>
  <fonts count="7"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1"/>
      <color theme="1"/>
      <name val="Calibri"/>
      <family val="2"/>
    </font>
    <font>
      <sz val="1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tint="-4.9989318521683403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5" fillId="0" borderId="0"/>
    <xf numFmtId="0" fontId="6" fillId="0" borderId="0" applyNumberFormat="0" applyFill="0" applyBorder="0" applyAlignment="0" applyProtection="0"/>
  </cellStyleXfs>
  <cellXfs count="27">
    <xf numFmtId="0" fontId="0" fillId="0" borderId="0" xfId="0"/>
    <xf numFmtId="0" fontId="2" fillId="0" borderId="0" xfId="0" applyFont="1" applyAlignment="1">
      <alignment horizontal="left"/>
    </xf>
    <xf numFmtId="0" fontId="1" fillId="0" borderId="0" xfId="0" applyFont="1"/>
    <xf numFmtId="0" fontId="0" fillId="0" borderId="0" xfId="0" applyAlignment="1">
      <alignment horizontal="left"/>
    </xf>
    <xf numFmtId="14" fontId="0" fillId="0" borderId="0" xfId="0" applyNumberFormat="1" applyAlignment="1">
      <alignment horizontal="left"/>
    </xf>
    <xf numFmtId="21" fontId="0" fillId="0" borderId="0" xfId="0" applyNumberFormat="1" applyAlignment="1">
      <alignment horizontal="left"/>
    </xf>
    <xf numFmtId="49" fontId="0" fillId="0" borderId="0" xfId="0" applyNumberFormat="1" applyAlignment="1">
      <alignment horizontal="left"/>
    </xf>
    <xf numFmtId="165" fontId="0" fillId="0" borderId="0" xfId="0" applyNumberFormat="1" applyAlignment="1">
      <alignment horizontal="left"/>
    </xf>
    <xf numFmtId="49" fontId="4" fillId="0" borderId="0" xfId="0" applyNumberFormat="1" applyFont="1" applyAlignment="1">
      <alignment horizontal="left" vertical="center"/>
    </xf>
    <xf numFmtId="49" fontId="4" fillId="0" borderId="0" xfId="0" applyNumberFormat="1" applyFont="1" applyAlignment="1">
      <alignment horizontal="left"/>
    </xf>
    <xf numFmtId="166"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1" applyFont="1" applyAlignment="1">
      <alignment horizontal="left"/>
    </xf>
    <xf numFmtId="49" fontId="0" fillId="0" borderId="0" xfId="1" applyNumberFormat="1" applyFont="1" applyAlignment="1">
      <alignment horizontal="left"/>
    </xf>
    <xf numFmtId="49" fontId="0" fillId="4" borderId="0" xfId="0" applyNumberFormat="1" applyFill="1" applyAlignment="1">
      <alignment horizontal="left"/>
    </xf>
    <xf numFmtId="1" fontId="0" fillId="3" borderId="0" xfId="0" applyNumberFormat="1" applyFill="1" applyAlignment="1">
      <alignment horizontal="left"/>
    </xf>
    <xf numFmtId="49" fontId="0" fillId="3" borderId="0" xfId="0" applyNumberFormat="1" applyFill="1" applyAlignment="1">
      <alignment horizontal="left"/>
    </xf>
    <xf numFmtId="166" fontId="0" fillId="2" borderId="0" xfId="0" applyNumberFormat="1" applyFill="1" applyAlignment="1">
      <alignment horizontal="left"/>
    </xf>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wrapText="1"/>
    </xf>
    <xf numFmtId="0" fontId="6" fillId="0" borderId="1" xfId="2" applyBorder="1" applyAlignment="1">
      <alignment wrapText="1"/>
    </xf>
    <xf numFmtId="21" fontId="0" fillId="0" borderId="1" xfId="0" applyNumberFormat="1" applyBorder="1" applyAlignment="1">
      <alignment wrapText="1"/>
    </xf>
    <xf numFmtId="0" fontId="0" fillId="0" borderId="1" xfId="0" applyBorder="1" applyAlignment="1">
      <alignment vertical="center"/>
    </xf>
    <xf numFmtId="49" fontId="1" fillId="0" borderId="0" xfId="0" applyNumberFormat="1" applyFont="1"/>
    <xf numFmtId="49" fontId="0" fillId="0" borderId="0" xfId="0" applyNumberFormat="1"/>
  </cellXfs>
  <cellStyles count="3">
    <cellStyle name="Hyperlink" xfId="2" builtinId="8"/>
    <cellStyle name="Normal" xfId="0" builtinId="0"/>
    <cellStyle name="Normal 2" xfId="1" xr:uid="{FC084B48-051C-4EEC-B742-6CBE5E54868C}"/>
  </cellStyles>
  <dxfs count="45">
    <dxf>
      <fill>
        <patternFill>
          <bgColor rgb="FFFFCCCC"/>
        </patternFill>
      </fill>
    </dxf>
    <dxf>
      <fill>
        <patternFill>
          <bgColor rgb="FFFFCCCC"/>
        </patternFill>
      </fill>
    </dxf>
    <dxf>
      <fill>
        <patternFill patternType="none">
          <bgColor auto="1"/>
        </patternFill>
      </fill>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 formatCode="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numFmt numFmtId="19" formatCode="yyyy/mm/dd"/>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FDBA38-0D36-4833-8205-A12550F0D550}" name="Table3" displayName="Table3" ref="A1:AN1077" totalsRowShown="0" headerRowDxfId="44" dataDxfId="43">
  <autoFilter ref="A1:AN1077" xr:uid="{BAFDBA38-0D36-4833-8205-A12550F0D550}">
    <filterColumn colId="6">
      <filters>
        <dateGroupItem year="2024" dateTimeGrouping="year"/>
      </filters>
    </filterColumn>
  </autoFilter>
  <sortState xmlns:xlrd2="http://schemas.microsoft.com/office/spreadsheetml/2017/richdata2" ref="A2:AN1077">
    <sortCondition ref="B1:B1077"/>
  </sortState>
  <tableColumns count="40">
    <tableColumn id="33" xr3:uid="{CF576CCA-77CE-40D9-84D5-C652D924F52D}" name="last_updated_date" dataDxfId="42"/>
    <tableColumn id="1" xr3:uid="{4FDB457D-E9EE-4438-B754-DEF6E22C375E}" name="station" dataDxfId="41"/>
    <tableColumn id="40" xr3:uid="{C56628F8-98EB-4004-AE31-03D745CBB08D}" name="waterbody" dataDxfId="40">
      <calculatedColumnFormula>_xlfn.XLOOKUP(Table3[[#This Row],[station]],station_waterbody_county!A:A, station_waterbody_county!B:B)</calculatedColumnFormula>
    </tableColumn>
    <tableColumn id="34" xr3:uid="{36DB786F-4975-4D7F-92DB-2034629DB4DC}" name="county" dataDxfId="39">
      <calculatedColumnFormula>_xlfn.XLOOKUP(Table3[[#This Row],[station]],station_waterbody_county!A:A, station_waterbody_county!C:C)</calculatedColumnFormula>
    </tableColumn>
    <tableColumn id="3" xr3:uid="{9C640E11-3503-4BD5-95DF-72DA48B531C2}" name="lease" dataDxfId="38"/>
    <tableColumn id="4" xr3:uid="{409D12AF-AA3A-45B4-9EB5-29E08FB6C90E}" name="status" dataDxfId="37"/>
    <tableColumn id="5" xr3:uid="{AFBAF740-2CD2-43B0-81A6-0516F4606D10}" name="deployment_date" dataDxfId="36"/>
    <tableColumn id="7" xr3:uid="{75C0BB57-0DBF-43BF-9019-6D525284287B}" name="deployment_time_utc" dataDxfId="35"/>
    <tableColumn id="6" xr3:uid="{B39136E9-7AF4-49E1-AA9B-82820A5D6DC8}" name="retrieval_date" dataDxfId="34"/>
    <tableColumn id="8" xr3:uid="{39E43A54-7AC1-41CF-9A9B-E69884E2C994}" name="retrieval_time_utc" dataDxfId="33"/>
    <tableColumn id="9" xr3:uid="{C6E6AB01-2E2D-4102-8B3F-78DC2FFA57ED}" name="deployment_latitude" dataDxfId="32"/>
    <tableColumn id="10" xr3:uid="{FE0C4EF4-8C90-464C-A031-F7BFD4CB7698}" name="deployment_longitude" dataDxfId="31"/>
    <tableColumn id="11" xr3:uid="{D3307949-9BE9-4E12-97A4-174DC4244B52}" name="retrieval_latitude" dataDxfId="30"/>
    <tableColumn id="12" xr3:uid="{29A6CC26-B4F5-4CCD-808A-5260AD5D8B18}" name="retrieval_longitude" dataDxfId="29"/>
    <tableColumn id="37" xr3:uid="{A1F3667C-E488-4C2C-87D9-8C514BECF4B5}" name="deployment_latitude_n_ddm" dataDxfId="28"/>
    <tableColumn id="36" xr3:uid="{C70C7B3F-CDB7-4540-9970-F96BB44436D6}" name="deployment_longitude_w_ddm" dataDxfId="27"/>
    <tableColumn id="38" xr3:uid="{2DFFDB55-1AC2-4726-B0BE-FB8A1C0C95B0}" name="retrieval_latitude_n_ddm" dataDxfId="26"/>
    <tableColumn id="39" xr3:uid="{6DE59BE1-157A-4CB2-A5FF-89E41DA3FAA7}" name="retrieval_longitude_w_ddm" dataDxfId="25"/>
    <tableColumn id="13" xr3:uid="{28E90EA1-C0EF-47FB-8298-620613459A34}" name="sensor_type" dataDxfId="24"/>
    <tableColumn id="14" xr3:uid="{506EF6EE-D16C-4001-A09F-3C2BCBAF0B27}" name="sensor_serial_number" dataDxfId="23"/>
    <tableColumn id="15" xr3:uid="{FBD18B3D-31BF-4E4A-915F-91AA936C89B5}" name="sensor_depth_m" dataDxfId="22"/>
    <tableColumn id="16" xr3:uid="{D1632F58-1D2F-40A1-A62D-2B74D8AE5F5C}" name="string_configuration" dataDxfId="21"/>
    <tableColumn id="17" xr3:uid="{14FDFA55-725C-4966-B19A-D3CC0EAF08D5}" name="sounding_m" dataDxfId="20"/>
    <tableColumn id="18" xr3:uid="{01FCBF73-7F73-494F-9EC7-261A3153C488}" name="acoustic_release" dataDxfId="19"/>
    <tableColumn id="19" xr3:uid="{2B2A45B0-53C9-4736-BA8E-0A4E3CBDDAE4}" name="tide_correction_m" dataDxfId="18"/>
    <tableColumn id="20" xr3:uid="{4C8E5BE8-0AB6-4ECA-B947-390253555118}" name="vr2ar_lug_height_above_seafloor_m" dataDxfId="17"/>
    <tableColumn id="21" xr3:uid="{1470B57F-92C1-4ACF-8525-B57FDA03D9EB}" name="deployment_tide_direction" dataDxfId="16"/>
    <tableColumn id="22" xr3:uid="{CC1625CF-4067-4AD8-8D08-10EECD531850}" name="primary_buoy_type" dataDxfId="15"/>
    <tableColumn id="23" xr3:uid="{87D61306-68DA-4C36-A55D-E076BC61AC1E}" name="secondary_buoy_type" dataDxfId="14"/>
    <tableColumn id="24" xr3:uid="{41B0B5D5-1E80-4EBA-9763-58CAFB48958D}" name="bottom_buoy_type" dataDxfId="13"/>
    <tableColumn id="42" xr3:uid="{52999F7E-EE2E-4DEE-9B0D-50E194D9D9BF}" name="whale_safe_link_type" dataDxfId="12"/>
    <tableColumn id="43" xr3:uid="{7B16BED9-0573-41C1-A373-4F207E63D826}" name="whale_safe_link_number" dataDxfId="11"/>
    <tableColumn id="25" xr3:uid="{99644787-B0D7-4CE3-9EF2-BEE4A4A1B5A6}" name="anchor_type" dataDxfId="10"/>
    <tableColumn id="26" xr3:uid="{FD9BC165-C6B4-4505-BA37-D81B7C941359}" name="anchor_weight_kg" dataDxfId="9"/>
    <tableColumn id="27" xr3:uid="{B809C12F-8224-4FF8-8465-175BF25477D9}" name="biofouling_prevention" dataDxfId="8"/>
    <tableColumn id="28" xr3:uid="{F9D14151-F8BD-4A2A-9900-D6AE0709D837}" name="datum" dataDxfId="7"/>
    <tableColumn id="29" xr3:uid="{944BA219-ECA9-4A4B-AF3A-3937D0C89748}" name="photos_taken" dataDxfId="6"/>
    <tableColumn id="30" xr3:uid="{1CDF0464-0BD1-43D3-82CB-D723141BF04E}" name="deployment_attendant" dataDxfId="5"/>
    <tableColumn id="31" xr3:uid="{998CB065-5F0B-4E0E-A6AF-ACD8605B2ECA}" name="retrieval_attendant" dataDxfId="4"/>
    <tableColumn id="32" xr3:uid="{4C88D143-F0B5-4F92-BE82-607D2BF90C56}" name="notes" dataDxfId="3"/>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tides.gc.ca/en/stations/00353/2024-08-22?tz=ADT&amp;unit=m" TargetMode="External"/><Relationship Id="rId2" Type="http://schemas.openxmlformats.org/officeDocument/2006/relationships/hyperlink" Target="https://geonames.nrcan.gc.ca/search-place-names/search?_gl=1*g1h5mk*_ga*NDY0MTMzMDUxLjE2ODkyNTM1ODg.*_ga_C2N57Y7DX5*MTcyNDM0MjgwMy4xLjAuMTcyNDM0MjgwMy4wLjAuMA.." TargetMode="External"/><Relationship Id="rId1" Type="http://schemas.openxmlformats.org/officeDocument/2006/relationships/hyperlink" Target="https://geonames.nrcan.gc.ca/search-place-names/search?_gl=1*g1h5mk*_ga*NDY0MTMzMDUxLjE2ODkyNTM1ODg.*_ga_C2N57Y7DX5*MTcyNDM0MjgwMy4xLjAuMTcyNDM0MjgwMy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78"/>
  <sheetViews>
    <sheetView tabSelected="1" topLeftCell="AN1" zoomScale="104" zoomScaleNormal="115" workbookViewId="0">
      <pane ySplit="1" topLeftCell="A2" activePane="bottomLeft" state="frozen"/>
      <selection pane="bottomLeft" activeCell="AQ8" sqref="AQ8"/>
    </sheetView>
  </sheetViews>
  <sheetFormatPr defaultColWidth="9.140625" defaultRowHeight="15" x14ac:dyDescent="0.25"/>
  <cols>
    <col min="1" max="1" width="19.140625" style="3" bestFit="1" customWidth="1"/>
    <col min="2" max="2" width="18.7109375" style="6" bestFit="1" customWidth="1"/>
    <col min="3" max="3" width="21.28515625" customWidth="1"/>
    <col min="4" max="4" width="11.85546875" bestFit="1" customWidth="1"/>
    <col min="5" max="5" width="7.42578125" bestFit="1" customWidth="1"/>
    <col min="6" max="6" width="8.5703125" style="6" bestFit="1" customWidth="1"/>
    <col min="7" max="7" width="18.28515625" style="6" bestFit="1" customWidth="1"/>
    <col min="8" max="8" width="22.140625" style="3" bestFit="1" customWidth="1"/>
    <col min="9" max="9" width="14.85546875" style="5" bestFit="1" customWidth="1"/>
    <col min="10" max="10" width="18.7109375" style="4" bestFit="1" customWidth="1"/>
    <col min="11" max="11" width="21.140625" style="5" hidden="1" customWidth="1"/>
    <col min="12" max="12" width="22.7109375" style="10" hidden="1" customWidth="1"/>
    <col min="13" max="13" width="17.7109375" style="10" hidden="1" customWidth="1"/>
    <col min="14" max="14" width="19.28515625" style="10" hidden="1" customWidth="1"/>
    <col min="15" max="15" width="28.28515625" style="10" bestFit="1" customWidth="1"/>
    <col min="16" max="16" width="30.28515625" style="6" bestFit="1" customWidth="1"/>
    <col min="17" max="17" width="24.85546875" style="6" bestFit="1" customWidth="1"/>
    <col min="18" max="18" width="26.7109375" style="6" bestFit="1" customWidth="1"/>
    <col min="19" max="19" width="16.28515625" style="6" bestFit="1" customWidth="1"/>
    <col min="20" max="20" width="21.85546875" style="6" bestFit="1" customWidth="1"/>
    <col min="21" max="21" width="17.42578125" style="11" bestFit="1" customWidth="1"/>
    <col min="22" max="22" width="23" style="7" bestFit="1" customWidth="1"/>
    <col min="23" max="23" width="13.7109375" style="6" bestFit="1" customWidth="1"/>
    <col min="24" max="24" width="17.140625" style="7" bestFit="1" customWidth="1"/>
    <col min="25" max="25" width="18.7109375" style="6" bestFit="1" customWidth="1"/>
    <col min="26" max="26" width="34.7109375" style="7" bestFit="1" customWidth="1"/>
    <col min="27" max="27" width="26.42578125" style="7" bestFit="1" customWidth="1"/>
    <col min="28" max="28" width="20.140625" style="6" bestFit="1" customWidth="1"/>
    <col min="29" max="29" width="22.28515625" style="6" bestFit="1" customWidth="1"/>
    <col min="30" max="30" width="19.85546875" style="6" bestFit="1" customWidth="1"/>
    <col min="31" max="31" width="21.7109375" bestFit="1" customWidth="1"/>
    <col min="32" max="32" width="24.7109375" style="11" bestFit="1" customWidth="1"/>
    <col min="33" max="33" width="15.7109375" style="6" bestFit="1" customWidth="1"/>
    <col min="34" max="34" width="18.85546875" style="6" bestFit="1" customWidth="1"/>
    <col min="35" max="35" width="32.28515625" bestFit="1" customWidth="1"/>
    <col min="36" max="36" width="8.7109375" bestFit="1" customWidth="1"/>
    <col min="37" max="37" width="14.85546875" style="6" bestFit="1" customWidth="1"/>
    <col min="38" max="38" width="51.140625" style="7" bestFit="1" customWidth="1"/>
    <col min="39" max="39" width="51.140625" style="6" bestFit="1" customWidth="1"/>
    <col min="40" max="40" width="255.7109375" style="6" bestFit="1" customWidth="1"/>
    <col min="41" max="16384" width="9.140625" style="3"/>
  </cols>
  <sheetData>
    <row r="1" spans="1:40" s="1" customFormat="1" x14ac:dyDescent="0.25">
      <c r="A1" s="1" t="s">
        <v>300</v>
      </c>
      <c r="B1" s="1" t="s">
        <v>1</v>
      </c>
      <c r="C1" s="1" t="s">
        <v>0</v>
      </c>
      <c r="D1" t="s">
        <v>747</v>
      </c>
      <c r="E1" s="1" t="s">
        <v>2</v>
      </c>
      <c r="F1" s="1" t="s">
        <v>3</v>
      </c>
      <c r="G1" s="1" t="s">
        <v>4</v>
      </c>
      <c r="H1" s="1" t="s">
        <v>5</v>
      </c>
      <c r="I1" s="1" t="s">
        <v>6</v>
      </c>
      <c r="J1" s="1" t="s">
        <v>7</v>
      </c>
      <c r="K1" s="1" t="s">
        <v>8</v>
      </c>
      <c r="L1" s="1" t="s">
        <v>9</v>
      </c>
      <c r="M1" s="1" t="s">
        <v>10</v>
      </c>
      <c r="N1" s="1" t="s">
        <v>11</v>
      </c>
      <c r="O1" s="1" t="s">
        <v>297</v>
      </c>
      <c r="P1" s="1" t="s">
        <v>296</v>
      </c>
      <c r="Q1" s="1" t="s">
        <v>298</v>
      </c>
      <c r="R1" s="1" t="s">
        <v>299</v>
      </c>
      <c r="S1" s="1" t="s">
        <v>12</v>
      </c>
      <c r="T1" s="1" t="s">
        <v>13</v>
      </c>
      <c r="U1" s="1" t="s">
        <v>14</v>
      </c>
      <c r="V1" s="1" t="s">
        <v>16</v>
      </c>
      <c r="W1" s="1" t="s">
        <v>17</v>
      </c>
      <c r="X1" s="1" t="s">
        <v>15</v>
      </c>
      <c r="Y1" s="1" t="s">
        <v>18</v>
      </c>
      <c r="Z1" s="1" t="s">
        <v>20</v>
      </c>
      <c r="AA1" s="1" t="s">
        <v>19</v>
      </c>
      <c r="AB1" s="1" t="s">
        <v>23</v>
      </c>
      <c r="AC1" s="1" t="s">
        <v>24</v>
      </c>
      <c r="AD1" s="1" t="s">
        <v>25</v>
      </c>
      <c r="AE1" s="1" t="s">
        <v>1234</v>
      </c>
      <c r="AF1" s="1" t="s">
        <v>1233</v>
      </c>
      <c r="AG1" s="1" t="s">
        <v>21</v>
      </c>
      <c r="AH1" s="1" t="s">
        <v>22</v>
      </c>
      <c r="AI1" s="1" t="s">
        <v>26</v>
      </c>
      <c r="AJ1" s="1" t="s">
        <v>29</v>
      </c>
      <c r="AK1" s="1" t="s">
        <v>30</v>
      </c>
      <c r="AL1" s="1" t="s">
        <v>27</v>
      </c>
      <c r="AM1" s="1" t="s">
        <v>28</v>
      </c>
      <c r="AN1" s="1" t="s">
        <v>31</v>
      </c>
    </row>
    <row r="2" spans="1:40" s="1" customFormat="1" x14ac:dyDescent="0.25">
      <c r="A2" s="4">
        <v>45707</v>
      </c>
      <c r="B2" s="6">
        <v>1369</v>
      </c>
      <c r="C2" t="str">
        <f>_xlfn.XLOOKUP(Table3[[#This Row],[station]],station_waterbody_county!A:A, station_waterbody_county!B:B)</f>
        <v>Merigomish Harbour</v>
      </c>
      <c r="D2" t="str">
        <f>_xlfn.XLOOKUP(Table3[[#This Row],[station]],station_waterbody_county!A:A, station_waterbody_county!C:C)</f>
        <v>Pictou</v>
      </c>
      <c r="E2" s="6" t="s">
        <v>745</v>
      </c>
      <c r="F2" s="6" t="s">
        <v>310</v>
      </c>
      <c r="G2" s="4">
        <v>45461</v>
      </c>
      <c r="H2" s="5"/>
      <c r="I2" s="4">
        <v>45547</v>
      </c>
      <c r="J2" s="5"/>
      <c r="K2" s="10">
        <v>45.654697499999997</v>
      </c>
      <c r="L2" s="10">
        <v>-62.429509400000001</v>
      </c>
      <c r="M2" s="10"/>
      <c r="N2" s="10"/>
      <c r="O2" s="6"/>
      <c r="P2" s="6"/>
      <c r="Q2" s="6"/>
      <c r="R2" s="6"/>
      <c r="S2" s="6" t="s">
        <v>253</v>
      </c>
      <c r="T2" s="11">
        <v>686013</v>
      </c>
      <c r="U2" s="7">
        <v>1</v>
      </c>
      <c r="V2" s="6" t="s">
        <v>618</v>
      </c>
      <c r="W2" s="7"/>
      <c r="X2" s="6" t="s">
        <v>241</v>
      </c>
      <c r="Y2" s="7"/>
      <c r="Z2" s="7"/>
      <c r="AA2" s="6"/>
      <c r="AB2" s="6"/>
      <c r="AC2" s="6"/>
      <c r="AD2" s="6"/>
      <c r="AE2" s="6"/>
      <c r="AF2" s="11"/>
      <c r="AG2" s="6"/>
      <c r="AH2" s="7"/>
      <c r="AI2" s="6"/>
      <c r="AJ2" s="6" t="s">
        <v>238</v>
      </c>
      <c r="AK2" s="6" t="s">
        <v>241</v>
      </c>
      <c r="AL2" s="6" t="s">
        <v>662</v>
      </c>
      <c r="AM2" s="6" t="s">
        <v>662</v>
      </c>
      <c r="AN2" s="6" t="s">
        <v>744</v>
      </c>
    </row>
    <row r="3" spans="1:40" s="1" customFormat="1" x14ac:dyDescent="0.25">
      <c r="A3" s="4">
        <v>45707</v>
      </c>
      <c r="B3" s="6">
        <v>1369</v>
      </c>
      <c r="C3" t="str">
        <f>_xlfn.XLOOKUP(Table3[[#This Row],[station]],station_waterbody_county!A:A, station_waterbody_county!B:B)</f>
        <v>Merigomish Harbour</v>
      </c>
      <c r="D3" t="str">
        <f>_xlfn.XLOOKUP(Table3[[#This Row],[station]],station_waterbody_county!A:A, station_waterbody_county!C:C)</f>
        <v>Pictou</v>
      </c>
      <c r="E3" s="6" t="s">
        <v>745</v>
      </c>
      <c r="F3" s="6" t="s">
        <v>310</v>
      </c>
      <c r="G3" s="4">
        <v>45461</v>
      </c>
      <c r="H3" s="5"/>
      <c r="I3" s="4">
        <v>45547</v>
      </c>
      <c r="J3" s="5"/>
      <c r="K3" s="10">
        <v>45.654697499999997</v>
      </c>
      <c r="L3" s="10">
        <v>-62.429509400000001</v>
      </c>
      <c r="M3" s="10"/>
      <c r="N3" s="10"/>
      <c r="O3" s="6"/>
      <c r="P3" s="6"/>
      <c r="Q3" s="6"/>
      <c r="R3" s="6"/>
      <c r="S3" s="6" t="s">
        <v>661</v>
      </c>
      <c r="T3" s="11">
        <v>687039</v>
      </c>
      <c r="U3" s="7">
        <v>1</v>
      </c>
      <c r="V3" s="6" t="s">
        <v>618</v>
      </c>
      <c r="W3" s="7"/>
      <c r="X3" s="6" t="s">
        <v>241</v>
      </c>
      <c r="Y3" s="7"/>
      <c r="Z3" s="7"/>
      <c r="AA3" s="6"/>
      <c r="AB3" s="6"/>
      <c r="AC3" s="6"/>
      <c r="AD3" s="6"/>
      <c r="AE3" s="6"/>
      <c r="AF3" s="11"/>
      <c r="AG3" s="6"/>
      <c r="AH3" s="7"/>
      <c r="AI3" s="6"/>
      <c r="AJ3" s="6" t="s">
        <v>238</v>
      </c>
      <c r="AK3" s="6" t="s">
        <v>241</v>
      </c>
      <c r="AL3" s="6" t="s">
        <v>662</v>
      </c>
      <c r="AM3" s="6" t="s">
        <v>662</v>
      </c>
      <c r="AN3" s="6" t="s">
        <v>744</v>
      </c>
    </row>
    <row r="4" spans="1:40" s="1" customFormat="1" x14ac:dyDescent="0.25">
      <c r="A4" s="4">
        <v>45707</v>
      </c>
      <c r="B4" s="6">
        <v>1369</v>
      </c>
      <c r="C4" t="str">
        <f>_xlfn.XLOOKUP(Table3[[#This Row],[station]],station_waterbody_county!A:A, station_waterbody_county!B:B)</f>
        <v>Merigomish Harbour</v>
      </c>
      <c r="D4" t="str">
        <f>_xlfn.XLOOKUP(Table3[[#This Row],[station]],station_waterbody_county!A:A, station_waterbody_county!C:C)</f>
        <v>Pictou</v>
      </c>
      <c r="E4" s="6" t="s">
        <v>745</v>
      </c>
      <c r="F4" s="6" t="s">
        <v>310</v>
      </c>
      <c r="G4" s="4">
        <v>45461</v>
      </c>
      <c r="H4" s="5"/>
      <c r="I4" s="4">
        <v>45547</v>
      </c>
      <c r="J4" s="5"/>
      <c r="K4" s="10">
        <v>45.654697499999997</v>
      </c>
      <c r="L4" s="10">
        <v>-62.429509400000001</v>
      </c>
      <c r="M4" s="10"/>
      <c r="N4" s="10"/>
      <c r="O4" s="6"/>
      <c r="P4" s="6"/>
      <c r="Q4" s="6"/>
      <c r="R4" s="6"/>
      <c r="S4" s="6" t="s">
        <v>240</v>
      </c>
      <c r="T4" s="11">
        <v>671009</v>
      </c>
      <c r="U4" s="7">
        <v>1</v>
      </c>
      <c r="V4" s="6" t="s">
        <v>618</v>
      </c>
      <c r="W4" s="7"/>
      <c r="X4" s="6" t="s">
        <v>241</v>
      </c>
      <c r="Y4" s="7"/>
      <c r="Z4" s="7"/>
      <c r="AA4" s="6"/>
      <c r="AB4" s="6"/>
      <c r="AC4" s="6"/>
      <c r="AD4" s="6"/>
      <c r="AE4" s="6"/>
      <c r="AF4" s="11"/>
      <c r="AG4" s="6"/>
      <c r="AH4" s="7"/>
      <c r="AI4" s="6"/>
      <c r="AJ4" s="6" t="s">
        <v>238</v>
      </c>
      <c r="AK4" s="6" t="s">
        <v>241</v>
      </c>
      <c r="AL4" s="6" t="s">
        <v>662</v>
      </c>
      <c r="AM4" s="6" t="s">
        <v>662</v>
      </c>
      <c r="AN4" s="6" t="s">
        <v>744</v>
      </c>
    </row>
    <row r="5" spans="1:40" s="1" customFormat="1" x14ac:dyDescent="0.25">
      <c r="A5" s="4">
        <v>45596</v>
      </c>
      <c r="B5" s="6">
        <v>1442</v>
      </c>
      <c r="C5" t="str">
        <f>_xlfn.XLOOKUP(Table3[[#This Row],[station]],station_waterbody_county!A:A, station_waterbody_county!B:B)</f>
        <v>Antigonish Harbour</v>
      </c>
      <c r="D5" t="str">
        <f>_xlfn.XLOOKUP(Table3[[#This Row],[station]],station_waterbody_county!A:A, station_waterbody_county!C:C)</f>
        <v>Antigonish</v>
      </c>
      <c r="E5" s="6" t="s">
        <v>494</v>
      </c>
      <c r="F5" s="6" t="s">
        <v>310</v>
      </c>
      <c r="G5" s="4">
        <v>45428</v>
      </c>
      <c r="H5" s="5">
        <v>0.73263888888888884</v>
      </c>
      <c r="I5" s="4">
        <v>45583</v>
      </c>
      <c r="J5" s="5">
        <v>0.69652777777777775</v>
      </c>
      <c r="K5" s="10"/>
      <c r="L5" s="10"/>
      <c r="M5" s="10"/>
      <c r="N5" s="10"/>
      <c r="O5" s="6" t="s">
        <v>319</v>
      </c>
      <c r="P5" s="6" t="s">
        <v>320</v>
      </c>
      <c r="Q5" s="6" t="s">
        <v>525</v>
      </c>
      <c r="R5" s="6" t="s">
        <v>526</v>
      </c>
      <c r="S5" s="6" t="s">
        <v>240</v>
      </c>
      <c r="T5" s="11">
        <v>671304</v>
      </c>
      <c r="U5" s="7">
        <v>0</v>
      </c>
      <c r="V5" s="6" t="s">
        <v>254</v>
      </c>
      <c r="W5" s="7"/>
      <c r="X5" s="6" t="s">
        <v>241</v>
      </c>
      <c r="Y5" s="7"/>
      <c r="Z5" s="7"/>
      <c r="AA5" s="6" t="s">
        <v>243</v>
      </c>
      <c r="AB5" s="6"/>
      <c r="AC5" s="6"/>
      <c r="AD5" s="6"/>
      <c r="AE5" s="6"/>
      <c r="AF5" s="11"/>
      <c r="AG5" s="6" t="s">
        <v>324</v>
      </c>
      <c r="AH5" s="7">
        <v>16</v>
      </c>
      <c r="AI5" s="6" t="s">
        <v>40</v>
      </c>
      <c r="AJ5" s="6" t="s">
        <v>238</v>
      </c>
      <c r="AK5" s="6" t="s">
        <v>241</v>
      </c>
      <c r="AL5" s="6" t="s">
        <v>323</v>
      </c>
      <c r="AM5" s="6" t="s">
        <v>527</v>
      </c>
      <c r="AN5" s="6" t="s">
        <v>322</v>
      </c>
    </row>
    <row r="6" spans="1:40" x14ac:dyDescent="0.25">
      <c r="A6" s="4">
        <v>45596</v>
      </c>
      <c r="B6" s="6">
        <v>1442</v>
      </c>
      <c r="C6" t="str">
        <f>_xlfn.XLOOKUP(Table3[[#This Row],[station]],station_waterbody_county!A:A, station_waterbody_county!B:B)</f>
        <v>Antigonish Harbour</v>
      </c>
      <c r="D6" t="str">
        <f>_xlfn.XLOOKUP(Table3[[#This Row],[station]],station_waterbody_county!A:A, station_waterbody_county!C:C)</f>
        <v>Antigonish</v>
      </c>
      <c r="E6" s="6" t="s">
        <v>494</v>
      </c>
      <c r="F6" s="6" t="s">
        <v>310</v>
      </c>
      <c r="G6" s="4">
        <v>45428</v>
      </c>
      <c r="H6" s="5">
        <v>0.73263888888888884</v>
      </c>
      <c r="I6" s="4">
        <v>45583</v>
      </c>
      <c r="J6" s="5">
        <v>0.69652777777777775</v>
      </c>
      <c r="K6" s="10"/>
      <c r="O6" s="6" t="s">
        <v>319</v>
      </c>
      <c r="P6" s="6" t="s">
        <v>320</v>
      </c>
      <c r="Q6" s="6" t="s">
        <v>525</v>
      </c>
      <c r="R6" s="6" t="s">
        <v>526</v>
      </c>
      <c r="S6" s="6" t="s">
        <v>239</v>
      </c>
      <c r="T6" s="11">
        <v>21981722</v>
      </c>
      <c r="U6" s="7">
        <v>0.5</v>
      </c>
      <c r="V6" s="6" t="s">
        <v>254</v>
      </c>
      <c r="W6" s="7"/>
      <c r="X6" s="6" t="s">
        <v>241</v>
      </c>
      <c r="Y6" s="7"/>
      <c r="AA6" s="6" t="s">
        <v>243</v>
      </c>
      <c r="AE6" s="6"/>
      <c r="AG6" s="6" t="s">
        <v>324</v>
      </c>
      <c r="AH6" s="7">
        <v>16</v>
      </c>
      <c r="AI6" s="6" t="s">
        <v>40</v>
      </c>
      <c r="AJ6" s="6" t="s">
        <v>238</v>
      </c>
      <c r="AK6" s="6" t="s">
        <v>241</v>
      </c>
      <c r="AL6" s="6" t="s">
        <v>323</v>
      </c>
      <c r="AM6" s="6" t="s">
        <v>527</v>
      </c>
      <c r="AN6" s="6" t="s">
        <v>322</v>
      </c>
    </row>
    <row r="7" spans="1:40" x14ac:dyDescent="0.25">
      <c r="A7" s="4">
        <v>45596</v>
      </c>
      <c r="B7" s="6">
        <v>1442</v>
      </c>
      <c r="C7" t="str">
        <f>_xlfn.XLOOKUP(Table3[[#This Row],[station]],station_waterbody_county!A:A, station_waterbody_county!B:B)</f>
        <v>Antigonish Harbour</v>
      </c>
      <c r="D7" t="str">
        <f>_xlfn.XLOOKUP(Table3[[#This Row],[station]],station_waterbody_county!A:A, station_waterbody_county!C:C)</f>
        <v>Antigonish</v>
      </c>
      <c r="E7" s="6" t="s">
        <v>494</v>
      </c>
      <c r="F7" s="6" t="s">
        <v>310</v>
      </c>
      <c r="G7" s="4">
        <v>45428</v>
      </c>
      <c r="H7" s="5">
        <v>0.73263888888888884</v>
      </c>
      <c r="I7" s="4">
        <v>45583</v>
      </c>
      <c r="J7" s="5">
        <v>0.69652777777777775</v>
      </c>
      <c r="K7" s="10"/>
      <c r="O7" s="6" t="s">
        <v>319</v>
      </c>
      <c r="P7" s="6" t="s">
        <v>320</v>
      </c>
      <c r="Q7" s="6" t="s">
        <v>525</v>
      </c>
      <c r="R7" s="6" t="s">
        <v>526</v>
      </c>
      <c r="S7" s="6" t="s">
        <v>239</v>
      </c>
      <c r="T7" s="11">
        <v>20820323</v>
      </c>
      <c r="U7" s="7">
        <v>1</v>
      </c>
      <c r="V7" s="6" t="s">
        <v>254</v>
      </c>
      <c r="W7" s="7"/>
      <c r="X7" s="6" t="s">
        <v>241</v>
      </c>
      <c r="Y7" s="7"/>
      <c r="AA7" s="6" t="s">
        <v>243</v>
      </c>
      <c r="AE7" s="6"/>
      <c r="AG7" s="6" t="s">
        <v>324</v>
      </c>
      <c r="AH7" s="7">
        <v>16</v>
      </c>
      <c r="AI7" s="6" t="s">
        <v>40</v>
      </c>
      <c r="AJ7" s="6" t="s">
        <v>238</v>
      </c>
      <c r="AK7" s="6" t="s">
        <v>241</v>
      </c>
      <c r="AL7" s="6" t="s">
        <v>323</v>
      </c>
      <c r="AM7" s="6" t="s">
        <v>527</v>
      </c>
      <c r="AN7" s="6" t="s">
        <v>322</v>
      </c>
    </row>
    <row r="8" spans="1:40" x14ac:dyDescent="0.25">
      <c r="A8" s="4">
        <v>45596</v>
      </c>
      <c r="B8" s="6">
        <v>1442</v>
      </c>
      <c r="C8" t="str">
        <f>_xlfn.XLOOKUP(Table3[[#This Row],[station]],station_waterbody_county!A:A, station_waterbody_county!B:B)</f>
        <v>Antigonish Harbour</v>
      </c>
      <c r="D8" t="str">
        <f>_xlfn.XLOOKUP(Table3[[#This Row],[station]],station_waterbody_county!A:A, station_waterbody_county!C:C)</f>
        <v>Antigonish</v>
      </c>
      <c r="E8" s="6" t="s">
        <v>494</v>
      </c>
      <c r="F8" s="6" t="s">
        <v>310</v>
      </c>
      <c r="G8" s="4">
        <v>45428</v>
      </c>
      <c r="H8" s="5">
        <v>0.73263888888888884</v>
      </c>
      <c r="I8" s="4">
        <v>45583</v>
      </c>
      <c r="J8" s="5">
        <v>0.69652777777777775</v>
      </c>
      <c r="K8" s="10"/>
      <c r="O8" s="6" t="s">
        <v>319</v>
      </c>
      <c r="P8" s="6" t="s">
        <v>320</v>
      </c>
      <c r="Q8" s="6" t="s">
        <v>525</v>
      </c>
      <c r="R8" s="6" t="s">
        <v>526</v>
      </c>
      <c r="S8" s="6" t="s">
        <v>239</v>
      </c>
      <c r="T8" s="11">
        <v>21043074</v>
      </c>
      <c r="U8" s="7">
        <v>2</v>
      </c>
      <c r="V8" s="6" t="s">
        <v>254</v>
      </c>
      <c r="W8" s="7"/>
      <c r="X8" s="6" t="s">
        <v>241</v>
      </c>
      <c r="Y8" s="7"/>
      <c r="AA8" s="6" t="s">
        <v>243</v>
      </c>
      <c r="AE8" s="6"/>
      <c r="AG8" s="6" t="s">
        <v>324</v>
      </c>
      <c r="AH8" s="7">
        <v>16</v>
      </c>
      <c r="AI8" s="6" t="s">
        <v>40</v>
      </c>
      <c r="AJ8" s="6" t="s">
        <v>238</v>
      </c>
      <c r="AK8" s="6" t="s">
        <v>241</v>
      </c>
      <c r="AL8" s="6" t="s">
        <v>323</v>
      </c>
      <c r="AM8" s="6" t="s">
        <v>527</v>
      </c>
      <c r="AN8" s="6" t="s">
        <v>322</v>
      </c>
    </row>
    <row r="9" spans="1:40" x14ac:dyDescent="0.25">
      <c r="A9" s="4">
        <v>45596</v>
      </c>
      <c r="B9" s="6">
        <v>1443</v>
      </c>
      <c r="C9" t="str">
        <f>_xlfn.XLOOKUP(Table3[[#This Row],[station]],station_waterbody_county!A:A, station_waterbody_county!B:B)</f>
        <v>Antigonish Harbour</v>
      </c>
      <c r="D9" t="str">
        <f>_xlfn.XLOOKUP(Table3[[#This Row],[station]],station_waterbody_county!A:A, station_waterbody_county!C:C)</f>
        <v>Antigonish</v>
      </c>
      <c r="E9" s="6">
        <v>1443</v>
      </c>
      <c r="F9" s="6" t="s">
        <v>310</v>
      </c>
      <c r="G9" s="4">
        <v>45477</v>
      </c>
      <c r="H9" s="5">
        <v>0.7729166666666667</v>
      </c>
      <c r="I9" s="4">
        <v>45583</v>
      </c>
      <c r="J9" s="5">
        <v>0.70486111111111116</v>
      </c>
      <c r="K9" s="10"/>
      <c r="O9" s="6" t="s">
        <v>395</v>
      </c>
      <c r="P9" s="6" t="s">
        <v>396</v>
      </c>
      <c r="Q9" s="6" t="s">
        <v>395</v>
      </c>
      <c r="R9" s="6" t="s">
        <v>528</v>
      </c>
      <c r="S9" s="6" t="s">
        <v>240</v>
      </c>
      <c r="T9" s="11">
        <v>675009</v>
      </c>
      <c r="U9" s="7">
        <v>0</v>
      </c>
      <c r="V9" s="6" t="s">
        <v>254</v>
      </c>
      <c r="W9" s="7">
        <v>2.2999999999999998</v>
      </c>
      <c r="X9" s="6" t="s">
        <v>241</v>
      </c>
      <c r="Y9" s="7">
        <v>0.3</v>
      </c>
      <c r="AA9" s="6" t="s">
        <v>314</v>
      </c>
      <c r="AE9" s="6"/>
      <c r="AG9" s="6" t="s">
        <v>324</v>
      </c>
      <c r="AH9" s="7">
        <v>18</v>
      </c>
      <c r="AI9" s="6" t="s">
        <v>40</v>
      </c>
      <c r="AJ9" s="6" t="s">
        <v>238</v>
      </c>
      <c r="AK9" s="6" t="s">
        <v>241</v>
      </c>
      <c r="AL9" s="6" t="s">
        <v>397</v>
      </c>
      <c r="AM9" s="6" t="s">
        <v>527</v>
      </c>
    </row>
    <row r="10" spans="1:40" x14ac:dyDescent="0.25">
      <c r="A10" s="4">
        <v>45596</v>
      </c>
      <c r="B10" s="6">
        <v>1443</v>
      </c>
      <c r="C10" t="str">
        <f>_xlfn.XLOOKUP(Table3[[#This Row],[station]],station_waterbody_county!A:A, station_waterbody_county!B:B)</f>
        <v>Antigonish Harbour</v>
      </c>
      <c r="D10" t="str">
        <f>_xlfn.XLOOKUP(Table3[[#This Row],[station]],station_waterbody_county!A:A, station_waterbody_county!C:C)</f>
        <v>Antigonish</v>
      </c>
      <c r="E10" s="6">
        <v>1443</v>
      </c>
      <c r="F10" s="6" t="s">
        <v>310</v>
      </c>
      <c r="G10" s="4">
        <v>45477</v>
      </c>
      <c r="H10" s="5">
        <v>0.7729166666666667</v>
      </c>
      <c r="I10" s="4">
        <v>45583</v>
      </c>
      <c r="J10" s="5">
        <v>0.70486111111111116</v>
      </c>
      <c r="K10" s="10"/>
      <c r="O10" s="6" t="s">
        <v>395</v>
      </c>
      <c r="P10" s="6" t="s">
        <v>396</v>
      </c>
      <c r="Q10" s="6" t="s">
        <v>395</v>
      </c>
      <c r="R10" s="6" t="s">
        <v>528</v>
      </c>
      <c r="S10" s="6" t="s">
        <v>253</v>
      </c>
      <c r="T10" s="11">
        <v>680324</v>
      </c>
      <c r="U10" s="7">
        <v>0</v>
      </c>
      <c r="V10" s="6" t="s">
        <v>254</v>
      </c>
      <c r="W10" s="7">
        <v>2.2999999999999998</v>
      </c>
      <c r="X10" s="6" t="s">
        <v>241</v>
      </c>
      <c r="Y10" s="7">
        <v>0.3</v>
      </c>
      <c r="AA10" s="6" t="s">
        <v>314</v>
      </c>
      <c r="AE10" s="6"/>
      <c r="AG10" s="6" t="s">
        <v>324</v>
      </c>
      <c r="AH10" s="7">
        <v>18</v>
      </c>
      <c r="AI10" s="6" t="s">
        <v>40</v>
      </c>
      <c r="AJ10" s="6" t="s">
        <v>238</v>
      </c>
      <c r="AK10" s="6" t="s">
        <v>241</v>
      </c>
      <c r="AL10" s="6" t="s">
        <v>397</v>
      </c>
      <c r="AM10" s="6" t="s">
        <v>527</v>
      </c>
    </row>
    <row r="11" spans="1:40" x14ac:dyDescent="0.25">
      <c r="A11" s="4">
        <v>45596</v>
      </c>
      <c r="B11" s="6">
        <v>1443</v>
      </c>
      <c r="C11" t="str">
        <f>_xlfn.XLOOKUP(Table3[[#This Row],[station]],station_waterbody_county!A:A, station_waterbody_county!B:B)</f>
        <v>Antigonish Harbour</v>
      </c>
      <c r="D11" t="str">
        <f>_xlfn.XLOOKUP(Table3[[#This Row],[station]],station_waterbody_county!A:A, station_waterbody_county!C:C)</f>
        <v>Antigonish</v>
      </c>
      <c r="E11" s="6">
        <v>1443</v>
      </c>
      <c r="F11" s="6" t="s">
        <v>310</v>
      </c>
      <c r="G11" s="4">
        <v>45477</v>
      </c>
      <c r="H11" s="5">
        <v>0.7729166666666667</v>
      </c>
      <c r="I11" s="4">
        <v>45583</v>
      </c>
      <c r="J11" s="5">
        <v>0.70486111111111116</v>
      </c>
      <c r="K11" s="10"/>
      <c r="O11" s="6" t="s">
        <v>395</v>
      </c>
      <c r="P11" s="6" t="s">
        <v>396</v>
      </c>
      <c r="Q11" s="6" t="s">
        <v>395</v>
      </c>
      <c r="R11" s="6" t="s">
        <v>528</v>
      </c>
      <c r="S11" s="6" t="s">
        <v>239</v>
      </c>
      <c r="T11" s="11">
        <v>21465797</v>
      </c>
      <c r="U11" s="7">
        <v>0.5</v>
      </c>
      <c r="V11" s="6" t="s">
        <v>254</v>
      </c>
      <c r="W11" s="7">
        <v>2.2999999999999998</v>
      </c>
      <c r="X11" s="6" t="s">
        <v>241</v>
      </c>
      <c r="Y11" s="7">
        <v>0.3</v>
      </c>
      <c r="AA11" s="6" t="s">
        <v>314</v>
      </c>
      <c r="AE11" s="6"/>
      <c r="AG11" s="6" t="s">
        <v>324</v>
      </c>
      <c r="AH11" s="7">
        <v>18</v>
      </c>
      <c r="AI11" s="6" t="s">
        <v>40</v>
      </c>
      <c r="AJ11" s="6" t="s">
        <v>238</v>
      </c>
      <c r="AK11" s="6" t="s">
        <v>241</v>
      </c>
      <c r="AL11" s="6" t="s">
        <v>397</v>
      </c>
      <c r="AM11" s="6" t="s">
        <v>527</v>
      </c>
    </row>
    <row r="12" spans="1:40" x14ac:dyDescent="0.25">
      <c r="A12" s="4">
        <v>45596</v>
      </c>
      <c r="B12" s="6">
        <v>1443</v>
      </c>
      <c r="C12" t="str">
        <f>_xlfn.XLOOKUP(Table3[[#This Row],[station]],station_waterbody_county!A:A, station_waterbody_county!B:B)</f>
        <v>Antigonish Harbour</v>
      </c>
      <c r="D12" t="str">
        <f>_xlfn.XLOOKUP(Table3[[#This Row],[station]],station_waterbody_county!A:A, station_waterbody_county!C:C)</f>
        <v>Antigonish</v>
      </c>
      <c r="E12" s="6">
        <v>1443</v>
      </c>
      <c r="F12" s="6" t="s">
        <v>310</v>
      </c>
      <c r="G12" s="4">
        <v>45477</v>
      </c>
      <c r="H12" s="5">
        <v>0.7729166666666667</v>
      </c>
      <c r="I12" s="4">
        <v>45583</v>
      </c>
      <c r="J12" s="5">
        <v>0.70486111111111116</v>
      </c>
      <c r="K12" s="10"/>
      <c r="O12" s="6" t="s">
        <v>395</v>
      </c>
      <c r="P12" s="6" t="s">
        <v>396</v>
      </c>
      <c r="Q12" s="6" t="s">
        <v>395</v>
      </c>
      <c r="R12" s="6" t="s">
        <v>528</v>
      </c>
      <c r="S12" s="6" t="s">
        <v>239</v>
      </c>
      <c r="T12" s="11">
        <v>21981721</v>
      </c>
      <c r="U12" s="7">
        <v>1</v>
      </c>
      <c r="V12" s="6" t="s">
        <v>254</v>
      </c>
      <c r="W12" s="7">
        <v>2.2999999999999998</v>
      </c>
      <c r="X12" s="6" t="s">
        <v>241</v>
      </c>
      <c r="Y12" s="7">
        <v>0.3</v>
      </c>
      <c r="AA12" s="6" t="s">
        <v>314</v>
      </c>
      <c r="AE12" s="6"/>
      <c r="AG12" s="6" t="s">
        <v>324</v>
      </c>
      <c r="AH12" s="7">
        <v>18</v>
      </c>
      <c r="AI12" s="6" t="s">
        <v>40</v>
      </c>
      <c r="AJ12" s="6" t="s">
        <v>238</v>
      </c>
      <c r="AK12" s="6" t="s">
        <v>241</v>
      </c>
      <c r="AL12" s="6" t="s">
        <v>397</v>
      </c>
      <c r="AM12" s="6" t="s">
        <v>527</v>
      </c>
    </row>
    <row r="13" spans="1:40" x14ac:dyDescent="0.25">
      <c r="A13" s="4">
        <v>45596</v>
      </c>
      <c r="B13" s="6">
        <v>1443</v>
      </c>
      <c r="C13" t="str">
        <f>_xlfn.XLOOKUP(Table3[[#This Row],[station]],station_waterbody_county!A:A, station_waterbody_county!B:B)</f>
        <v>Antigonish Harbour</v>
      </c>
      <c r="D13" t="str">
        <f>_xlfn.XLOOKUP(Table3[[#This Row],[station]],station_waterbody_county!A:A, station_waterbody_county!C:C)</f>
        <v>Antigonish</v>
      </c>
      <c r="E13" s="6">
        <v>1443</v>
      </c>
      <c r="F13" s="6" t="s">
        <v>310</v>
      </c>
      <c r="G13" s="4">
        <v>45477</v>
      </c>
      <c r="H13" s="5">
        <v>0.7729166666666667</v>
      </c>
      <c r="I13" s="4">
        <v>45583</v>
      </c>
      <c r="J13" s="5">
        <v>0.70486111111111116</v>
      </c>
      <c r="K13" s="10"/>
      <c r="O13" s="6" t="s">
        <v>395</v>
      </c>
      <c r="P13" s="6" t="s">
        <v>396</v>
      </c>
      <c r="Q13" s="6" t="s">
        <v>395</v>
      </c>
      <c r="R13" s="6" t="s">
        <v>528</v>
      </c>
      <c r="S13" s="6" t="s">
        <v>239</v>
      </c>
      <c r="T13" s="11">
        <v>20291437</v>
      </c>
      <c r="U13" s="7">
        <v>2</v>
      </c>
      <c r="V13" s="6" t="s">
        <v>254</v>
      </c>
      <c r="W13" s="7">
        <v>2.2999999999999998</v>
      </c>
      <c r="X13" s="6" t="s">
        <v>241</v>
      </c>
      <c r="Y13" s="7">
        <v>0.3</v>
      </c>
      <c r="AA13" s="6" t="s">
        <v>314</v>
      </c>
      <c r="AE13" s="6"/>
      <c r="AG13" s="6" t="s">
        <v>324</v>
      </c>
      <c r="AH13" s="7">
        <v>18</v>
      </c>
      <c r="AI13" s="6" t="s">
        <v>40</v>
      </c>
      <c r="AJ13" s="6" t="s">
        <v>238</v>
      </c>
      <c r="AK13" s="6" t="s">
        <v>241</v>
      </c>
      <c r="AL13" s="6" t="s">
        <v>397</v>
      </c>
      <c r="AM13" s="6" t="s">
        <v>527</v>
      </c>
    </row>
    <row r="14" spans="1:40" x14ac:dyDescent="0.25">
      <c r="A14" s="4">
        <v>45946</v>
      </c>
      <c r="B14" s="6" t="s">
        <v>110</v>
      </c>
      <c r="C14" t="str">
        <f>_xlfn.XLOOKUP(Table3[[#This Row],[station]],station_waterbody_county!A:A, station_waterbody_county!B:B)</f>
        <v>Indian Harbour</v>
      </c>
      <c r="D14" t="str">
        <f>_xlfn.XLOOKUP(Table3[[#This Row],[station]],station_waterbody_county!A:A, station_waterbody_county!C:C)</f>
        <v>Guysborough</v>
      </c>
      <c r="E14" s="6"/>
      <c r="F14" s="6" t="s">
        <v>310</v>
      </c>
      <c r="G14" s="4">
        <v>45623</v>
      </c>
      <c r="H14" s="5">
        <v>0.59097222222222223</v>
      </c>
      <c r="I14" s="4">
        <v>45924</v>
      </c>
      <c r="J14" s="5">
        <v>0.8041666666666667</v>
      </c>
      <c r="K14" s="10">
        <v>45.084833000000003</v>
      </c>
      <c r="L14" s="10">
        <v>-61.823582999999999</v>
      </c>
      <c r="O14" s="6" t="s">
        <v>1409</v>
      </c>
      <c r="P14" s="6" t="s">
        <v>1410</v>
      </c>
      <c r="Q14" s="6" t="s">
        <v>1468</v>
      </c>
      <c r="R14" s="6" t="s">
        <v>1469</v>
      </c>
      <c r="S14" s="6" t="s">
        <v>239</v>
      </c>
      <c r="T14" s="11">
        <v>22048584</v>
      </c>
      <c r="U14" s="7">
        <v>2</v>
      </c>
      <c r="V14" s="6" t="s">
        <v>36</v>
      </c>
      <c r="W14" s="7">
        <v>12.5</v>
      </c>
      <c r="X14" s="6" t="s">
        <v>35</v>
      </c>
      <c r="Y14" s="7">
        <v>0.7</v>
      </c>
      <c r="Z14" s="7">
        <v>1.6</v>
      </c>
      <c r="AA14" s="6" t="s">
        <v>251</v>
      </c>
      <c r="AB14" s="6" t="s">
        <v>38</v>
      </c>
      <c r="AD14" s="6" t="s">
        <v>39</v>
      </c>
      <c r="AE14" s="6"/>
      <c r="AG14" s="6" t="s">
        <v>37</v>
      </c>
      <c r="AH14" s="7">
        <v>60</v>
      </c>
      <c r="AI14" s="6" t="s">
        <v>40</v>
      </c>
      <c r="AJ14" s="6" t="s">
        <v>238</v>
      </c>
      <c r="AK14" s="6" t="s">
        <v>35</v>
      </c>
      <c r="AL14" s="6" t="s">
        <v>684</v>
      </c>
      <c r="AM14" s="6" t="s">
        <v>41</v>
      </c>
      <c r="AN14" s="6" t="s">
        <v>1481</v>
      </c>
    </row>
    <row r="15" spans="1:40" x14ac:dyDescent="0.25">
      <c r="A15" s="4">
        <v>45946</v>
      </c>
      <c r="B15" s="6" t="s">
        <v>110</v>
      </c>
      <c r="C15" t="str">
        <f>_xlfn.XLOOKUP(Table3[[#This Row],[station]],station_waterbody_county!A:A, station_waterbody_county!B:B)</f>
        <v>Indian Harbour</v>
      </c>
      <c r="D15" t="str">
        <f>_xlfn.XLOOKUP(Table3[[#This Row],[station]],station_waterbody_county!A:A, station_waterbody_county!C:C)</f>
        <v>Guysborough</v>
      </c>
      <c r="E15" s="6"/>
      <c r="F15" s="6" t="s">
        <v>310</v>
      </c>
      <c r="G15" s="4">
        <v>45623</v>
      </c>
      <c r="H15" s="5">
        <v>0.59097222222222223</v>
      </c>
      <c r="I15" s="4">
        <v>45924</v>
      </c>
      <c r="J15" s="5">
        <v>0.8041666666666667</v>
      </c>
      <c r="K15" s="10">
        <v>45.084833000000003</v>
      </c>
      <c r="L15" s="10">
        <v>-61.823582999999999</v>
      </c>
      <c r="O15" s="6" t="s">
        <v>1409</v>
      </c>
      <c r="P15" s="6" t="s">
        <v>1410</v>
      </c>
      <c r="Q15" s="6" t="s">
        <v>1468</v>
      </c>
      <c r="R15" s="6" t="s">
        <v>1469</v>
      </c>
      <c r="S15" s="6" t="s">
        <v>240</v>
      </c>
      <c r="T15" s="11">
        <v>671428</v>
      </c>
      <c r="U15" s="7">
        <v>5</v>
      </c>
      <c r="V15" s="6" t="s">
        <v>36</v>
      </c>
      <c r="W15" s="7">
        <v>12.5</v>
      </c>
      <c r="X15" s="6" t="s">
        <v>35</v>
      </c>
      <c r="Y15" s="7">
        <v>0.7</v>
      </c>
      <c r="Z15" s="7">
        <v>1.6</v>
      </c>
      <c r="AA15" s="6" t="s">
        <v>251</v>
      </c>
      <c r="AB15" s="6" t="s">
        <v>38</v>
      </c>
      <c r="AD15" s="6" t="s">
        <v>39</v>
      </c>
      <c r="AE15" s="6"/>
      <c r="AG15" s="6" t="s">
        <v>37</v>
      </c>
      <c r="AH15" s="7">
        <v>60</v>
      </c>
      <c r="AI15" s="6" t="s">
        <v>40</v>
      </c>
      <c r="AJ15" s="6" t="s">
        <v>238</v>
      </c>
      <c r="AK15" s="6" t="s">
        <v>35</v>
      </c>
      <c r="AL15" s="6" t="s">
        <v>684</v>
      </c>
      <c r="AM15" s="6" t="s">
        <v>41</v>
      </c>
      <c r="AN15" s="6" t="s">
        <v>1481</v>
      </c>
    </row>
    <row r="16" spans="1:40" x14ac:dyDescent="0.25">
      <c r="A16" s="4">
        <v>45946</v>
      </c>
      <c r="B16" s="6" t="s">
        <v>110</v>
      </c>
      <c r="C16" t="str">
        <f>_xlfn.XLOOKUP(Table3[[#This Row],[station]],station_waterbody_county!A:A, station_waterbody_county!B:B)</f>
        <v>Indian Harbour</v>
      </c>
      <c r="D16" t="str">
        <f>_xlfn.XLOOKUP(Table3[[#This Row],[station]],station_waterbody_county!A:A, station_waterbody_county!C:C)</f>
        <v>Guysborough</v>
      </c>
      <c r="E16" s="6"/>
      <c r="F16" s="6" t="s">
        <v>310</v>
      </c>
      <c r="G16" s="4">
        <v>45623</v>
      </c>
      <c r="H16" s="5">
        <v>0.59097222222222223</v>
      </c>
      <c r="I16" s="4">
        <v>45924</v>
      </c>
      <c r="J16" s="5">
        <v>0.8041666666666667</v>
      </c>
      <c r="K16" s="10">
        <v>45.084833000000003</v>
      </c>
      <c r="L16" s="10">
        <v>-61.823582999999999</v>
      </c>
      <c r="O16" s="6" t="s">
        <v>1409</v>
      </c>
      <c r="P16" s="6" t="s">
        <v>1410</v>
      </c>
      <c r="Q16" s="6" t="s">
        <v>1468</v>
      </c>
      <c r="R16" s="6" t="s">
        <v>1469</v>
      </c>
      <c r="S16" s="6" t="s">
        <v>253</v>
      </c>
      <c r="T16" s="11">
        <v>686011</v>
      </c>
      <c r="U16" s="7">
        <v>5</v>
      </c>
      <c r="V16" s="6" t="s">
        <v>36</v>
      </c>
      <c r="W16" s="7">
        <v>12.5</v>
      </c>
      <c r="X16" s="6" t="s">
        <v>35</v>
      </c>
      <c r="Y16" s="7">
        <v>0.7</v>
      </c>
      <c r="Z16" s="7">
        <v>1.6</v>
      </c>
      <c r="AA16" s="6" t="s">
        <v>251</v>
      </c>
      <c r="AB16" s="6" t="s">
        <v>38</v>
      </c>
      <c r="AD16" s="6" t="s">
        <v>39</v>
      </c>
      <c r="AE16" s="6"/>
      <c r="AG16" s="6" t="s">
        <v>37</v>
      </c>
      <c r="AH16" s="7">
        <v>60</v>
      </c>
      <c r="AI16" s="6" t="s">
        <v>40</v>
      </c>
      <c r="AJ16" s="6" t="s">
        <v>238</v>
      </c>
      <c r="AK16" s="6" t="s">
        <v>35</v>
      </c>
      <c r="AL16" s="6" t="s">
        <v>684</v>
      </c>
      <c r="AM16" s="6" t="s">
        <v>41</v>
      </c>
      <c r="AN16" s="6" t="s">
        <v>1481</v>
      </c>
    </row>
    <row r="17" spans="1:40" x14ac:dyDescent="0.25">
      <c r="A17" s="4">
        <v>45946</v>
      </c>
      <c r="B17" s="6" t="s">
        <v>110</v>
      </c>
      <c r="C17" t="str">
        <f>_xlfn.XLOOKUP(Table3[[#This Row],[station]],station_waterbody_county!A:A, station_waterbody_county!B:B)</f>
        <v>Indian Harbour</v>
      </c>
      <c r="D17" t="str">
        <f>_xlfn.XLOOKUP(Table3[[#This Row],[station]],station_waterbody_county!A:A, station_waterbody_county!C:C)</f>
        <v>Guysborough</v>
      </c>
      <c r="E17" s="6"/>
      <c r="F17" s="6" t="s">
        <v>310</v>
      </c>
      <c r="G17" s="4">
        <v>45623</v>
      </c>
      <c r="H17" s="5">
        <v>0.59097222222222223</v>
      </c>
      <c r="I17" s="4">
        <v>45924</v>
      </c>
      <c r="J17" s="5">
        <v>0.8041666666666667</v>
      </c>
      <c r="K17" s="10">
        <v>45.084833000000003</v>
      </c>
      <c r="L17" s="10">
        <v>-61.823582999999999</v>
      </c>
      <c r="O17" s="6" t="s">
        <v>1409</v>
      </c>
      <c r="P17" s="6" t="s">
        <v>1410</v>
      </c>
      <c r="Q17" s="6" t="s">
        <v>1468</v>
      </c>
      <c r="R17" s="6" t="s">
        <v>1469</v>
      </c>
      <c r="S17" s="6" t="s">
        <v>239</v>
      </c>
      <c r="T17" s="11">
        <v>22055913</v>
      </c>
      <c r="U17" s="7">
        <v>10</v>
      </c>
      <c r="V17" s="6" t="s">
        <v>36</v>
      </c>
      <c r="W17" s="7">
        <v>12.5</v>
      </c>
      <c r="X17" s="6" t="s">
        <v>35</v>
      </c>
      <c r="Y17" s="7">
        <v>0.7</v>
      </c>
      <c r="Z17" s="7">
        <v>1.6</v>
      </c>
      <c r="AA17" s="6" t="s">
        <v>251</v>
      </c>
      <c r="AB17" s="6" t="s">
        <v>38</v>
      </c>
      <c r="AD17" s="6" t="s">
        <v>39</v>
      </c>
      <c r="AE17" s="6"/>
      <c r="AG17" s="6" t="s">
        <v>37</v>
      </c>
      <c r="AH17" s="7">
        <v>60</v>
      </c>
      <c r="AI17" s="6" t="s">
        <v>40</v>
      </c>
      <c r="AJ17" s="6" t="s">
        <v>238</v>
      </c>
      <c r="AK17" s="6" t="s">
        <v>35</v>
      </c>
      <c r="AL17" s="6" t="s">
        <v>684</v>
      </c>
      <c r="AM17" s="6" t="s">
        <v>41</v>
      </c>
      <c r="AN17" s="6" t="s">
        <v>1481</v>
      </c>
    </row>
    <row r="18" spans="1:40" x14ac:dyDescent="0.25">
      <c r="A18" s="4">
        <v>45946</v>
      </c>
      <c r="B18" s="6" t="s">
        <v>110</v>
      </c>
      <c r="C18" t="str">
        <f>_xlfn.XLOOKUP(Table3[[#This Row],[station]],station_waterbody_county!A:A, station_waterbody_county!B:B)</f>
        <v>Indian Harbour</v>
      </c>
      <c r="D18" t="str">
        <f>_xlfn.XLOOKUP(Table3[[#This Row],[station]],station_waterbody_county!A:A, station_waterbody_county!C:C)</f>
        <v>Guysborough</v>
      </c>
      <c r="E18" s="6"/>
      <c r="F18" s="6" t="s">
        <v>310</v>
      </c>
      <c r="G18" s="4">
        <v>45623</v>
      </c>
      <c r="H18" s="5">
        <v>0.59097222222222223</v>
      </c>
      <c r="I18" s="4">
        <v>45924</v>
      </c>
      <c r="J18" s="5">
        <v>0.8041666666666667</v>
      </c>
      <c r="K18" s="10">
        <v>45.084833000000003</v>
      </c>
      <c r="L18" s="10">
        <v>-61.823582999999999</v>
      </c>
      <c r="O18" s="6" t="s">
        <v>1409</v>
      </c>
      <c r="P18" s="6" t="s">
        <v>1410</v>
      </c>
      <c r="Q18" s="6" t="s">
        <v>1468</v>
      </c>
      <c r="R18" s="6" t="s">
        <v>1469</v>
      </c>
      <c r="S18" s="6" t="s">
        <v>42</v>
      </c>
      <c r="T18" s="11">
        <v>548040</v>
      </c>
      <c r="U18" s="7">
        <v>10</v>
      </c>
      <c r="V18" s="6" t="s">
        <v>36</v>
      </c>
      <c r="W18" s="7">
        <v>12.5</v>
      </c>
      <c r="X18" s="6" t="s">
        <v>35</v>
      </c>
      <c r="Y18" s="7">
        <v>0.7</v>
      </c>
      <c r="Z18" s="7">
        <v>1.6</v>
      </c>
      <c r="AA18" s="6" t="s">
        <v>251</v>
      </c>
      <c r="AB18" s="6" t="s">
        <v>38</v>
      </c>
      <c r="AD18" s="6" t="s">
        <v>39</v>
      </c>
      <c r="AE18" s="6"/>
      <c r="AG18" s="6" t="s">
        <v>37</v>
      </c>
      <c r="AH18" s="7">
        <v>60</v>
      </c>
      <c r="AI18" s="6" t="s">
        <v>40</v>
      </c>
      <c r="AJ18" s="6" t="s">
        <v>238</v>
      </c>
      <c r="AK18" s="6" t="s">
        <v>35</v>
      </c>
      <c r="AL18" s="6" t="s">
        <v>684</v>
      </c>
      <c r="AM18" s="6" t="s">
        <v>41</v>
      </c>
      <c r="AN18" s="6" t="s">
        <v>1481</v>
      </c>
    </row>
    <row r="19" spans="1:40" x14ac:dyDescent="0.25">
      <c r="A19" s="4">
        <v>45944</v>
      </c>
      <c r="B19" s="6" t="s">
        <v>111</v>
      </c>
      <c r="C19" t="str">
        <f>_xlfn.XLOOKUP(Table3[[#This Row],[station]],station_waterbody_county!A:A, station_waterbody_county!B:B)</f>
        <v>Marie Joseph Harbour</v>
      </c>
      <c r="D19" t="str">
        <f>_xlfn.XLOOKUP(Table3[[#This Row],[station]],station_waterbody_county!A:A, station_waterbody_county!C:C)</f>
        <v>Guysborough</v>
      </c>
      <c r="E19" s="6"/>
      <c r="F19" s="6" t="s">
        <v>310</v>
      </c>
      <c r="G19" s="4">
        <v>45547</v>
      </c>
      <c r="H19" s="5">
        <v>0.69930555555555551</v>
      </c>
      <c r="I19" s="4">
        <v>45925</v>
      </c>
      <c r="J19" s="5">
        <v>0.69444444444444442</v>
      </c>
      <c r="K19" s="10"/>
      <c r="O19" s="6" t="s">
        <v>470</v>
      </c>
      <c r="P19" s="6" t="s">
        <v>471</v>
      </c>
      <c r="Q19" s="6" t="s">
        <v>1464</v>
      </c>
      <c r="R19" s="6" t="s">
        <v>1465</v>
      </c>
      <c r="S19" s="6" t="s">
        <v>239</v>
      </c>
      <c r="T19" s="11">
        <v>21414864</v>
      </c>
      <c r="U19" s="7">
        <v>2</v>
      </c>
      <c r="V19" s="6" t="s">
        <v>36</v>
      </c>
      <c r="W19" s="7">
        <v>16.5</v>
      </c>
      <c r="X19" s="6" t="s">
        <v>35</v>
      </c>
      <c r="Y19" s="7">
        <v>1.6</v>
      </c>
      <c r="Z19" s="7">
        <v>0.5</v>
      </c>
      <c r="AA19" s="6" t="s">
        <v>370</v>
      </c>
      <c r="AB19" s="6" t="s">
        <v>38</v>
      </c>
      <c r="AD19" s="6" t="s">
        <v>39</v>
      </c>
      <c r="AE19" s="6"/>
      <c r="AG19" s="6" t="s">
        <v>37</v>
      </c>
      <c r="AH19" s="7">
        <v>60</v>
      </c>
      <c r="AI19" s="6" t="s">
        <v>40</v>
      </c>
      <c r="AJ19" s="6" t="s">
        <v>238</v>
      </c>
      <c r="AL19" s="6" t="s">
        <v>41</v>
      </c>
      <c r="AM19" s="6" t="s">
        <v>41</v>
      </c>
    </row>
    <row r="20" spans="1:40" x14ac:dyDescent="0.25">
      <c r="A20" s="4">
        <v>45944</v>
      </c>
      <c r="B20" s="6" t="s">
        <v>111</v>
      </c>
      <c r="C20" t="str">
        <f>_xlfn.XLOOKUP(Table3[[#This Row],[station]],station_waterbody_county!A:A, station_waterbody_county!B:B)</f>
        <v>Marie Joseph Harbour</v>
      </c>
      <c r="D20" t="str">
        <f>_xlfn.XLOOKUP(Table3[[#This Row],[station]],station_waterbody_county!A:A, station_waterbody_county!C:C)</f>
        <v>Guysborough</v>
      </c>
      <c r="E20" s="6"/>
      <c r="F20" s="6" t="s">
        <v>310</v>
      </c>
      <c r="G20" s="4">
        <v>45547</v>
      </c>
      <c r="H20" s="5">
        <v>0.69930555555555551</v>
      </c>
      <c r="I20" s="4">
        <v>45925</v>
      </c>
      <c r="J20" s="5">
        <v>0.69444444444444442</v>
      </c>
      <c r="K20" s="10"/>
      <c r="O20" s="6" t="s">
        <v>470</v>
      </c>
      <c r="P20" s="6" t="s">
        <v>471</v>
      </c>
      <c r="Q20" s="6" t="s">
        <v>1464</v>
      </c>
      <c r="R20" s="6" t="s">
        <v>1465</v>
      </c>
      <c r="S20" s="6" t="s">
        <v>240</v>
      </c>
      <c r="T20" s="11">
        <v>675016</v>
      </c>
      <c r="U20" s="7">
        <v>5</v>
      </c>
      <c r="V20" s="6" t="s">
        <v>36</v>
      </c>
      <c r="W20" s="7">
        <v>16.5</v>
      </c>
      <c r="X20" s="6" t="s">
        <v>35</v>
      </c>
      <c r="Y20" s="7">
        <v>1.6</v>
      </c>
      <c r="Z20" s="7">
        <v>0.5</v>
      </c>
      <c r="AA20" s="6" t="s">
        <v>370</v>
      </c>
      <c r="AB20" s="6" t="s">
        <v>38</v>
      </c>
      <c r="AD20" s="6" t="s">
        <v>39</v>
      </c>
      <c r="AE20" s="6"/>
      <c r="AG20" s="6" t="s">
        <v>37</v>
      </c>
      <c r="AH20" s="7">
        <v>60</v>
      </c>
      <c r="AI20" s="6" t="s">
        <v>40</v>
      </c>
      <c r="AJ20" s="6" t="s">
        <v>238</v>
      </c>
      <c r="AL20" s="6" t="s">
        <v>41</v>
      </c>
      <c r="AM20" s="6" t="s">
        <v>41</v>
      </c>
    </row>
    <row r="21" spans="1:40" x14ac:dyDescent="0.25">
      <c r="A21" s="4">
        <v>45944</v>
      </c>
      <c r="B21" s="6" t="s">
        <v>111</v>
      </c>
      <c r="C21" t="str">
        <f>_xlfn.XLOOKUP(Table3[[#This Row],[station]],station_waterbody_county!A:A, station_waterbody_county!B:B)</f>
        <v>Marie Joseph Harbour</v>
      </c>
      <c r="D21" t="str">
        <f>_xlfn.XLOOKUP(Table3[[#This Row],[station]],station_waterbody_county!A:A, station_waterbody_county!C:C)</f>
        <v>Guysborough</v>
      </c>
      <c r="E21" s="6"/>
      <c r="F21" s="6" t="s">
        <v>310</v>
      </c>
      <c r="G21" s="4">
        <v>45547</v>
      </c>
      <c r="H21" s="5">
        <v>0.69930555555555551</v>
      </c>
      <c r="I21" s="4">
        <v>45925</v>
      </c>
      <c r="J21" s="5">
        <v>0.69444444444444442</v>
      </c>
      <c r="K21" s="10"/>
      <c r="O21" s="6" t="s">
        <v>470</v>
      </c>
      <c r="P21" s="6" t="s">
        <v>471</v>
      </c>
      <c r="Q21" s="6" t="s">
        <v>1464</v>
      </c>
      <c r="R21" s="6" t="s">
        <v>1465</v>
      </c>
      <c r="S21" s="6" t="s">
        <v>239</v>
      </c>
      <c r="T21" s="11">
        <v>21650150</v>
      </c>
      <c r="U21" s="7">
        <v>10</v>
      </c>
      <c r="V21" s="6" t="s">
        <v>36</v>
      </c>
      <c r="W21" s="7">
        <v>16.5</v>
      </c>
      <c r="X21" s="6" t="s">
        <v>35</v>
      </c>
      <c r="Y21" s="7">
        <v>1.6</v>
      </c>
      <c r="Z21" s="7">
        <v>0.5</v>
      </c>
      <c r="AA21" s="6" t="s">
        <v>370</v>
      </c>
      <c r="AB21" s="6" t="s">
        <v>38</v>
      </c>
      <c r="AD21" s="6" t="s">
        <v>39</v>
      </c>
      <c r="AE21" s="6"/>
      <c r="AG21" s="6" t="s">
        <v>37</v>
      </c>
      <c r="AH21" s="7">
        <v>60</v>
      </c>
      <c r="AI21" s="6" t="s">
        <v>40</v>
      </c>
      <c r="AJ21" s="6" t="s">
        <v>238</v>
      </c>
      <c r="AL21" s="6" t="s">
        <v>41</v>
      </c>
      <c r="AM21" s="6" t="s">
        <v>41</v>
      </c>
    </row>
    <row r="22" spans="1:40" x14ac:dyDescent="0.25">
      <c r="A22" s="4">
        <v>45944</v>
      </c>
      <c r="B22" s="6" t="s">
        <v>111</v>
      </c>
      <c r="C22" t="str">
        <f>_xlfn.XLOOKUP(Table3[[#This Row],[station]],station_waterbody_county!A:A, station_waterbody_county!B:B)</f>
        <v>Marie Joseph Harbour</v>
      </c>
      <c r="D22" t="str">
        <f>_xlfn.XLOOKUP(Table3[[#This Row],[station]],station_waterbody_county!A:A, station_waterbody_county!C:C)</f>
        <v>Guysborough</v>
      </c>
      <c r="E22" s="6"/>
      <c r="F22" s="6" t="s">
        <v>310</v>
      </c>
      <c r="G22" s="4">
        <v>45547</v>
      </c>
      <c r="H22" s="5">
        <v>0.69930555555555551</v>
      </c>
      <c r="I22" s="4">
        <v>45925</v>
      </c>
      <c r="J22" s="5">
        <v>0.69444444444444442</v>
      </c>
      <c r="K22" s="10"/>
      <c r="O22" s="6" t="s">
        <v>470</v>
      </c>
      <c r="P22" s="6" t="s">
        <v>471</v>
      </c>
      <c r="Q22" s="6" t="s">
        <v>1464</v>
      </c>
      <c r="R22" s="6" t="s">
        <v>1465</v>
      </c>
      <c r="S22" s="6" t="s">
        <v>239</v>
      </c>
      <c r="T22" s="11">
        <v>20330413</v>
      </c>
      <c r="U22" s="7">
        <v>15</v>
      </c>
      <c r="V22" s="6" t="s">
        <v>36</v>
      </c>
      <c r="W22" s="7">
        <v>16.5</v>
      </c>
      <c r="X22" s="6" t="s">
        <v>35</v>
      </c>
      <c r="Y22" s="7">
        <v>1.6</v>
      </c>
      <c r="Z22" s="7">
        <v>0.5</v>
      </c>
      <c r="AA22" s="6" t="s">
        <v>370</v>
      </c>
      <c r="AB22" s="6" t="s">
        <v>38</v>
      </c>
      <c r="AD22" s="6" t="s">
        <v>39</v>
      </c>
      <c r="AE22" s="6"/>
      <c r="AG22" s="6" t="s">
        <v>37</v>
      </c>
      <c r="AH22" s="7">
        <v>60</v>
      </c>
      <c r="AI22" s="6" t="s">
        <v>40</v>
      </c>
      <c r="AJ22" s="6" t="s">
        <v>238</v>
      </c>
      <c r="AL22" s="6" t="s">
        <v>41</v>
      </c>
      <c r="AM22" s="6" t="s">
        <v>41</v>
      </c>
    </row>
    <row r="23" spans="1:40" x14ac:dyDescent="0.25">
      <c r="A23" s="4">
        <v>45944</v>
      </c>
      <c r="B23" s="6" t="s">
        <v>111</v>
      </c>
      <c r="C23" t="str">
        <f>_xlfn.XLOOKUP(Table3[[#This Row],[station]],station_waterbody_county!A:A, station_waterbody_county!B:B)</f>
        <v>Marie Joseph Harbour</v>
      </c>
      <c r="D23" t="str">
        <f>_xlfn.XLOOKUP(Table3[[#This Row],[station]],station_waterbody_county!A:A, station_waterbody_county!C:C)</f>
        <v>Guysborough</v>
      </c>
      <c r="E23" s="6"/>
      <c r="F23" s="6" t="s">
        <v>310</v>
      </c>
      <c r="G23" s="4">
        <v>45547</v>
      </c>
      <c r="H23" s="5">
        <v>0.69930555555555551</v>
      </c>
      <c r="I23" s="4">
        <v>45925</v>
      </c>
      <c r="J23" s="5">
        <v>0.69444444444444442</v>
      </c>
      <c r="K23" s="10"/>
      <c r="O23" s="6" t="s">
        <v>470</v>
      </c>
      <c r="P23" s="6" t="s">
        <v>471</v>
      </c>
      <c r="Q23" s="6" t="s">
        <v>1464</v>
      </c>
      <c r="R23" s="6" t="s">
        <v>1465</v>
      </c>
      <c r="S23" s="6" t="s">
        <v>42</v>
      </c>
      <c r="T23" s="11">
        <v>547096</v>
      </c>
      <c r="U23" s="7">
        <v>15</v>
      </c>
      <c r="V23" s="6" t="s">
        <v>36</v>
      </c>
      <c r="W23" s="7">
        <v>16.5</v>
      </c>
      <c r="X23" s="6" t="s">
        <v>35</v>
      </c>
      <c r="Y23" s="7">
        <v>1.6</v>
      </c>
      <c r="Z23" s="7">
        <v>0.5</v>
      </c>
      <c r="AA23" s="6" t="s">
        <v>370</v>
      </c>
      <c r="AB23" s="6" t="s">
        <v>38</v>
      </c>
      <c r="AD23" s="6" t="s">
        <v>39</v>
      </c>
      <c r="AE23" s="6"/>
      <c r="AG23" s="6" t="s">
        <v>37</v>
      </c>
      <c r="AH23" s="7">
        <v>60</v>
      </c>
      <c r="AI23" s="6" t="s">
        <v>40</v>
      </c>
      <c r="AJ23" s="6" t="s">
        <v>238</v>
      </c>
      <c r="AL23" s="6" t="s">
        <v>41</v>
      </c>
      <c r="AM23" s="6" t="s">
        <v>41</v>
      </c>
    </row>
    <row r="24" spans="1:40" hidden="1" x14ac:dyDescent="0.25">
      <c r="A24" s="12">
        <v>45678</v>
      </c>
      <c r="B24" s="6" t="s">
        <v>111</v>
      </c>
      <c r="C24" t="str">
        <f>_xlfn.XLOOKUP(Table3[[#This Row],[station]],station_waterbody_county!A:A, station_waterbody_county!B:B)</f>
        <v>Marie Joseph Harbour</v>
      </c>
      <c r="D24" t="str">
        <f>_xlfn.XLOOKUP(Table3[[#This Row],[station]],station_waterbody_county!A:A, station_waterbody_county!C:C)</f>
        <v>Guysborough</v>
      </c>
      <c r="E24" s="6"/>
      <c r="F24" s="6" t="s">
        <v>310</v>
      </c>
      <c r="G24" s="12">
        <v>45226</v>
      </c>
      <c r="H24" s="5"/>
      <c r="I24" s="4">
        <v>45547</v>
      </c>
      <c r="J24" s="5">
        <v>0.68819444444444444</v>
      </c>
      <c r="K24" s="10">
        <v>44.950242000000003</v>
      </c>
      <c r="L24" s="10">
        <v>-62.011318000000003</v>
      </c>
      <c r="O24" s="6"/>
      <c r="Q24" s="6" t="s">
        <v>468</v>
      </c>
      <c r="R24" s="6" t="s">
        <v>469</v>
      </c>
      <c r="S24" s="6" t="s">
        <v>239</v>
      </c>
      <c r="T24" s="11">
        <v>20308044</v>
      </c>
      <c r="U24" s="7">
        <v>2</v>
      </c>
      <c r="V24" s="6" t="s">
        <v>36</v>
      </c>
      <c r="W24" s="7">
        <v>14.8</v>
      </c>
      <c r="X24" s="6" t="s">
        <v>35</v>
      </c>
      <c r="Y24" s="7">
        <v>0.3</v>
      </c>
      <c r="Z24" s="7">
        <v>1.5</v>
      </c>
      <c r="AA24" s="6"/>
      <c r="AB24" s="6" t="s">
        <v>38</v>
      </c>
      <c r="AD24" s="6" t="s">
        <v>39</v>
      </c>
      <c r="AE24" s="6"/>
      <c r="AG24" s="6" t="s">
        <v>37</v>
      </c>
      <c r="AH24" s="7"/>
      <c r="AI24" s="6" t="s">
        <v>40</v>
      </c>
      <c r="AJ24" s="6" t="s">
        <v>238</v>
      </c>
      <c r="AK24" s="6" t="s">
        <v>35</v>
      </c>
      <c r="AL24" s="6" t="s">
        <v>268</v>
      </c>
      <c r="AM24" s="6" t="s">
        <v>41</v>
      </c>
    </row>
    <row r="25" spans="1:40" hidden="1" x14ac:dyDescent="0.25">
      <c r="A25" s="12">
        <v>45678</v>
      </c>
      <c r="B25" s="6" t="s">
        <v>111</v>
      </c>
      <c r="C25" t="str">
        <f>_xlfn.XLOOKUP(Table3[[#This Row],[station]],station_waterbody_county!A:A, station_waterbody_county!B:B)</f>
        <v>Marie Joseph Harbour</v>
      </c>
      <c r="D25" t="str">
        <f>_xlfn.XLOOKUP(Table3[[#This Row],[station]],station_waterbody_county!A:A, station_waterbody_county!C:C)</f>
        <v>Guysborough</v>
      </c>
      <c r="E25" s="6"/>
      <c r="F25" s="6" t="s">
        <v>310</v>
      </c>
      <c r="G25" s="12">
        <v>45226</v>
      </c>
      <c r="H25" s="5"/>
      <c r="I25" s="4">
        <v>45547</v>
      </c>
      <c r="J25" s="5">
        <v>0.68819444444444444</v>
      </c>
      <c r="K25" s="10">
        <v>44.950242000000003</v>
      </c>
      <c r="L25" s="10">
        <v>-62.011318000000003</v>
      </c>
      <c r="O25" s="6"/>
      <c r="Q25" s="6" t="s">
        <v>468</v>
      </c>
      <c r="R25" s="6" t="s">
        <v>469</v>
      </c>
      <c r="S25" s="6" t="s">
        <v>240</v>
      </c>
      <c r="T25" s="11">
        <v>670379</v>
      </c>
      <c r="U25" s="7">
        <v>5</v>
      </c>
      <c r="V25" s="6" t="s">
        <v>36</v>
      </c>
      <c r="W25" s="7">
        <v>14.8</v>
      </c>
      <c r="X25" s="6" t="s">
        <v>35</v>
      </c>
      <c r="Y25" s="7">
        <v>0.3</v>
      </c>
      <c r="Z25" s="7">
        <v>1.5</v>
      </c>
      <c r="AA25" s="6"/>
      <c r="AB25" s="6" t="s">
        <v>38</v>
      </c>
      <c r="AD25" s="6" t="s">
        <v>39</v>
      </c>
      <c r="AE25" s="6"/>
      <c r="AG25" s="6" t="s">
        <v>37</v>
      </c>
      <c r="AH25" s="7"/>
      <c r="AI25" s="6" t="s">
        <v>40</v>
      </c>
      <c r="AJ25" s="6" t="s">
        <v>238</v>
      </c>
      <c r="AK25" s="6" t="s">
        <v>35</v>
      </c>
      <c r="AL25" s="6" t="s">
        <v>268</v>
      </c>
      <c r="AM25" s="6" t="s">
        <v>41</v>
      </c>
    </row>
    <row r="26" spans="1:40" hidden="1" x14ac:dyDescent="0.25">
      <c r="A26" s="12">
        <v>45678</v>
      </c>
      <c r="B26" s="6" t="s">
        <v>111</v>
      </c>
      <c r="C26" t="str">
        <f>_xlfn.XLOOKUP(Table3[[#This Row],[station]],station_waterbody_county!A:A, station_waterbody_county!B:B)</f>
        <v>Marie Joseph Harbour</v>
      </c>
      <c r="D26" t="str">
        <f>_xlfn.XLOOKUP(Table3[[#This Row],[station]],station_waterbody_county!A:A, station_waterbody_county!C:C)</f>
        <v>Guysborough</v>
      </c>
      <c r="E26" s="6"/>
      <c r="F26" s="6" t="s">
        <v>310</v>
      </c>
      <c r="G26" s="12">
        <v>45226</v>
      </c>
      <c r="H26" s="5"/>
      <c r="I26" s="4">
        <v>45547</v>
      </c>
      <c r="J26" s="5">
        <v>0.68819444444444444</v>
      </c>
      <c r="K26" s="10">
        <v>44.950242000000003</v>
      </c>
      <c r="L26" s="10">
        <v>-62.011318000000003</v>
      </c>
      <c r="O26" s="6"/>
      <c r="Q26" s="6" t="s">
        <v>468</v>
      </c>
      <c r="R26" s="6" t="s">
        <v>469</v>
      </c>
      <c r="S26" s="6" t="s">
        <v>239</v>
      </c>
      <c r="T26" s="11">
        <v>21434539</v>
      </c>
      <c r="U26" s="7">
        <v>10</v>
      </c>
      <c r="V26" s="6" t="s">
        <v>36</v>
      </c>
      <c r="W26" s="7">
        <v>14.8</v>
      </c>
      <c r="X26" s="6" t="s">
        <v>35</v>
      </c>
      <c r="Y26" s="7">
        <v>0.3</v>
      </c>
      <c r="Z26" s="7">
        <v>1.5</v>
      </c>
      <c r="AA26" s="6"/>
      <c r="AB26" s="6" t="s">
        <v>38</v>
      </c>
      <c r="AD26" s="6" t="s">
        <v>39</v>
      </c>
      <c r="AE26" s="6"/>
      <c r="AG26" s="6" t="s">
        <v>37</v>
      </c>
      <c r="AH26" s="7"/>
      <c r="AI26" s="6" t="s">
        <v>40</v>
      </c>
      <c r="AJ26" s="6" t="s">
        <v>238</v>
      </c>
      <c r="AK26" s="6" t="s">
        <v>35</v>
      </c>
      <c r="AL26" s="6" t="s">
        <v>268</v>
      </c>
      <c r="AM26" s="6" t="s">
        <v>41</v>
      </c>
    </row>
    <row r="27" spans="1:40" hidden="1" x14ac:dyDescent="0.25">
      <c r="A27" s="12">
        <v>45678</v>
      </c>
      <c r="B27" s="6" t="s">
        <v>111</v>
      </c>
      <c r="C27" t="str">
        <f>_xlfn.XLOOKUP(Table3[[#This Row],[station]],station_waterbody_county!A:A, station_waterbody_county!B:B)</f>
        <v>Marie Joseph Harbour</v>
      </c>
      <c r="D27" t="str">
        <f>_xlfn.XLOOKUP(Table3[[#This Row],[station]],station_waterbody_county!A:A, station_waterbody_county!C:C)</f>
        <v>Guysborough</v>
      </c>
      <c r="E27" s="6"/>
      <c r="F27" s="6" t="s">
        <v>310</v>
      </c>
      <c r="G27" s="12">
        <v>45226</v>
      </c>
      <c r="H27" s="5"/>
      <c r="I27" s="4">
        <v>45547</v>
      </c>
      <c r="J27" s="5">
        <v>0.68819444444444444</v>
      </c>
      <c r="K27" s="10">
        <v>44.950242000000003</v>
      </c>
      <c r="L27" s="10">
        <v>-62.011318000000003</v>
      </c>
      <c r="O27" s="6"/>
      <c r="Q27" s="6" t="s">
        <v>468</v>
      </c>
      <c r="R27" s="6" t="s">
        <v>469</v>
      </c>
      <c r="S27" s="6" t="s">
        <v>42</v>
      </c>
      <c r="T27" s="11">
        <v>551264</v>
      </c>
      <c r="U27" s="7">
        <v>15</v>
      </c>
      <c r="V27" s="6" t="s">
        <v>36</v>
      </c>
      <c r="W27" s="7">
        <v>14.8</v>
      </c>
      <c r="X27" s="6" t="s">
        <v>35</v>
      </c>
      <c r="Y27" s="7">
        <v>0.3</v>
      </c>
      <c r="Z27" s="7">
        <v>1.5</v>
      </c>
      <c r="AA27" s="6"/>
      <c r="AB27" s="6" t="s">
        <v>38</v>
      </c>
      <c r="AD27" s="6" t="s">
        <v>39</v>
      </c>
      <c r="AE27" s="6"/>
      <c r="AG27" s="6" t="s">
        <v>37</v>
      </c>
      <c r="AH27" s="7"/>
      <c r="AI27" s="6" t="s">
        <v>40</v>
      </c>
      <c r="AJ27" s="6" t="s">
        <v>238</v>
      </c>
      <c r="AK27" s="6" t="s">
        <v>35</v>
      </c>
      <c r="AL27" s="6" t="s">
        <v>268</v>
      </c>
      <c r="AM27" s="6" t="s">
        <v>41</v>
      </c>
    </row>
    <row r="28" spans="1:40" hidden="1" x14ac:dyDescent="0.25">
      <c r="A28" s="12">
        <v>45519</v>
      </c>
      <c r="B28" s="6" t="s">
        <v>112</v>
      </c>
      <c r="C28" t="str">
        <f>_xlfn.XLOOKUP(Table3[[#This Row],[station]],station_waterbody_county!A:A, station_waterbody_county!B:B)</f>
        <v>Green Cove</v>
      </c>
      <c r="D28" t="str">
        <f>_xlfn.XLOOKUP(Table3[[#This Row],[station]],station_waterbody_county!A:A, station_waterbody_county!C:C)</f>
        <v>Digby</v>
      </c>
      <c r="E28" s="6"/>
      <c r="F28" s="6" t="s">
        <v>311</v>
      </c>
      <c r="G28" s="12">
        <v>45141</v>
      </c>
      <c r="H28" s="5"/>
      <c r="I28" s="4"/>
      <c r="J28" s="5"/>
      <c r="K28" s="10">
        <v>44.010187000000002</v>
      </c>
      <c r="L28" s="10">
        <v>-66.186176000000003</v>
      </c>
      <c r="O28" s="6"/>
      <c r="S28" s="6" t="s">
        <v>239</v>
      </c>
      <c r="T28" s="11">
        <v>20291475</v>
      </c>
      <c r="U28" s="7">
        <v>2</v>
      </c>
      <c r="V28" s="6" t="s">
        <v>36</v>
      </c>
      <c r="W28" s="7"/>
      <c r="X28" s="6" t="s">
        <v>35</v>
      </c>
      <c r="Y28" s="7">
        <v>3.1</v>
      </c>
      <c r="Z28" s="7">
        <v>1</v>
      </c>
      <c r="AA28" s="6" t="s">
        <v>243</v>
      </c>
      <c r="AB28" s="6" t="s">
        <v>39</v>
      </c>
      <c r="AC28" s="6" t="s">
        <v>39</v>
      </c>
      <c r="AD28" s="6" t="s">
        <v>39</v>
      </c>
      <c r="AE28" s="6"/>
      <c r="AG28" s="6" t="s">
        <v>37</v>
      </c>
      <c r="AH28" s="7"/>
      <c r="AI28" s="6" t="s">
        <v>40</v>
      </c>
      <c r="AJ28" s="6" t="s">
        <v>238</v>
      </c>
      <c r="AK28" s="6" t="s">
        <v>35</v>
      </c>
      <c r="AL28" s="6" t="s">
        <v>269</v>
      </c>
      <c r="AM28" s="6" t="s">
        <v>41</v>
      </c>
      <c r="AN28" s="6" t="s">
        <v>448</v>
      </c>
    </row>
    <row r="29" spans="1:40" hidden="1" x14ac:dyDescent="0.25">
      <c r="A29" s="12">
        <v>45519</v>
      </c>
      <c r="B29" s="6" t="s">
        <v>112</v>
      </c>
      <c r="C29" t="str">
        <f>_xlfn.XLOOKUP(Table3[[#This Row],[station]],station_waterbody_county!A:A, station_waterbody_county!B:B)</f>
        <v>Green Cove</v>
      </c>
      <c r="D29" t="str">
        <f>_xlfn.XLOOKUP(Table3[[#This Row],[station]],station_waterbody_county!A:A, station_waterbody_county!C:C)</f>
        <v>Digby</v>
      </c>
      <c r="E29" s="6"/>
      <c r="F29" s="6" t="s">
        <v>311</v>
      </c>
      <c r="G29" s="12">
        <v>45141</v>
      </c>
      <c r="H29" s="5"/>
      <c r="I29" s="4"/>
      <c r="J29" s="5"/>
      <c r="K29" s="10">
        <v>44.010187000000002</v>
      </c>
      <c r="L29" s="10">
        <v>-66.186176000000003</v>
      </c>
      <c r="O29" s="6"/>
      <c r="S29" s="6" t="s">
        <v>240</v>
      </c>
      <c r="T29" s="11">
        <v>671330</v>
      </c>
      <c r="U29" s="7">
        <v>2</v>
      </c>
      <c r="V29" s="6" t="s">
        <v>36</v>
      </c>
      <c r="W29" s="7"/>
      <c r="X29" s="6" t="s">
        <v>35</v>
      </c>
      <c r="Y29" s="7">
        <v>3.1</v>
      </c>
      <c r="Z29" s="7">
        <v>1</v>
      </c>
      <c r="AA29" s="6" t="s">
        <v>243</v>
      </c>
      <c r="AB29" s="6" t="s">
        <v>39</v>
      </c>
      <c r="AC29" s="6" t="s">
        <v>39</v>
      </c>
      <c r="AD29" s="6" t="s">
        <v>39</v>
      </c>
      <c r="AE29" s="6"/>
      <c r="AG29" s="6" t="s">
        <v>37</v>
      </c>
      <c r="AH29" s="7"/>
      <c r="AI29" s="6" t="s">
        <v>40</v>
      </c>
      <c r="AJ29" s="6" t="s">
        <v>238</v>
      </c>
      <c r="AK29" s="6" t="s">
        <v>35</v>
      </c>
      <c r="AL29" s="6" t="s">
        <v>269</v>
      </c>
      <c r="AM29" s="6" t="s">
        <v>41</v>
      </c>
      <c r="AN29" s="6" t="s">
        <v>448</v>
      </c>
    </row>
    <row r="30" spans="1:40" hidden="1" x14ac:dyDescent="0.25">
      <c r="A30" s="12">
        <v>45519</v>
      </c>
      <c r="B30" s="6" t="s">
        <v>112</v>
      </c>
      <c r="C30" t="str">
        <f>_xlfn.XLOOKUP(Table3[[#This Row],[station]],station_waterbody_county!A:A, station_waterbody_county!B:B)</f>
        <v>Green Cove</v>
      </c>
      <c r="D30" t="str">
        <f>_xlfn.XLOOKUP(Table3[[#This Row],[station]],station_waterbody_county!A:A, station_waterbody_county!C:C)</f>
        <v>Digby</v>
      </c>
      <c r="E30" s="6"/>
      <c r="F30" s="6" t="s">
        <v>311</v>
      </c>
      <c r="G30" s="12">
        <v>45141</v>
      </c>
      <c r="H30" s="5"/>
      <c r="I30" s="4"/>
      <c r="J30" s="5"/>
      <c r="K30" s="10">
        <v>44.010187000000002</v>
      </c>
      <c r="L30" s="10">
        <v>-66.186176000000003</v>
      </c>
      <c r="O30" s="6"/>
      <c r="S30" s="6" t="s">
        <v>42</v>
      </c>
      <c r="T30" s="11">
        <v>548578</v>
      </c>
      <c r="U30" s="7">
        <v>5</v>
      </c>
      <c r="V30" s="6" t="s">
        <v>36</v>
      </c>
      <c r="W30" s="7"/>
      <c r="X30" s="6" t="s">
        <v>35</v>
      </c>
      <c r="Y30" s="7">
        <v>3.1</v>
      </c>
      <c r="Z30" s="7">
        <v>1</v>
      </c>
      <c r="AA30" s="6" t="s">
        <v>243</v>
      </c>
      <c r="AB30" s="6" t="s">
        <v>39</v>
      </c>
      <c r="AC30" s="6" t="s">
        <v>39</v>
      </c>
      <c r="AD30" s="6" t="s">
        <v>39</v>
      </c>
      <c r="AE30" s="6"/>
      <c r="AG30" s="6" t="s">
        <v>37</v>
      </c>
      <c r="AH30" s="7"/>
      <c r="AI30" s="6" t="s">
        <v>40</v>
      </c>
      <c r="AJ30" s="6" t="s">
        <v>238</v>
      </c>
      <c r="AK30" s="6" t="s">
        <v>35</v>
      </c>
      <c r="AL30" s="6" t="s">
        <v>269</v>
      </c>
      <c r="AM30" s="6" t="s">
        <v>41</v>
      </c>
      <c r="AN30" s="6" t="s">
        <v>448</v>
      </c>
    </row>
    <row r="31" spans="1:40" hidden="1" x14ac:dyDescent="0.25">
      <c r="A31" s="4">
        <v>45884</v>
      </c>
      <c r="B31" s="6" t="s">
        <v>112</v>
      </c>
      <c r="C31" s="6" t="str">
        <f>_xlfn.XLOOKUP(Table3[[#This Row],[station]],station_waterbody_county!A:A, station_waterbody_county!B:B)</f>
        <v>Green Cove</v>
      </c>
      <c r="D31" s="3" t="str">
        <f>_xlfn.XLOOKUP(Table3[[#This Row],[station]],station_waterbody_county!A:A, station_waterbody_county!C:C)</f>
        <v>Digby</v>
      </c>
      <c r="E31" s="6"/>
      <c r="F31" s="6" t="s">
        <v>34</v>
      </c>
      <c r="G31" s="12">
        <v>45869</v>
      </c>
      <c r="H31" s="5">
        <v>0.55000000000000004</v>
      </c>
      <c r="I31" s="4"/>
      <c r="J31" s="5"/>
      <c r="K31" s="10"/>
      <c r="O31" s="6" t="s">
        <v>1381</v>
      </c>
      <c r="P31" s="6" t="s">
        <v>1382</v>
      </c>
      <c r="S31" s="6" t="s">
        <v>239</v>
      </c>
      <c r="T31" s="11">
        <v>22285926</v>
      </c>
      <c r="U31" s="7">
        <v>2</v>
      </c>
      <c r="V31" s="6" t="s">
        <v>36</v>
      </c>
      <c r="W31" s="7">
        <v>14.3</v>
      </c>
      <c r="X31" s="6" t="s">
        <v>35</v>
      </c>
      <c r="Y31" s="7">
        <v>1.2</v>
      </c>
      <c r="Z31" s="7">
        <v>1</v>
      </c>
      <c r="AA31" s="6" t="s">
        <v>314</v>
      </c>
      <c r="AB31" s="6" t="s">
        <v>321</v>
      </c>
      <c r="AC31" s="6" t="s">
        <v>321</v>
      </c>
      <c r="AD31" s="6" t="s">
        <v>39</v>
      </c>
      <c r="AE31" s="6" t="s">
        <v>40</v>
      </c>
      <c r="AG31" s="6" t="s">
        <v>37</v>
      </c>
      <c r="AH31" s="7">
        <v>60</v>
      </c>
      <c r="AI31" s="6" t="s">
        <v>40</v>
      </c>
      <c r="AJ31" s="6" t="s">
        <v>238</v>
      </c>
      <c r="AL31" s="6" t="s">
        <v>41</v>
      </c>
    </row>
    <row r="32" spans="1:40" hidden="1" x14ac:dyDescent="0.25">
      <c r="A32" s="4">
        <v>45884</v>
      </c>
      <c r="B32" s="6" t="s">
        <v>112</v>
      </c>
      <c r="C32" s="6" t="str">
        <f>_xlfn.XLOOKUP(Table3[[#This Row],[station]],station_waterbody_county!A:A, station_waterbody_county!B:B)</f>
        <v>Green Cove</v>
      </c>
      <c r="D32" s="3" t="str">
        <f>_xlfn.XLOOKUP(Table3[[#This Row],[station]],station_waterbody_county!A:A, station_waterbody_county!C:C)</f>
        <v>Digby</v>
      </c>
      <c r="E32" s="6"/>
      <c r="F32" s="6" t="s">
        <v>34</v>
      </c>
      <c r="G32" s="12">
        <v>45869</v>
      </c>
      <c r="H32" s="5">
        <v>0.55000000000000004</v>
      </c>
      <c r="I32" s="4"/>
      <c r="J32" s="5"/>
      <c r="K32" s="10"/>
      <c r="O32" s="6" t="s">
        <v>1381</v>
      </c>
      <c r="P32" s="6" t="s">
        <v>1382</v>
      </c>
      <c r="S32" s="6" t="s">
        <v>42</v>
      </c>
      <c r="T32" s="11">
        <v>600013</v>
      </c>
      <c r="U32" s="7">
        <v>5</v>
      </c>
      <c r="V32" s="6" t="s">
        <v>36</v>
      </c>
      <c r="W32" s="7">
        <v>14.3</v>
      </c>
      <c r="X32" s="6" t="s">
        <v>35</v>
      </c>
      <c r="Y32" s="7">
        <v>1.2</v>
      </c>
      <c r="Z32" s="7">
        <v>1</v>
      </c>
      <c r="AA32" s="6" t="s">
        <v>314</v>
      </c>
      <c r="AB32" s="6" t="s">
        <v>321</v>
      </c>
      <c r="AC32" s="6" t="s">
        <v>321</v>
      </c>
      <c r="AD32" s="6" t="s">
        <v>39</v>
      </c>
      <c r="AE32" s="6" t="s">
        <v>40</v>
      </c>
      <c r="AG32" s="6" t="s">
        <v>37</v>
      </c>
      <c r="AH32" s="7">
        <v>60</v>
      </c>
      <c r="AI32" s="6" t="s">
        <v>40</v>
      </c>
      <c r="AJ32" s="6" t="s">
        <v>238</v>
      </c>
      <c r="AL32" s="6" t="s">
        <v>41</v>
      </c>
    </row>
    <row r="33" spans="1:40" hidden="1" x14ac:dyDescent="0.25">
      <c r="A33" s="4">
        <v>45884</v>
      </c>
      <c r="B33" s="6" t="s">
        <v>112</v>
      </c>
      <c r="C33" s="6" t="str">
        <f>_xlfn.XLOOKUP(Table3[[#This Row],[station]],station_waterbody_county!A:A, station_waterbody_county!B:B)</f>
        <v>Green Cove</v>
      </c>
      <c r="D33" s="3" t="str">
        <f>_xlfn.XLOOKUP(Table3[[#This Row],[station]],station_waterbody_county!A:A, station_waterbody_county!C:C)</f>
        <v>Digby</v>
      </c>
      <c r="E33" s="6"/>
      <c r="F33" s="6" t="s">
        <v>34</v>
      </c>
      <c r="G33" s="12">
        <v>45869</v>
      </c>
      <c r="H33" s="5">
        <v>0.55000000000000004</v>
      </c>
      <c r="I33" s="4"/>
      <c r="J33" s="5"/>
      <c r="K33" s="10"/>
      <c r="O33" s="6" t="s">
        <v>1381</v>
      </c>
      <c r="P33" s="6" t="s">
        <v>1382</v>
      </c>
      <c r="S33" s="6" t="s">
        <v>239</v>
      </c>
      <c r="T33" s="11">
        <v>22311509</v>
      </c>
      <c r="U33" s="7">
        <v>5</v>
      </c>
      <c r="V33" s="6" t="s">
        <v>36</v>
      </c>
      <c r="W33" s="7">
        <v>14.3</v>
      </c>
      <c r="X33" s="6" t="s">
        <v>35</v>
      </c>
      <c r="Y33" s="7">
        <v>1.2</v>
      </c>
      <c r="Z33" s="7">
        <v>1</v>
      </c>
      <c r="AA33" s="6" t="s">
        <v>314</v>
      </c>
      <c r="AB33" s="6" t="s">
        <v>321</v>
      </c>
      <c r="AC33" s="6" t="s">
        <v>321</v>
      </c>
      <c r="AD33" s="6" t="s">
        <v>39</v>
      </c>
      <c r="AE33" s="6" t="s">
        <v>40</v>
      </c>
      <c r="AG33" s="6" t="s">
        <v>37</v>
      </c>
      <c r="AH33" s="7">
        <v>60</v>
      </c>
      <c r="AI33" s="6" t="s">
        <v>40</v>
      </c>
      <c r="AJ33" s="6" t="s">
        <v>238</v>
      </c>
      <c r="AL33" s="6" t="s">
        <v>41</v>
      </c>
    </row>
    <row r="34" spans="1:40" x14ac:dyDescent="0.25">
      <c r="A34" s="4">
        <v>45681</v>
      </c>
      <c r="B34" s="6" t="s">
        <v>673</v>
      </c>
      <c r="C34" t="str">
        <f>_xlfn.XLOOKUP(Table3[[#This Row],[station]],station_waterbody_county!A:A, station_waterbody_county!B:B)</f>
        <v>Bay St. Lawrence</v>
      </c>
      <c r="D34" t="str">
        <f>_xlfn.XLOOKUP(Table3[[#This Row],[station]],station_waterbody_county!A:A, station_waterbody_county!C:C)</f>
        <v>Victoria</v>
      </c>
      <c r="E34" s="6"/>
      <c r="F34" s="6" t="s">
        <v>34</v>
      </c>
      <c r="G34" s="4">
        <v>45568</v>
      </c>
      <c r="H34" s="5">
        <v>0.60555555555555551</v>
      </c>
      <c r="I34" s="4"/>
      <c r="J34" s="5"/>
      <c r="K34" s="10">
        <v>47.013967000000001</v>
      </c>
      <c r="L34" s="10">
        <v>-60.488549999999996</v>
      </c>
      <c r="O34" s="6" t="s">
        <v>674</v>
      </c>
      <c r="P34" s="6" t="s">
        <v>675</v>
      </c>
      <c r="S34" s="6" t="s">
        <v>239</v>
      </c>
      <c r="T34" s="11">
        <v>20495248</v>
      </c>
      <c r="U34" s="7">
        <v>2</v>
      </c>
      <c r="V34" s="6" t="s">
        <v>36</v>
      </c>
      <c r="W34" s="7">
        <v>30</v>
      </c>
      <c r="X34" s="6" t="s">
        <v>35</v>
      </c>
      <c r="Y34" s="7">
        <v>1</v>
      </c>
      <c r="Z34" s="7">
        <v>2</v>
      </c>
      <c r="AA34" s="6" t="s">
        <v>251</v>
      </c>
      <c r="AB34" s="6" t="s">
        <v>38</v>
      </c>
      <c r="AD34" s="6" t="s">
        <v>39</v>
      </c>
      <c r="AE34" s="6"/>
      <c r="AG34" s="6" t="s">
        <v>37</v>
      </c>
      <c r="AH34" s="7">
        <v>60</v>
      </c>
      <c r="AI34" s="6" t="s">
        <v>40</v>
      </c>
      <c r="AJ34" s="6" t="s">
        <v>238</v>
      </c>
      <c r="AK34" s="6" t="s">
        <v>35</v>
      </c>
      <c r="AL34" s="6" t="s">
        <v>668</v>
      </c>
      <c r="AN34" s="6" t="s">
        <v>676</v>
      </c>
    </row>
    <row r="35" spans="1:40" x14ac:dyDescent="0.25">
      <c r="A35" s="4">
        <v>45681</v>
      </c>
      <c r="B35" s="6" t="s">
        <v>673</v>
      </c>
      <c r="C35" t="str">
        <f>_xlfn.XLOOKUP(Table3[[#This Row],[station]],station_waterbody_county!A:A, station_waterbody_county!B:B)</f>
        <v>Bay St. Lawrence</v>
      </c>
      <c r="D35" t="str">
        <f>_xlfn.XLOOKUP(Table3[[#This Row],[station]],station_waterbody_county!A:A, station_waterbody_county!C:C)</f>
        <v>Victoria</v>
      </c>
      <c r="E35" s="6"/>
      <c r="F35" s="6" t="s">
        <v>34</v>
      </c>
      <c r="G35" s="4">
        <v>45568</v>
      </c>
      <c r="H35" s="5">
        <v>0.60555555555555551</v>
      </c>
      <c r="I35" s="4"/>
      <c r="J35" s="5"/>
      <c r="K35" s="10">
        <v>47.013967000000001</v>
      </c>
      <c r="L35" s="10">
        <v>-60.488549999999996</v>
      </c>
      <c r="O35" s="6" t="s">
        <v>674</v>
      </c>
      <c r="P35" s="6" t="s">
        <v>675</v>
      </c>
      <c r="S35" s="6" t="s">
        <v>240</v>
      </c>
      <c r="T35" s="11">
        <v>670373</v>
      </c>
      <c r="U35" s="7">
        <v>5</v>
      </c>
      <c r="V35" s="6" t="s">
        <v>36</v>
      </c>
      <c r="W35" s="7">
        <v>30</v>
      </c>
      <c r="X35" s="6" t="s">
        <v>35</v>
      </c>
      <c r="Y35" s="7">
        <v>1</v>
      </c>
      <c r="Z35" s="7">
        <v>2</v>
      </c>
      <c r="AA35" s="6" t="s">
        <v>251</v>
      </c>
      <c r="AB35" s="6" t="s">
        <v>38</v>
      </c>
      <c r="AD35" s="6" t="s">
        <v>39</v>
      </c>
      <c r="AE35" s="6"/>
      <c r="AG35" s="6" t="s">
        <v>37</v>
      </c>
      <c r="AH35" s="7">
        <v>60</v>
      </c>
      <c r="AI35" s="6" t="s">
        <v>40</v>
      </c>
      <c r="AJ35" s="6" t="s">
        <v>238</v>
      </c>
      <c r="AK35" s="6" t="s">
        <v>35</v>
      </c>
      <c r="AL35" s="6" t="s">
        <v>668</v>
      </c>
      <c r="AN35" s="6" t="s">
        <v>676</v>
      </c>
    </row>
    <row r="36" spans="1:40" x14ac:dyDescent="0.25">
      <c r="A36" s="4">
        <v>45681</v>
      </c>
      <c r="B36" s="6" t="s">
        <v>673</v>
      </c>
      <c r="C36" t="str">
        <f>_xlfn.XLOOKUP(Table3[[#This Row],[station]],station_waterbody_county!A:A, station_waterbody_county!B:B)</f>
        <v>Bay St. Lawrence</v>
      </c>
      <c r="D36" t="str">
        <f>_xlfn.XLOOKUP(Table3[[#This Row],[station]],station_waterbody_county!A:A, station_waterbody_county!C:C)</f>
        <v>Victoria</v>
      </c>
      <c r="E36" s="6"/>
      <c r="F36" s="6" t="s">
        <v>34</v>
      </c>
      <c r="G36" s="4">
        <v>45568</v>
      </c>
      <c r="H36" s="5">
        <v>0.60555555555555551</v>
      </c>
      <c r="I36" s="4"/>
      <c r="J36" s="5"/>
      <c r="K36" s="10">
        <v>47.013967000000001</v>
      </c>
      <c r="L36" s="10">
        <v>-60.488549999999996</v>
      </c>
      <c r="O36" s="6" t="s">
        <v>674</v>
      </c>
      <c r="P36" s="6" t="s">
        <v>675</v>
      </c>
      <c r="S36" s="6" t="s">
        <v>239</v>
      </c>
      <c r="T36" s="11">
        <v>20900975</v>
      </c>
      <c r="U36" s="7">
        <v>10</v>
      </c>
      <c r="V36" s="6" t="s">
        <v>36</v>
      </c>
      <c r="W36" s="7">
        <v>30</v>
      </c>
      <c r="X36" s="6" t="s">
        <v>35</v>
      </c>
      <c r="Y36" s="7">
        <v>1</v>
      </c>
      <c r="Z36" s="7">
        <v>2</v>
      </c>
      <c r="AA36" s="6" t="s">
        <v>251</v>
      </c>
      <c r="AB36" s="6" t="s">
        <v>38</v>
      </c>
      <c r="AD36" s="6" t="s">
        <v>39</v>
      </c>
      <c r="AE36" s="6"/>
      <c r="AG36" s="6" t="s">
        <v>37</v>
      </c>
      <c r="AH36" s="7">
        <v>60</v>
      </c>
      <c r="AI36" s="6" t="s">
        <v>40</v>
      </c>
      <c r="AJ36" s="6" t="s">
        <v>238</v>
      </c>
      <c r="AK36" s="6" t="s">
        <v>35</v>
      </c>
      <c r="AL36" s="6" t="s">
        <v>668</v>
      </c>
      <c r="AN36" s="6" t="s">
        <v>676</v>
      </c>
    </row>
    <row r="37" spans="1:40" x14ac:dyDescent="0.25">
      <c r="A37" s="4">
        <v>45681</v>
      </c>
      <c r="B37" s="6" t="s">
        <v>673</v>
      </c>
      <c r="C37" t="str">
        <f>_xlfn.XLOOKUP(Table3[[#This Row],[station]],station_waterbody_county!A:A, station_waterbody_county!B:B)</f>
        <v>Bay St. Lawrence</v>
      </c>
      <c r="D37" t="str">
        <f>_xlfn.XLOOKUP(Table3[[#This Row],[station]],station_waterbody_county!A:A, station_waterbody_county!C:C)</f>
        <v>Victoria</v>
      </c>
      <c r="E37" s="6"/>
      <c r="F37" s="6" t="s">
        <v>34</v>
      </c>
      <c r="G37" s="4">
        <v>45568</v>
      </c>
      <c r="H37" s="5">
        <v>0.60555555555555551</v>
      </c>
      <c r="I37" s="4"/>
      <c r="J37" s="5"/>
      <c r="K37" s="10">
        <v>47.013967000000001</v>
      </c>
      <c r="L37" s="10">
        <v>-60.488549999999996</v>
      </c>
      <c r="O37" s="6" t="s">
        <v>674</v>
      </c>
      <c r="P37" s="6" t="s">
        <v>675</v>
      </c>
      <c r="S37" s="6" t="s">
        <v>239</v>
      </c>
      <c r="T37" s="11">
        <v>20291435</v>
      </c>
      <c r="U37" s="7">
        <v>15</v>
      </c>
      <c r="V37" s="6" t="s">
        <v>36</v>
      </c>
      <c r="W37" s="7">
        <v>30</v>
      </c>
      <c r="X37" s="6" t="s">
        <v>35</v>
      </c>
      <c r="Y37" s="7">
        <v>1</v>
      </c>
      <c r="Z37" s="7">
        <v>2</v>
      </c>
      <c r="AA37" s="6" t="s">
        <v>251</v>
      </c>
      <c r="AB37" s="6" t="s">
        <v>38</v>
      </c>
      <c r="AD37" s="6" t="s">
        <v>39</v>
      </c>
      <c r="AE37" s="6"/>
      <c r="AG37" s="6" t="s">
        <v>37</v>
      </c>
      <c r="AH37" s="7">
        <v>60</v>
      </c>
      <c r="AI37" s="6" t="s">
        <v>40</v>
      </c>
      <c r="AJ37" s="6" t="s">
        <v>238</v>
      </c>
      <c r="AK37" s="6" t="s">
        <v>35</v>
      </c>
      <c r="AL37" s="6" t="s">
        <v>668</v>
      </c>
      <c r="AN37" s="6" t="s">
        <v>676</v>
      </c>
    </row>
    <row r="38" spans="1:40" x14ac:dyDescent="0.25">
      <c r="A38" s="4">
        <v>45681</v>
      </c>
      <c r="B38" s="6" t="s">
        <v>673</v>
      </c>
      <c r="C38" t="str">
        <f>_xlfn.XLOOKUP(Table3[[#This Row],[station]],station_waterbody_county!A:A, station_waterbody_county!B:B)</f>
        <v>Bay St. Lawrence</v>
      </c>
      <c r="D38" t="str">
        <f>_xlfn.XLOOKUP(Table3[[#This Row],[station]],station_waterbody_county!A:A, station_waterbody_county!C:C)</f>
        <v>Victoria</v>
      </c>
      <c r="E38" s="6"/>
      <c r="F38" s="6" t="s">
        <v>34</v>
      </c>
      <c r="G38" s="4">
        <v>45568</v>
      </c>
      <c r="H38" s="5">
        <v>0.60555555555555551</v>
      </c>
      <c r="I38" s="4"/>
      <c r="J38" s="5"/>
      <c r="K38" s="10">
        <v>47.013967000000001</v>
      </c>
      <c r="L38" s="10">
        <v>-60.488549999999996</v>
      </c>
      <c r="O38" s="6" t="s">
        <v>674</v>
      </c>
      <c r="P38" s="6" t="s">
        <v>675</v>
      </c>
      <c r="S38" s="6" t="s">
        <v>239</v>
      </c>
      <c r="T38" s="11">
        <v>20291431</v>
      </c>
      <c r="U38" s="7">
        <v>20</v>
      </c>
      <c r="V38" s="6" t="s">
        <v>36</v>
      </c>
      <c r="W38" s="7">
        <v>30</v>
      </c>
      <c r="X38" s="6" t="s">
        <v>35</v>
      </c>
      <c r="Y38" s="7">
        <v>1</v>
      </c>
      <c r="Z38" s="7">
        <v>2</v>
      </c>
      <c r="AA38" s="6" t="s">
        <v>251</v>
      </c>
      <c r="AB38" s="6" t="s">
        <v>38</v>
      </c>
      <c r="AD38" s="6" t="s">
        <v>39</v>
      </c>
      <c r="AE38" s="6"/>
      <c r="AG38" s="6" t="s">
        <v>37</v>
      </c>
      <c r="AH38" s="7">
        <v>60</v>
      </c>
      <c r="AI38" s="6" t="s">
        <v>40</v>
      </c>
      <c r="AJ38" s="6" t="s">
        <v>238</v>
      </c>
      <c r="AK38" s="6" t="s">
        <v>35</v>
      </c>
      <c r="AL38" s="6" t="s">
        <v>668</v>
      </c>
      <c r="AN38" s="6" t="s">
        <v>676</v>
      </c>
    </row>
    <row r="39" spans="1:40" x14ac:dyDescent="0.25">
      <c r="A39" s="4">
        <v>45681</v>
      </c>
      <c r="B39" s="6" t="s">
        <v>673</v>
      </c>
      <c r="C39" t="str">
        <f>_xlfn.XLOOKUP(Table3[[#This Row],[station]],station_waterbody_county!A:A, station_waterbody_county!B:B)</f>
        <v>Bay St. Lawrence</v>
      </c>
      <c r="D39" t="str">
        <f>_xlfn.XLOOKUP(Table3[[#This Row],[station]],station_waterbody_county!A:A, station_waterbody_county!C:C)</f>
        <v>Victoria</v>
      </c>
      <c r="E39" s="6"/>
      <c r="F39" s="6" t="s">
        <v>34</v>
      </c>
      <c r="G39" s="4">
        <v>45568</v>
      </c>
      <c r="H39" s="5">
        <v>0.60555555555555551</v>
      </c>
      <c r="I39" s="4"/>
      <c r="J39" s="5"/>
      <c r="K39" s="10">
        <v>47.013967000000001</v>
      </c>
      <c r="L39" s="10">
        <v>-60.488549999999996</v>
      </c>
      <c r="O39" s="6" t="s">
        <v>674</v>
      </c>
      <c r="P39" s="6" t="s">
        <v>675</v>
      </c>
      <c r="S39" s="6" t="s">
        <v>42</v>
      </c>
      <c r="T39" s="11">
        <v>549342</v>
      </c>
      <c r="U39" s="7">
        <v>25</v>
      </c>
      <c r="V39" s="6" t="s">
        <v>36</v>
      </c>
      <c r="W39" s="7">
        <v>30</v>
      </c>
      <c r="X39" s="6" t="s">
        <v>35</v>
      </c>
      <c r="Y39" s="7">
        <v>1</v>
      </c>
      <c r="Z39" s="7">
        <v>2</v>
      </c>
      <c r="AA39" s="6" t="s">
        <v>251</v>
      </c>
      <c r="AB39" s="6" t="s">
        <v>38</v>
      </c>
      <c r="AD39" s="6" t="s">
        <v>39</v>
      </c>
      <c r="AE39" s="6"/>
      <c r="AG39" s="6" t="s">
        <v>37</v>
      </c>
      <c r="AH39" s="7">
        <v>60</v>
      </c>
      <c r="AI39" s="6" t="s">
        <v>40</v>
      </c>
      <c r="AJ39" s="6" t="s">
        <v>238</v>
      </c>
      <c r="AK39" s="6" t="s">
        <v>35</v>
      </c>
      <c r="AL39" s="6" t="s">
        <v>668</v>
      </c>
      <c r="AN39" s="6" t="s">
        <v>676</v>
      </c>
    </row>
    <row r="40" spans="1:40" x14ac:dyDescent="0.25">
      <c r="A40" s="4">
        <v>45632</v>
      </c>
      <c r="B40" s="13" t="s">
        <v>641</v>
      </c>
      <c r="C40" t="str">
        <f>_xlfn.XLOOKUP(Table3[[#This Row],[station]],station_waterbody_county!A:A, station_waterbody_county!B:B)</f>
        <v>Lochmore Harbour</v>
      </c>
      <c r="D40" t="str">
        <f>_xlfn.XLOOKUP(Table3[[#This Row],[station]],station_waterbody_county!A:A, station_waterbody_county!C:C)</f>
        <v>Cape Breton</v>
      </c>
      <c r="E40" s="6"/>
      <c r="F40" s="6" t="s">
        <v>310</v>
      </c>
      <c r="G40" s="4">
        <v>45517</v>
      </c>
      <c r="H40" s="5"/>
      <c r="I40" s="4">
        <v>45594</v>
      </c>
      <c r="J40" s="5"/>
      <c r="K40" s="10">
        <v>45.894472</v>
      </c>
      <c r="L40" s="10">
        <v>-60.572277999999997</v>
      </c>
      <c r="O40" s="6"/>
      <c r="S40" s="6" t="s">
        <v>253</v>
      </c>
      <c r="T40" s="11">
        <v>687479</v>
      </c>
      <c r="U40" s="7">
        <v>0.9</v>
      </c>
      <c r="V40" s="6" t="s">
        <v>618</v>
      </c>
      <c r="W40" s="7">
        <v>0.9</v>
      </c>
      <c r="X40" s="6" t="s">
        <v>241</v>
      </c>
      <c r="Y40" s="7"/>
      <c r="AA40" s="6"/>
      <c r="AE40" s="6"/>
      <c r="AG40" s="6" t="s">
        <v>282</v>
      </c>
      <c r="AH40" s="7"/>
      <c r="AI40" s="6" t="s">
        <v>40</v>
      </c>
      <c r="AJ40" s="6" t="s">
        <v>238</v>
      </c>
      <c r="AK40" s="6" t="s">
        <v>241</v>
      </c>
      <c r="AL40" s="6" t="s">
        <v>619</v>
      </c>
      <c r="AM40" s="6" t="s">
        <v>619</v>
      </c>
      <c r="AN40" s="6" t="s">
        <v>1423</v>
      </c>
    </row>
    <row r="41" spans="1:40" x14ac:dyDescent="0.25">
      <c r="A41" s="4">
        <v>45632</v>
      </c>
      <c r="B41" s="13" t="s">
        <v>642</v>
      </c>
      <c r="C41" t="str">
        <f>_xlfn.XLOOKUP(Table3[[#This Row],[station]],station_waterbody_county!A:A, station_waterbody_county!B:B)</f>
        <v>McKinnons Harbour</v>
      </c>
      <c r="D41" t="str">
        <f>_xlfn.XLOOKUP(Table3[[#This Row],[station]],station_waterbody_county!A:A, station_waterbody_county!C:C)</f>
        <v>Victoria</v>
      </c>
      <c r="E41" s="6"/>
      <c r="F41" s="6" t="s">
        <v>310</v>
      </c>
      <c r="G41" s="4">
        <v>45504</v>
      </c>
      <c r="H41" s="5"/>
      <c r="I41" s="4">
        <v>45595</v>
      </c>
      <c r="J41" s="5"/>
      <c r="K41" s="10">
        <v>45.930472000000002</v>
      </c>
      <c r="L41" s="10">
        <v>-60.932222000000003</v>
      </c>
      <c r="O41" s="6"/>
      <c r="S41" s="6" t="s">
        <v>253</v>
      </c>
      <c r="T41" s="11">
        <v>687484</v>
      </c>
      <c r="U41" s="7">
        <v>0.9</v>
      </c>
      <c r="V41" s="6" t="s">
        <v>618</v>
      </c>
      <c r="W41" s="7">
        <v>0.9</v>
      </c>
      <c r="X41" s="6" t="s">
        <v>241</v>
      </c>
      <c r="Y41" s="7"/>
      <c r="AA41" s="6"/>
      <c r="AE41" s="6"/>
      <c r="AG41" s="6" t="s">
        <v>282</v>
      </c>
      <c r="AH41" s="7"/>
      <c r="AI41" s="6" t="s">
        <v>40</v>
      </c>
      <c r="AJ41" s="6" t="s">
        <v>238</v>
      </c>
      <c r="AK41" s="6" t="s">
        <v>241</v>
      </c>
      <c r="AL41" s="6" t="s">
        <v>619</v>
      </c>
      <c r="AM41" s="6" t="s">
        <v>619</v>
      </c>
      <c r="AN41" s="6" t="s">
        <v>1423</v>
      </c>
    </row>
    <row r="42" spans="1:40" x14ac:dyDescent="0.25">
      <c r="A42" s="4">
        <v>45632</v>
      </c>
      <c r="B42" s="14" t="s">
        <v>649</v>
      </c>
      <c r="C42" t="str">
        <f>_xlfn.XLOOKUP(Table3[[#This Row],[station]],station_waterbody_county!A:A, station_waterbody_county!B:B)</f>
        <v>MacIvers Cove</v>
      </c>
      <c r="D42" t="str">
        <f>_xlfn.XLOOKUP(Table3[[#This Row],[station]],station_waterbody_county!A:A, station_waterbody_county!C:C)</f>
        <v>Victoria</v>
      </c>
      <c r="E42" s="6"/>
      <c r="F42" s="6" t="s">
        <v>310</v>
      </c>
      <c r="G42" s="4">
        <v>45502</v>
      </c>
      <c r="H42" s="5"/>
      <c r="I42" s="4">
        <v>45600</v>
      </c>
      <c r="J42" s="5"/>
      <c r="K42" s="10">
        <v>46.048194000000002</v>
      </c>
      <c r="L42" s="10">
        <v>-60.826582999999999</v>
      </c>
      <c r="O42" s="6"/>
      <c r="S42" s="6" t="s">
        <v>253</v>
      </c>
      <c r="T42" s="11">
        <v>687483</v>
      </c>
      <c r="U42" s="7">
        <v>0.9</v>
      </c>
      <c r="V42" s="6" t="s">
        <v>618</v>
      </c>
      <c r="W42" s="7">
        <v>0.9</v>
      </c>
      <c r="X42" s="6" t="s">
        <v>241</v>
      </c>
      <c r="Y42" s="7"/>
      <c r="AA42" s="6"/>
      <c r="AE42" s="6"/>
      <c r="AG42" s="6" t="s">
        <v>282</v>
      </c>
      <c r="AH42" s="7"/>
      <c r="AI42" s="6" t="s">
        <v>40</v>
      </c>
      <c r="AJ42" s="6" t="s">
        <v>238</v>
      </c>
      <c r="AK42" s="6" t="s">
        <v>241</v>
      </c>
      <c r="AL42" s="6" t="s">
        <v>619</v>
      </c>
      <c r="AM42" s="6" t="s">
        <v>619</v>
      </c>
      <c r="AN42" s="6" t="s">
        <v>1423</v>
      </c>
    </row>
    <row r="43" spans="1:40" x14ac:dyDescent="0.25">
      <c r="A43" s="4">
        <v>45632</v>
      </c>
      <c r="B43" s="13" t="s">
        <v>647</v>
      </c>
      <c r="C43" t="str">
        <f>_xlfn.XLOOKUP(Table3[[#This Row],[station]],station_waterbody_county!A:A, station_waterbody_county!B:B)</f>
        <v>Whycocomagh Bay</v>
      </c>
      <c r="D43" t="str">
        <f>_xlfn.XLOOKUP(Table3[[#This Row],[station]],station_waterbody_county!A:A, station_waterbody_county!C:C)</f>
        <v>Inverness</v>
      </c>
      <c r="E43" s="6"/>
      <c r="F43" s="6" t="s">
        <v>310</v>
      </c>
      <c r="G43" s="4">
        <v>45513</v>
      </c>
      <c r="H43" s="5"/>
      <c r="I43" s="4">
        <v>45597</v>
      </c>
      <c r="J43" s="5"/>
      <c r="K43" s="10">
        <v>45.979666999999999</v>
      </c>
      <c r="L43" s="10">
        <v>-61.028832999999999</v>
      </c>
      <c r="O43" s="6"/>
      <c r="S43" s="6" t="s">
        <v>253</v>
      </c>
      <c r="T43" s="11">
        <v>687487</v>
      </c>
      <c r="U43" s="7">
        <v>0.9</v>
      </c>
      <c r="V43" s="6" t="s">
        <v>618</v>
      </c>
      <c r="W43" s="7">
        <v>0.9</v>
      </c>
      <c r="X43" s="6" t="s">
        <v>241</v>
      </c>
      <c r="Y43" s="7"/>
      <c r="AA43" s="6"/>
      <c r="AE43" s="6"/>
      <c r="AG43" s="6" t="s">
        <v>282</v>
      </c>
      <c r="AH43" s="7"/>
      <c r="AI43" s="6" t="s">
        <v>40</v>
      </c>
      <c r="AJ43" s="6" t="s">
        <v>238</v>
      </c>
      <c r="AK43" s="6" t="s">
        <v>241</v>
      </c>
      <c r="AL43" s="6" t="s">
        <v>619</v>
      </c>
      <c r="AM43" s="6" t="s">
        <v>619</v>
      </c>
      <c r="AN43" s="6" t="s">
        <v>1423</v>
      </c>
    </row>
    <row r="44" spans="1:40" x14ac:dyDescent="0.25">
      <c r="A44" s="4">
        <v>45632</v>
      </c>
      <c r="B44" s="13" t="s">
        <v>645</v>
      </c>
      <c r="C44" t="str">
        <f>_xlfn.XLOOKUP(Table3[[#This Row],[station]],station_waterbody_county!A:A, station_waterbody_county!B:B)</f>
        <v>Denas Pond</v>
      </c>
      <c r="D44" t="str">
        <f>_xlfn.XLOOKUP(Table3[[#This Row],[station]],station_waterbody_county!A:A, station_waterbody_county!C:C)</f>
        <v>Inverness</v>
      </c>
      <c r="E44" s="6"/>
      <c r="F44" s="6" t="s">
        <v>310</v>
      </c>
      <c r="G44" s="4">
        <v>45502</v>
      </c>
      <c r="H44" s="5"/>
      <c r="I44" s="4">
        <v>45595</v>
      </c>
      <c r="J44" s="5"/>
      <c r="K44" s="10">
        <v>46.008028000000003</v>
      </c>
      <c r="L44" s="10">
        <v>-60.989249999999998</v>
      </c>
      <c r="O44" s="6"/>
      <c r="S44" s="6" t="s">
        <v>253</v>
      </c>
      <c r="T44" s="11">
        <v>687489</v>
      </c>
      <c r="U44" s="7">
        <v>0.9</v>
      </c>
      <c r="V44" s="6" t="s">
        <v>618</v>
      </c>
      <c r="W44" s="7">
        <v>0.9</v>
      </c>
      <c r="X44" s="6" t="s">
        <v>241</v>
      </c>
      <c r="Y44" s="7"/>
      <c r="AA44" s="6"/>
      <c r="AE44" s="6"/>
      <c r="AG44" s="6" t="s">
        <v>282</v>
      </c>
      <c r="AH44" s="7"/>
      <c r="AI44" s="6" t="s">
        <v>40</v>
      </c>
      <c r="AJ44" s="6" t="s">
        <v>238</v>
      </c>
      <c r="AK44" s="6" t="s">
        <v>241</v>
      </c>
      <c r="AL44" s="6" t="s">
        <v>619</v>
      </c>
      <c r="AM44" s="6" t="s">
        <v>619</v>
      </c>
      <c r="AN44" s="6" t="s">
        <v>1423</v>
      </c>
    </row>
    <row r="45" spans="1:40" x14ac:dyDescent="0.25">
      <c r="A45" s="4">
        <v>45632</v>
      </c>
      <c r="B45" s="14" t="s">
        <v>655</v>
      </c>
      <c r="C45" t="str">
        <f>_xlfn.XLOOKUP(Table3[[#This Row],[station]],station_waterbody_county!A:A, station_waterbody_county!B:B)</f>
        <v>MacLeans Cove</v>
      </c>
      <c r="D45" t="str">
        <f>_xlfn.XLOOKUP(Table3[[#This Row],[station]],station_waterbody_county!A:A, station_waterbody_county!C:C)</f>
        <v>Inverness</v>
      </c>
      <c r="E45" s="6"/>
      <c r="F45" s="6" t="s">
        <v>310</v>
      </c>
      <c r="G45" s="4">
        <v>45509</v>
      </c>
      <c r="H45" s="5"/>
      <c r="I45" s="4">
        <v>45603</v>
      </c>
      <c r="J45" s="5"/>
      <c r="K45" s="10">
        <v>45.866</v>
      </c>
      <c r="L45" s="10">
        <v>-61.059193999999998</v>
      </c>
      <c r="O45" s="6"/>
      <c r="S45" s="6" t="s">
        <v>253</v>
      </c>
      <c r="T45" s="11">
        <v>687494</v>
      </c>
      <c r="U45" s="7">
        <v>0.9</v>
      </c>
      <c r="V45" s="6" t="s">
        <v>618</v>
      </c>
      <c r="W45" s="7">
        <v>0.9</v>
      </c>
      <c r="X45" s="6" t="s">
        <v>241</v>
      </c>
      <c r="Y45" s="7"/>
      <c r="AA45" s="6"/>
      <c r="AE45" s="6"/>
      <c r="AG45" s="6" t="s">
        <v>282</v>
      </c>
      <c r="AH45" s="7"/>
      <c r="AI45" s="6" t="s">
        <v>40</v>
      </c>
      <c r="AJ45" s="6" t="s">
        <v>238</v>
      </c>
      <c r="AK45" s="6" t="s">
        <v>241</v>
      </c>
      <c r="AL45" s="6" t="s">
        <v>619</v>
      </c>
      <c r="AM45" s="6" t="s">
        <v>619</v>
      </c>
      <c r="AN45" s="6" t="s">
        <v>1423</v>
      </c>
    </row>
    <row r="46" spans="1:40" x14ac:dyDescent="0.25">
      <c r="A46" s="4">
        <v>45632</v>
      </c>
      <c r="B46" s="13" t="s">
        <v>640</v>
      </c>
      <c r="C46" t="str">
        <f>_xlfn.XLOOKUP(Table3[[#This Row],[station]],station_waterbody_county!A:A, station_waterbody_county!B:B)</f>
        <v>Soldiers Cove</v>
      </c>
      <c r="D46" t="str">
        <f>_xlfn.XLOOKUP(Table3[[#This Row],[station]],station_waterbody_county!A:A, station_waterbody_county!C:C)</f>
        <v>Richmond</v>
      </c>
      <c r="E46" s="6"/>
      <c r="F46" s="6" t="s">
        <v>310</v>
      </c>
      <c r="G46" s="4">
        <v>45517</v>
      </c>
      <c r="H46" s="5"/>
      <c r="I46" s="4">
        <v>45594</v>
      </c>
      <c r="J46" s="5"/>
      <c r="K46" s="10">
        <v>45.696666999999998</v>
      </c>
      <c r="L46" s="10">
        <v>-60.7425</v>
      </c>
      <c r="O46" s="6"/>
      <c r="S46" s="6" t="s">
        <v>253</v>
      </c>
      <c r="T46" s="11">
        <v>687481</v>
      </c>
      <c r="U46" s="7">
        <v>0.9</v>
      </c>
      <c r="V46" s="6" t="s">
        <v>618</v>
      </c>
      <c r="W46" s="7">
        <v>0.9</v>
      </c>
      <c r="X46" s="6" t="s">
        <v>241</v>
      </c>
      <c r="Y46" s="7"/>
      <c r="AA46" s="6"/>
      <c r="AE46" s="6"/>
      <c r="AG46" s="6" t="s">
        <v>282</v>
      </c>
      <c r="AH46" s="7"/>
      <c r="AI46" s="6" t="s">
        <v>40</v>
      </c>
      <c r="AJ46" s="6" t="s">
        <v>238</v>
      </c>
      <c r="AK46" s="6" t="s">
        <v>241</v>
      </c>
      <c r="AL46" s="6" t="s">
        <v>619</v>
      </c>
      <c r="AM46" s="6" t="s">
        <v>619</v>
      </c>
      <c r="AN46" s="6" t="s">
        <v>1423</v>
      </c>
    </row>
    <row r="47" spans="1:40" x14ac:dyDescent="0.25">
      <c r="A47" s="4">
        <v>45636</v>
      </c>
      <c r="B47" s="14" t="s">
        <v>657</v>
      </c>
      <c r="C47" t="str">
        <f>_xlfn.XLOOKUP(Table3[[#This Row],[station]],station_waterbody_county!A:A, station_waterbody_county!B:B)</f>
        <v>Whycocomagh Bay</v>
      </c>
      <c r="D47" t="str">
        <f>_xlfn.XLOOKUP(Table3[[#This Row],[station]],station_waterbody_county!A:A, station_waterbody_county!C:C)</f>
        <v>Inverness</v>
      </c>
      <c r="E47" s="6"/>
      <c r="F47" s="6" t="s">
        <v>310</v>
      </c>
      <c r="G47" s="4">
        <v>45513</v>
      </c>
      <c r="H47" s="5"/>
      <c r="I47" s="4">
        <v>45623</v>
      </c>
      <c r="J47" s="5"/>
      <c r="K47" s="10">
        <v>45.957861000000001</v>
      </c>
      <c r="L47" s="10">
        <v>-61.001582999999997</v>
      </c>
      <c r="O47" s="6"/>
      <c r="S47" s="6" t="s">
        <v>253</v>
      </c>
      <c r="T47" s="11">
        <v>687485</v>
      </c>
      <c r="U47" s="7">
        <v>0.9</v>
      </c>
      <c r="V47" s="6" t="s">
        <v>618</v>
      </c>
      <c r="W47" s="7">
        <v>0.9</v>
      </c>
      <c r="X47" s="6" t="s">
        <v>241</v>
      </c>
      <c r="Y47" s="7"/>
      <c r="AA47" s="6"/>
      <c r="AE47" s="6"/>
      <c r="AG47" s="6" t="s">
        <v>282</v>
      </c>
      <c r="AH47" s="7"/>
      <c r="AI47" s="6" t="s">
        <v>40</v>
      </c>
      <c r="AJ47" s="6" t="s">
        <v>238</v>
      </c>
      <c r="AK47" s="6" t="s">
        <v>241</v>
      </c>
      <c r="AL47" s="6" t="s">
        <v>619</v>
      </c>
      <c r="AM47" s="6" t="s">
        <v>619</v>
      </c>
      <c r="AN47" s="6" t="s">
        <v>1423</v>
      </c>
    </row>
    <row r="48" spans="1:40" x14ac:dyDescent="0.25">
      <c r="A48" s="4">
        <v>45632</v>
      </c>
      <c r="B48" s="14" t="s">
        <v>651</v>
      </c>
      <c r="C48" t="str">
        <f>_xlfn.XLOOKUP(Table3[[#This Row],[station]],station_waterbody_county!A:A, station_waterbody_county!B:B)</f>
        <v>Little Boom</v>
      </c>
      <c r="D48" t="str">
        <f>_xlfn.XLOOKUP(Table3[[#This Row],[station]],station_waterbody_county!A:A, station_waterbody_county!C:C)</f>
        <v>Inverness</v>
      </c>
      <c r="E48" s="6"/>
      <c r="F48" s="6" t="s">
        <v>310</v>
      </c>
      <c r="G48" s="4">
        <v>45509</v>
      </c>
      <c r="H48" s="5"/>
      <c r="I48" s="4">
        <v>45601</v>
      </c>
      <c r="J48" s="5"/>
      <c r="K48" s="10">
        <v>45.904888999999997</v>
      </c>
      <c r="L48" s="10">
        <v>-61.018250000000002</v>
      </c>
      <c r="O48" s="6"/>
      <c r="S48" s="6" t="s">
        <v>253</v>
      </c>
      <c r="T48" s="11">
        <v>687491</v>
      </c>
      <c r="U48" s="7">
        <v>0.9</v>
      </c>
      <c r="V48" s="6" t="s">
        <v>618</v>
      </c>
      <c r="W48" s="7">
        <v>0.9</v>
      </c>
      <c r="X48" s="6" t="s">
        <v>241</v>
      </c>
      <c r="Y48" s="7"/>
      <c r="AA48" s="6"/>
      <c r="AE48" s="6"/>
      <c r="AG48" s="6" t="s">
        <v>282</v>
      </c>
      <c r="AH48" s="7"/>
      <c r="AI48" s="6" t="s">
        <v>40</v>
      </c>
      <c r="AJ48" s="6" t="s">
        <v>238</v>
      </c>
      <c r="AK48" s="6" t="s">
        <v>241</v>
      </c>
      <c r="AL48" s="6" t="s">
        <v>619</v>
      </c>
      <c r="AM48" s="6" t="s">
        <v>619</v>
      </c>
      <c r="AN48" s="6" t="s">
        <v>1423</v>
      </c>
    </row>
    <row r="49" spans="1:40" x14ac:dyDescent="0.25">
      <c r="A49" s="4">
        <v>45632</v>
      </c>
      <c r="B49" s="13" t="s">
        <v>639</v>
      </c>
      <c r="C49" t="str">
        <f>_xlfn.XLOOKUP(Table3[[#This Row],[station]],station_waterbody_county!A:A, station_waterbody_county!B:B)</f>
        <v>Benacadie Pond</v>
      </c>
      <c r="D49" t="str">
        <f>_xlfn.XLOOKUP(Table3[[#This Row],[station]],station_waterbody_county!A:A, station_waterbody_county!C:C)</f>
        <v>Cape Breton</v>
      </c>
      <c r="E49" s="6"/>
      <c r="F49" s="6" t="s">
        <v>310</v>
      </c>
      <c r="G49" s="4">
        <v>45517</v>
      </c>
      <c r="H49" s="5"/>
      <c r="I49" s="4">
        <v>45594</v>
      </c>
      <c r="J49" s="5"/>
      <c r="K49" s="10">
        <v>45.903139000000003</v>
      </c>
      <c r="L49" s="10">
        <v>-60.72325</v>
      </c>
      <c r="O49" s="6"/>
      <c r="S49" s="6" t="s">
        <v>253</v>
      </c>
      <c r="T49" s="11">
        <v>687477</v>
      </c>
      <c r="U49" s="7">
        <v>0.9</v>
      </c>
      <c r="V49" s="6" t="s">
        <v>618</v>
      </c>
      <c r="W49" s="7">
        <v>0.9</v>
      </c>
      <c r="X49" s="6" t="s">
        <v>241</v>
      </c>
      <c r="Y49" s="7"/>
      <c r="AA49" s="6"/>
      <c r="AE49" s="6"/>
      <c r="AG49" s="6" t="s">
        <v>282</v>
      </c>
      <c r="AH49" s="7"/>
      <c r="AI49" s="6" t="s">
        <v>40</v>
      </c>
      <c r="AJ49" s="6" t="s">
        <v>238</v>
      </c>
      <c r="AK49" s="6" t="s">
        <v>241</v>
      </c>
      <c r="AL49" s="6" t="s">
        <v>619</v>
      </c>
      <c r="AM49" s="6" t="s">
        <v>619</v>
      </c>
      <c r="AN49" s="6" t="s">
        <v>1423</v>
      </c>
    </row>
    <row r="50" spans="1:40" x14ac:dyDescent="0.25">
      <c r="A50" s="4">
        <v>45632</v>
      </c>
      <c r="B50" s="13" t="s">
        <v>646</v>
      </c>
      <c r="C50" t="str">
        <f>_xlfn.XLOOKUP(Table3[[#This Row],[station]],station_waterbody_county!A:A, station_waterbody_county!B:B)</f>
        <v>MacKillops Pond</v>
      </c>
      <c r="D50" t="str">
        <f>_xlfn.XLOOKUP(Table3[[#This Row],[station]],station_waterbody_county!A:A, station_waterbody_county!C:C)</f>
        <v>Victoria</v>
      </c>
      <c r="E50" s="6"/>
      <c r="F50" s="6" t="s">
        <v>310</v>
      </c>
      <c r="G50" s="4">
        <v>45509</v>
      </c>
      <c r="H50" s="5"/>
      <c r="I50" s="4">
        <v>45597</v>
      </c>
      <c r="J50" s="5"/>
      <c r="K50" s="10">
        <v>46.216917000000002</v>
      </c>
      <c r="L50" s="10">
        <v>-60.597250000000003</v>
      </c>
      <c r="O50" s="6"/>
      <c r="S50" s="6" t="s">
        <v>253</v>
      </c>
      <c r="T50" s="11">
        <v>687482</v>
      </c>
      <c r="U50" s="7">
        <v>0.9</v>
      </c>
      <c r="V50" s="6" t="s">
        <v>618</v>
      </c>
      <c r="W50" s="7">
        <v>0.9</v>
      </c>
      <c r="X50" s="6" t="s">
        <v>241</v>
      </c>
      <c r="Y50" s="7"/>
      <c r="AA50" s="6"/>
      <c r="AE50" s="6"/>
      <c r="AG50" s="6" t="s">
        <v>282</v>
      </c>
      <c r="AH50" s="7"/>
      <c r="AI50" s="6" t="s">
        <v>40</v>
      </c>
      <c r="AJ50" s="6" t="s">
        <v>238</v>
      </c>
      <c r="AK50" s="6" t="s">
        <v>241</v>
      </c>
      <c r="AL50" s="6" t="s">
        <v>619</v>
      </c>
      <c r="AM50" s="6" t="s">
        <v>619</v>
      </c>
      <c r="AN50" s="6" t="s">
        <v>620</v>
      </c>
    </row>
    <row r="51" spans="1:40" x14ac:dyDescent="0.25">
      <c r="A51" s="4">
        <v>45632</v>
      </c>
      <c r="B51" s="13" t="s">
        <v>638</v>
      </c>
      <c r="C51" t="str">
        <f>_xlfn.XLOOKUP(Table3[[#This Row],[station]],station_waterbody_county!A:A, station_waterbody_county!B:B)</f>
        <v>East Bay</v>
      </c>
      <c r="D51" t="str">
        <f>_xlfn.XLOOKUP(Table3[[#This Row],[station]],station_waterbody_county!A:A, station_waterbody_county!C:C)</f>
        <v>Cape Breton</v>
      </c>
      <c r="E51" s="6"/>
      <c r="F51" s="6" t="s">
        <v>310</v>
      </c>
      <c r="G51" s="4">
        <v>45517</v>
      </c>
      <c r="H51" s="5"/>
      <c r="I51" s="4">
        <v>45594</v>
      </c>
      <c r="J51" s="5"/>
      <c r="K51" s="10">
        <v>46.015694000000003</v>
      </c>
      <c r="L51" s="10">
        <v>-60.393000000000001</v>
      </c>
      <c r="O51" s="6"/>
      <c r="S51" s="6" t="s">
        <v>253</v>
      </c>
      <c r="T51" s="11">
        <v>687480</v>
      </c>
      <c r="U51" s="7">
        <v>0.9</v>
      </c>
      <c r="V51" s="6" t="s">
        <v>618</v>
      </c>
      <c r="W51" s="7">
        <v>0.9</v>
      </c>
      <c r="X51" s="6" t="s">
        <v>241</v>
      </c>
      <c r="Y51" s="7"/>
      <c r="AA51" s="6"/>
      <c r="AE51" s="6"/>
      <c r="AG51" s="6" t="s">
        <v>282</v>
      </c>
      <c r="AH51" s="7"/>
      <c r="AI51" s="6" t="s">
        <v>40</v>
      </c>
      <c r="AJ51" s="6" t="s">
        <v>238</v>
      </c>
      <c r="AK51" s="6" t="s">
        <v>241</v>
      </c>
      <c r="AL51" s="6" t="s">
        <v>619</v>
      </c>
      <c r="AM51" s="6" t="s">
        <v>619</v>
      </c>
      <c r="AN51" s="6" t="s">
        <v>1423</v>
      </c>
    </row>
    <row r="52" spans="1:40" x14ac:dyDescent="0.25">
      <c r="A52" s="4">
        <v>45632</v>
      </c>
      <c r="B52" s="14" t="s">
        <v>653</v>
      </c>
      <c r="C52" t="str">
        <f>_xlfn.XLOOKUP(Table3[[#This Row],[station]],station_waterbody_county!A:A, station_waterbody_county!B:B)</f>
        <v>MacKinnons Cove</v>
      </c>
      <c r="D52" t="str">
        <f>_xlfn.XLOOKUP(Table3[[#This Row],[station]],station_waterbody_county!A:A, station_waterbody_county!C:C)</f>
        <v>Inverness</v>
      </c>
      <c r="E52" s="6"/>
      <c r="F52" s="6" t="s">
        <v>310</v>
      </c>
      <c r="G52" s="4">
        <v>45509</v>
      </c>
      <c r="H52" s="5"/>
      <c r="I52" s="4">
        <v>45603</v>
      </c>
      <c r="J52" s="5"/>
      <c r="K52" s="10">
        <v>45.874305999999997</v>
      </c>
      <c r="L52" s="10">
        <v>-60.996583000000001</v>
      </c>
      <c r="O52" s="6"/>
      <c r="S52" s="6" t="s">
        <v>253</v>
      </c>
      <c r="T52" s="11">
        <v>687490</v>
      </c>
      <c r="U52" s="7">
        <v>0.9</v>
      </c>
      <c r="V52" s="6" t="s">
        <v>618</v>
      </c>
      <c r="W52" s="7">
        <v>0.9</v>
      </c>
      <c r="X52" s="6" t="s">
        <v>241</v>
      </c>
      <c r="Y52" s="7"/>
      <c r="AA52" s="6"/>
      <c r="AE52" s="6"/>
      <c r="AG52" s="6" t="s">
        <v>282</v>
      </c>
      <c r="AH52" s="7"/>
      <c r="AI52" s="6" t="s">
        <v>40</v>
      </c>
      <c r="AJ52" s="6" t="s">
        <v>238</v>
      </c>
      <c r="AK52" s="6" t="s">
        <v>241</v>
      </c>
      <c r="AL52" s="6" t="s">
        <v>619</v>
      </c>
      <c r="AM52" s="6" t="s">
        <v>619</v>
      </c>
      <c r="AN52" s="6" t="s">
        <v>1423</v>
      </c>
    </row>
    <row r="53" spans="1:40" x14ac:dyDescent="0.25">
      <c r="A53" s="4">
        <v>45632</v>
      </c>
      <c r="B53" s="14" t="s">
        <v>656</v>
      </c>
      <c r="C53" t="str">
        <f>_xlfn.XLOOKUP(Table3[[#This Row],[station]],station_waterbody_county!A:A, station_waterbody_county!B:B)</f>
        <v>Morrison Cove</v>
      </c>
      <c r="D53" t="str">
        <f>_xlfn.XLOOKUP(Table3[[#This Row],[station]],station_waterbody_county!A:A, station_waterbody_county!C:C)</f>
        <v>Inverness</v>
      </c>
      <c r="E53" s="6"/>
      <c r="F53" s="6" t="s">
        <v>310</v>
      </c>
      <c r="G53" s="4">
        <v>45509</v>
      </c>
      <c r="H53" s="5"/>
      <c r="I53" s="4">
        <v>45603</v>
      </c>
      <c r="J53" s="5"/>
      <c r="K53" s="10">
        <v>45.908332999999999</v>
      </c>
      <c r="L53" s="10">
        <v>-61.035806000000001</v>
      </c>
      <c r="O53" s="6"/>
      <c r="S53" s="6" t="s">
        <v>253</v>
      </c>
      <c r="T53" s="11">
        <v>687493</v>
      </c>
      <c r="U53" s="7">
        <v>0.9</v>
      </c>
      <c r="V53" s="6" t="s">
        <v>618</v>
      </c>
      <c r="W53" s="7">
        <v>0.9</v>
      </c>
      <c r="X53" s="6" t="s">
        <v>241</v>
      </c>
      <c r="Y53" s="7"/>
      <c r="AA53" s="6"/>
      <c r="AE53" s="6"/>
      <c r="AG53" s="6" t="s">
        <v>282</v>
      </c>
      <c r="AH53" s="7"/>
      <c r="AI53" s="6" t="s">
        <v>40</v>
      </c>
      <c r="AJ53" s="6" t="s">
        <v>238</v>
      </c>
      <c r="AK53" s="6" t="s">
        <v>241</v>
      </c>
      <c r="AL53" s="6" t="s">
        <v>619</v>
      </c>
      <c r="AM53" s="6" t="s">
        <v>619</v>
      </c>
      <c r="AN53" s="6" t="s">
        <v>1423</v>
      </c>
    </row>
    <row r="54" spans="1:40" x14ac:dyDescent="0.25">
      <c r="A54" s="4">
        <v>45632</v>
      </c>
      <c r="B54" s="13" t="s">
        <v>648</v>
      </c>
      <c r="C54" t="str">
        <f>_xlfn.XLOOKUP(Table3[[#This Row],[station]],station_waterbody_county!A:A, station_waterbody_county!B:B)</f>
        <v>MacDonalds Pond</v>
      </c>
      <c r="D54" t="str">
        <f>_xlfn.XLOOKUP(Table3[[#This Row],[station]],station_waterbody_county!A:A, station_waterbody_county!C:C)</f>
        <v>Inverness</v>
      </c>
      <c r="E54" s="6"/>
      <c r="F54" s="6" t="s">
        <v>310</v>
      </c>
      <c r="G54" s="4">
        <v>45502</v>
      </c>
      <c r="H54" s="5"/>
      <c r="I54" s="4">
        <v>45597</v>
      </c>
      <c r="J54" s="5"/>
      <c r="K54" s="10">
        <v>45.938861000000003</v>
      </c>
      <c r="L54" s="10">
        <v>-61.107694000000002</v>
      </c>
      <c r="O54" s="6"/>
      <c r="S54" s="6" t="s">
        <v>253</v>
      </c>
      <c r="T54" s="11">
        <v>687488</v>
      </c>
      <c r="U54" s="7">
        <v>0.9</v>
      </c>
      <c r="V54" s="6" t="s">
        <v>618</v>
      </c>
      <c r="W54" s="7">
        <v>0.9</v>
      </c>
      <c r="X54" s="6" t="s">
        <v>241</v>
      </c>
      <c r="Y54" s="7"/>
      <c r="AA54" s="6"/>
      <c r="AE54" s="6"/>
      <c r="AG54" s="6" t="s">
        <v>282</v>
      </c>
      <c r="AH54" s="7"/>
      <c r="AI54" s="6" t="s">
        <v>40</v>
      </c>
      <c r="AJ54" s="6" t="s">
        <v>238</v>
      </c>
      <c r="AK54" s="6" t="s">
        <v>241</v>
      </c>
      <c r="AL54" s="6" t="s">
        <v>619</v>
      </c>
      <c r="AM54" s="6" t="s">
        <v>619</v>
      </c>
      <c r="AN54" s="6" t="s">
        <v>1423</v>
      </c>
    </row>
    <row r="55" spans="1:40" x14ac:dyDescent="0.25">
      <c r="A55" s="4">
        <v>45632</v>
      </c>
      <c r="B55" s="14" t="s">
        <v>654</v>
      </c>
      <c r="C55" t="str">
        <f>_xlfn.XLOOKUP(Table3[[#This Row],[station]],station_waterbody_county!A:A, station_waterbody_county!B:B)</f>
        <v>MacRaes Cove</v>
      </c>
      <c r="D55" t="str">
        <f>_xlfn.XLOOKUP(Table3[[#This Row],[station]],station_waterbody_county!A:A, station_waterbody_county!C:C)</f>
        <v>Inverness</v>
      </c>
      <c r="E55" s="6"/>
      <c r="F55" s="6" t="s">
        <v>310</v>
      </c>
      <c r="G55" s="4">
        <v>45513</v>
      </c>
      <c r="H55" s="5"/>
      <c r="I55" s="4">
        <v>45603</v>
      </c>
      <c r="J55" s="5"/>
      <c r="K55" s="10">
        <v>45.870610999999997</v>
      </c>
      <c r="L55" s="10">
        <v>-60.933971999999997</v>
      </c>
      <c r="O55" s="6"/>
      <c r="S55" s="6" t="s">
        <v>253</v>
      </c>
      <c r="T55" s="11">
        <v>687478</v>
      </c>
      <c r="U55" s="7">
        <v>0.9</v>
      </c>
      <c r="V55" s="6" t="s">
        <v>618</v>
      </c>
      <c r="W55" s="7">
        <v>0.9</v>
      </c>
      <c r="X55" s="6" t="s">
        <v>241</v>
      </c>
      <c r="Y55" s="7"/>
      <c r="AA55" s="6"/>
      <c r="AE55" s="6"/>
      <c r="AG55" s="6" t="s">
        <v>282</v>
      </c>
      <c r="AH55" s="7"/>
      <c r="AI55" s="6" t="s">
        <v>40</v>
      </c>
      <c r="AJ55" s="6" t="s">
        <v>238</v>
      </c>
      <c r="AK55" s="6" t="s">
        <v>241</v>
      </c>
      <c r="AL55" s="6" t="s">
        <v>619</v>
      </c>
      <c r="AM55" s="6" t="s">
        <v>619</v>
      </c>
      <c r="AN55" s="6" t="s">
        <v>1423</v>
      </c>
    </row>
    <row r="56" spans="1:40" x14ac:dyDescent="0.25">
      <c r="A56" s="4">
        <v>45632</v>
      </c>
      <c r="B56" s="13" t="s">
        <v>643</v>
      </c>
      <c r="C56" t="str">
        <f>_xlfn.XLOOKUP(Table3[[#This Row],[station]],station_waterbody_county!A:A, station_waterbody_county!B:B)</f>
        <v>Nyanza Bay</v>
      </c>
      <c r="D56" t="str">
        <f>_xlfn.XLOOKUP(Table3[[#This Row],[station]],station_waterbody_county!A:A, station_waterbody_county!C:C)</f>
        <v>Victoria</v>
      </c>
      <c r="E56" s="6"/>
      <c r="F56" s="6" t="s">
        <v>310</v>
      </c>
      <c r="G56" s="4">
        <v>45504</v>
      </c>
      <c r="H56" s="5"/>
      <c r="I56" s="4">
        <v>45595</v>
      </c>
      <c r="J56" s="5"/>
      <c r="K56" s="10">
        <v>46.080249999999999</v>
      </c>
      <c r="L56" s="10">
        <v>-60.876832999999998</v>
      </c>
      <c r="O56" s="6"/>
      <c r="S56" s="6" t="s">
        <v>253</v>
      </c>
      <c r="T56" s="11">
        <v>687486</v>
      </c>
      <c r="U56" s="7">
        <v>0.9</v>
      </c>
      <c r="V56" s="6" t="s">
        <v>618</v>
      </c>
      <c r="W56" s="7">
        <v>0.9</v>
      </c>
      <c r="X56" s="6" t="s">
        <v>241</v>
      </c>
      <c r="Y56" s="7"/>
      <c r="AA56" s="6"/>
      <c r="AE56" s="6"/>
      <c r="AG56" s="6" t="s">
        <v>282</v>
      </c>
      <c r="AH56" s="7"/>
      <c r="AI56" s="6" t="s">
        <v>40</v>
      </c>
      <c r="AJ56" s="6" t="s">
        <v>238</v>
      </c>
      <c r="AK56" s="6" t="s">
        <v>241</v>
      </c>
      <c r="AL56" s="6" t="s">
        <v>619</v>
      </c>
      <c r="AM56" s="6" t="s">
        <v>619</v>
      </c>
      <c r="AN56" s="6" t="s">
        <v>1423</v>
      </c>
    </row>
    <row r="57" spans="1:40" x14ac:dyDescent="0.25">
      <c r="A57" s="4">
        <v>45632</v>
      </c>
      <c r="B57" s="13" t="s">
        <v>644</v>
      </c>
      <c r="C57" t="str">
        <f>_xlfn.XLOOKUP(Table3[[#This Row],[station]],station_waterbody_county!A:A, station_waterbody_county!B:B)</f>
        <v>Blues Cove</v>
      </c>
      <c r="D57" t="str">
        <f>_xlfn.XLOOKUP(Table3[[#This Row],[station]],station_waterbody_county!A:A, station_waterbody_county!C:C)</f>
        <v>Inverness</v>
      </c>
      <c r="E57" s="6"/>
      <c r="F57" s="6" t="s">
        <v>310</v>
      </c>
      <c r="G57" s="4">
        <v>45509</v>
      </c>
      <c r="H57" s="5"/>
      <c r="I57" s="4">
        <v>45595</v>
      </c>
      <c r="J57" s="5"/>
      <c r="K57" s="10">
        <v>45.900416999999997</v>
      </c>
      <c r="L57" s="10">
        <v>-61.081139</v>
      </c>
      <c r="O57" s="6"/>
      <c r="S57" s="6" t="s">
        <v>253</v>
      </c>
      <c r="T57" s="11">
        <v>687492</v>
      </c>
      <c r="U57" s="7">
        <v>0.9</v>
      </c>
      <c r="V57" s="6" t="s">
        <v>618</v>
      </c>
      <c r="W57" s="7">
        <v>0.9</v>
      </c>
      <c r="X57" s="6" t="s">
        <v>241</v>
      </c>
      <c r="Y57" s="7"/>
      <c r="AA57" s="6"/>
      <c r="AE57" s="6"/>
      <c r="AG57" s="6" t="s">
        <v>282</v>
      </c>
      <c r="AH57" s="7"/>
      <c r="AI57" s="6" t="s">
        <v>40</v>
      </c>
      <c r="AJ57" s="6" t="s">
        <v>238</v>
      </c>
      <c r="AK57" s="6" t="s">
        <v>241</v>
      </c>
      <c r="AL57" s="6" t="s">
        <v>619</v>
      </c>
      <c r="AM57" s="6" t="s">
        <v>619</v>
      </c>
      <c r="AN57" s="6" t="s">
        <v>620</v>
      </c>
    </row>
    <row r="58" spans="1:40" x14ac:dyDescent="0.25">
      <c r="A58" s="4">
        <v>45632</v>
      </c>
      <c r="B58" s="14" t="s">
        <v>652</v>
      </c>
      <c r="C58" t="str">
        <f>_xlfn.XLOOKUP(Table3[[#This Row],[station]],station_waterbody_county!A:A, station_waterbody_county!B:B)</f>
        <v>Ross Pond</v>
      </c>
      <c r="D58" t="str">
        <f>_xlfn.XLOOKUP(Table3[[#This Row],[station]],station_waterbody_county!A:A, station_waterbody_county!C:C)</f>
        <v>Inverness</v>
      </c>
      <c r="E58" s="6"/>
      <c r="F58" s="6" t="s">
        <v>310</v>
      </c>
      <c r="G58" s="4">
        <v>45517</v>
      </c>
      <c r="H58" s="5"/>
      <c r="I58" s="4">
        <v>45601</v>
      </c>
      <c r="J58" s="5"/>
      <c r="K58" s="10">
        <v>45.751083000000001</v>
      </c>
      <c r="L58" s="10">
        <v>-61.153972000000003</v>
      </c>
      <c r="O58" s="6"/>
      <c r="S58" s="6" t="s">
        <v>253</v>
      </c>
      <c r="T58" s="11">
        <v>687476</v>
      </c>
      <c r="U58" s="7">
        <v>0.9</v>
      </c>
      <c r="V58" s="6" t="s">
        <v>618</v>
      </c>
      <c r="W58" s="7">
        <v>0.9</v>
      </c>
      <c r="X58" s="6" t="s">
        <v>241</v>
      </c>
      <c r="Y58" s="7"/>
      <c r="AA58" s="6"/>
      <c r="AE58" s="6"/>
      <c r="AG58" s="6" t="s">
        <v>282</v>
      </c>
      <c r="AH58" s="7"/>
      <c r="AI58" s="6" t="s">
        <v>40</v>
      </c>
      <c r="AJ58" s="6" t="s">
        <v>238</v>
      </c>
      <c r="AK58" s="6" t="s">
        <v>241</v>
      </c>
      <c r="AL58" s="6" t="s">
        <v>619</v>
      </c>
      <c r="AM58" s="6" t="s">
        <v>619</v>
      </c>
      <c r="AN58" s="6" t="s">
        <v>1423</v>
      </c>
    </row>
    <row r="59" spans="1:40" x14ac:dyDescent="0.25">
      <c r="A59" s="4">
        <v>45632</v>
      </c>
      <c r="B59" s="14" t="s">
        <v>650</v>
      </c>
      <c r="C59" t="str">
        <f>_xlfn.XLOOKUP(Table3[[#This Row],[station]],station_waterbody_county!A:A, station_waterbody_county!B:B)</f>
        <v>Campbells Cove</v>
      </c>
      <c r="D59" t="str">
        <f>_xlfn.XLOOKUP(Table3[[#This Row],[station]],station_waterbody_county!A:A, station_waterbody_county!C:C)</f>
        <v>Victoria</v>
      </c>
      <c r="E59" s="6"/>
      <c r="F59" s="6" t="s">
        <v>310</v>
      </c>
      <c r="G59" s="4">
        <v>45502</v>
      </c>
      <c r="H59" s="5"/>
      <c r="I59" s="4">
        <v>45601</v>
      </c>
      <c r="J59" s="5"/>
      <c r="K59" s="10">
        <v>46.025167000000003</v>
      </c>
      <c r="L59" s="10">
        <v>-60.863</v>
      </c>
      <c r="O59" s="6"/>
      <c r="S59" s="6" t="s">
        <v>253</v>
      </c>
      <c r="T59" s="11">
        <v>687495</v>
      </c>
      <c r="U59" s="7">
        <v>0.9</v>
      </c>
      <c r="V59" s="6" t="s">
        <v>618</v>
      </c>
      <c r="W59" s="7">
        <v>0.9</v>
      </c>
      <c r="X59" s="6" t="s">
        <v>241</v>
      </c>
      <c r="Y59" s="7"/>
      <c r="AA59" s="6"/>
      <c r="AE59" s="6"/>
      <c r="AG59" s="6" t="s">
        <v>282</v>
      </c>
      <c r="AH59" s="7"/>
      <c r="AI59" s="6" t="s">
        <v>40</v>
      </c>
      <c r="AJ59" s="6" t="s">
        <v>238</v>
      </c>
      <c r="AK59" s="6" t="s">
        <v>241</v>
      </c>
      <c r="AL59" s="6" t="s">
        <v>619</v>
      </c>
      <c r="AM59" s="6" t="s">
        <v>619</v>
      </c>
      <c r="AN59" s="6" t="s">
        <v>1423</v>
      </c>
    </row>
    <row r="60" spans="1:40" x14ac:dyDescent="0.25">
      <c r="A60" s="4">
        <v>45884</v>
      </c>
      <c r="B60" s="6" t="s">
        <v>114</v>
      </c>
      <c r="C60" t="str">
        <f>_xlfn.XLOOKUP(Table3[[#This Row],[station]],station_waterbody_county!A:A, station_waterbody_county!B:B)</f>
        <v>Chebogue Harbour</v>
      </c>
      <c r="D60" t="str">
        <f>_xlfn.XLOOKUP(Table3[[#This Row],[station]],station_waterbody_county!A:A, station_waterbody_county!C:C)</f>
        <v>Yarmouth</v>
      </c>
      <c r="E60" s="6"/>
      <c r="F60" s="6" t="s">
        <v>310</v>
      </c>
      <c r="G60" s="4">
        <v>45511</v>
      </c>
      <c r="H60" s="5">
        <v>0.75902777777777775</v>
      </c>
      <c r="I60" s="4">
        <v>45869</v>
      </c>
      <c r="J60" s="5">
        <v>0.59513888888888888</v>
      </c>
      <c r="K60" s="10"/>
      <c r="O60" s="6" t="s">
        <v>446</v>
      </c>
      <c r="P60" s="6" t="s">
        <v>447</v>
      </c>
      <c r="Q60" s="6" t="s">
        <v>1377</v>
      </c>
      <c r="R60" s="6" t="s">
        <v>1378</v>
      </c>
      <c r="S60" s="6" t="s">
        <v>239</v>
      </c>
      <c r="T60" s="11">
        <v>21043075</v>
      </c>
      <c r="U60" s="7">
        <v>2</v>
      </c>
      <c r="V60" s="6" t="s">
        <v>36</v>
      </c>
      <c r="W60" s="7">
        <v>15.8</v>
      </c>
      <c r="X60" s="6" t="s">
        <v>35</v>
      </c>
      <c r="Y60" s="7">
        <v>3.5</v>
      </c>
      <c r="Z60" s="7">
        <v>0.5</v>
      </c>
      <c r="AA60" s="6" t="s">
        <v>251</v>
      </c>
      <c r="AB60" s="6" t="s">
        <v>321</v>
      </c>
      <c r="AD60" s="6" t="s">
        <v>39</v>
      </c>
      <c r="AE60" s="6"/>
      <c r="AG60" s="6" t="s">
        <v>37</v>
      </c>
      <c r="AH60" s="7">
        <v>60</v>
      </c>
      <c r="AI60" s="6" t="s">
        <v>40</v>
      </c>
      <c r="AJ60" s="6" t="s">
        <v>238</v>
      </c>
      <c r="AK60" s="6" t="s">
        <v>241</v>
      </c>
      <c r="AL60" s="6" t="s">
        <v>41</v>
      </c>
      <c r="AM60" s="6" t="s">
        <v>41</v>
      </c>
      <c r="AN60" s="6" t="s">
        <v>1408</v>
      </c>
    </row>
    <row r="61" spans="1:40" x14ac:dyDescent="0.25">
      <c r="A61" s="4">
        <v>45884</v>
      </c>
      <c r="B61" s="6" t="s">
        <v>114</v>
      </c>
      <c r="C61" t="str">
        <f>_xlfn.XLOOKUP(Table3[[#This Row],[station]],station_waterbody_county!A:A, station_waterbody_county!B:B)</f>
        <v>Chebogue Harbour</v>
      </c>
      <c r="D61" t="str">
        <f>_xlfn.XLOOKUP(Table3[[#This Row],[station]],station_waterbody_county!A:A, station_waterbody_county!C:C)</f>
        <v>Yarmouth</v>
      </c>
      <c r="E61" s="6"/>
      <c r="F61" s="6" t="s">
        <v>310</v>
      </c>
      <c r="G61" s="4">
        <v>45511</v>
      </c>
      <c r="H61" s="5">
        <v>0.75902777777777775</v>
      </c>
      <c r="I61" s="4">
        <v>45869</v>
      </c>
      <c r="J61" s="5">
        <v>0.59513888888888888</v>
      </c>
      <c r="K61" s="10"/>
      <c r="O61" s="6" t="s">
        <v>446</v>
      </c>
      <c r="P61" s="6" t="s">
        <v>447</v>
      </c>
      <c r="Q61" s="6" t="s">
        <v>1377</v>
      </c>
      <c r="R61" s="6" t="s">
        <v>1378</v>
      </c>
      <c r="S61" s="6" t="s">
        <v>240</v>
      </c>
      <c r="T61" s="11">
        <v>671430</v>
      </c>
      <c r="U61" s="7">
        <v>5</v>
      </c>
      <c r="V61" s="6" t="s">
        <v>36</v>
      </c>
      <c r="W61" s="7">
        <v>15.8</v>
      </c>
      <c r="X61" s="6" t="s">
        <v>35</v>
      </c>
      <c r="Y61" s="7">
        <v>3.5</v>
      </c>
      <c r="Z61" s="7">
        <v>0.5</v>
      </c>
      <c r="AA61" s="6" t="s">
        <v>251</v>
      </c>
      <c r="AB61" s="6" t="s">
        <v>321</v>
      </c>
      <c r="AD61" s="6" t="s">
        <v>39</v>
      </c>
      <c r="AE61" s="6"/>
      <c r="AG61" s="6" t="s">
        <v>37</v>
      </c>
      <c r="AH61" s="7">
        <v>60</v>
      </c>
      <c r="AI61" s="6" t="s">
        <v>40</v>
      </c>
      <c r="AJ61" s="6" t="s">
        <v>238</v>
      </c>
      <c r="AK61" s="6" t="s">
        <v>241</v>
      </c>
      <c r="AL61" s="6" t="s">
        <v>41</v>
      </c>
      <c r="AM61" s="6" t="s">
        <v>41</v>
      </c>
      <c r="AN61" s="6" t="s">
        <v>1408</v>
      </c>
    </row>
    <row r="62" spans="1:40" x14ac:dyDescent="0.25">
      <c r="A62" s="4">
        <v>45884</v>
      </c>
      <c r="B62" s="6" t="s">
        <v>114</v>
      </c>
      <c r="C62" t="str">
        <f>_xlfn.XLOOKUP(Table3[[#This Row],[station]],station_waterbody_county!A:A, station_waterbody_county!B:B)</f>
        <v>Chebogue Harbour</v>
      </c>
      <c r="D62" t="str">
        <f>_xlfn.XLOOKUP(Table3[[#This Row],[station]],station_waterbody_county!A:A, station_waterbody_county!C:C)</f>
        <v>Yarmouth</v>
      </c>
      <c r="E62" s="6"/>
      <c r="F62" s="6" t="s">
        <v>310</v>
      </c>
      <c r="G62" s="4">
        <v>45511</v>
      </c>
      <c r="H62" s="5">
        <v>0.75902777777777775</v>
      </c>
      <c r="I62" s="4">
        <v>45869</v>
      </c>
      <c r="J62" s="5">
        <v>0.59513888888888888</v>
      </c>
      <c r="K62" s="10"/>
      <c r="O62" s="6" t="s">
        <v>446</v>
      </c>
      <c r="P62" s="6" t="s">
        <v>447</v>
      </c>
      <c r="Q62" s="6" t="s">
        <v>1377</v>
      </c>
      <c r="R62" s="6" t="s">
        <v>1378</v>
      </c>
      <c r="S62" s="6" t="s">
        <v>239</v>
      </c>
      <c r="T62" s="11">
        <v>20820324</v>
      </c>
      <c r="U62" s="7">
        <v>10</v>
      </c>
      <c r="V62" s="6" t="s">
        <v>36</v>
      </c>
      <c r="W62" s="7">
        <v>15.8</v>
      </c>
      <c r="X62" s="6" t="s">
        <v>35</v>
      </c>
      <c r="Y62" s="7">
        <v>3.5</v>
      </c>
      <c r="Z62" s="7">
        <v>0.5</v>
      </c>
      <c r="AA62" s="6" t="s">
        <v>251</v>
      </c>
      <c r="AB62" s="6" t="s">
        <v>321</v>
      </c>
      <c r="AD62" s="6" t="s">
        <v>39</v>
      </c>
      <c r="AE62" s="6"/>
      <c r="AG62" s="6" t="s">
        <v>37</v>
      </c>
      <c r="AH62" s="7">
        <v>60</v>
      </c>
      <c r="AI62" s="6" t="s">
        <v>40</v>
      </c>
      <c r="AJ62" s="6" t="s">
        <v>238</v>
      </c>
      <c r="AK62" s="6" t="s">
        <v>241</v>
      </c>
      <c r="AL62" s="6" t="s">
        <v>41</v>
      </c>
      <c r="AM62" s="6" t="s">
        <v>41</v>
      </c>
      <c r="AN62" s="6" t="s">
        <v>1408</v>
      </c>
    </row>
    <row r="63" spans="1:40" x14ac:dyDescent="0.25">
      <c r="A63" s="4">
        <v>45884</v>
      </c>
      <c r="B63" s="6" t="s">
        <v>114</v>
      </c>
      <c r="C63" t="str">
        <f>_xlfn.XLOOKUP(Table3[[#This Row],[station]],station_waterbody_county!A:A, station_waterbody_county!B:B)</f>
        <v>Chebogue Harbour</v>
      </c>
      <c r="D63" t="str">
        <f>_xlfn.XLOOKUP(Table3[[#This Row],[station]],station_waterbody_county!A:A, station_waterbody_county!C:C)</f>
        <v>Yarmouth</v>
      </c>
      <c r="E63" s="6"/>
      <c r="F63" s="6" t="s">
        <v>310</v>
      </c>
      <c r="G63" s="4">
        <v>45511</v>
      </c>
      <c r="H63" s="5">
        <v>0.75902777777777775</v>
      </c>
      <c r="I63" s="4">
        <v>45869</v>
      </c>
      <c r="J63" s="5">
        <v>0.59513888888888888</v>
      </c>
      <c r="K63" s="10"/>
      <c r="O63" s="6" t="s">
        <v>446</v>
      </c>
      <c r="P63" s="6" t="s">
        <v>447</v>
      </c>
      <c r="Q63" s="6" t="s">
        <v>1377</v>
      </c>
      <c r="R63" s="6" t="s">
        <v>1378</v>
      </c>
      <c r="S63" s="6" t="s">
        <v>42</v>
      </c>
      <c r="T63" s="11">
        <v>548582</v>
      </c>
      <c r="U63" s="7">
        <v>12</v>
      </c>
      <c r="V63" s="6" t="s">
        <v>36</v>
      </c>
      <c r="W63" s="7">
        <v>15.8</v>
      </c>
      <c r="X63" s="6" t="s">
        <v>35</v>
      </c>
      <c r="Y63" s="7">
        <v>3.5</v>
      </c>
      <c r="Z63" s="7">
        <v>0.5</v>
      </c>
      <c r="AA63" s="6" t="s">
        <v>251</v>
      </c>
      <c r="AB63" s="6" t="s">
        <v>321</v>
      </c>
      <c r="AD63" s="6" t="s">
        <v>39</v>
      </c>
      <c r="AE63" s="6"/>
      <c r="AG63" s="6" t="s">
        <v>37</v>
      </c>
      <c r="AH63" s="7">
        <v>60</v>
      </c>
      <c r="AI63" s="6" t="s">
        <v>40</v>
      </c>
      <c r="AJ63" s="6" t="s">
        <v>238</v>
      </c>
      <c r="AK63" s="6" t="s">
        <v>241</v>
      </c>
      <c r="AL63" s="6" t="s">
        <v>41</v>
      </c>
      <c r="AM63" s="6" t="s">
        <v>41</v>
      </c>
      <c r="AN63" s="6" t="s">
        <v>1408</v>
      </c>
    </row>
    <row r="64" spans="1:40" hidden="1" x14ac:dyDescent="0.25">
      <c r="A64" s="12">
        <v>45678</v>
      </c>
      <c r="B64" s="6" t="s">
        <v>114</v>
      </c>
      <c r="C64" t="str">
        <f>_xlfn.XLOOKUP(Table3[[#This Row],[station]],station_waterbody_county!A:A, station_waterbody_county!B:B)</f>
        <v>Chebogue Harbour</v>
      </c>
      <c r="D64" t="str">
        <f>_xlfn.XLOOKUP(Table3[[#This Row],[station]],station_waterbody_county!A:A, station_waterbody_county!C:C)</f>
        <v>Yarmouth</v>
      </c>
      <c r="E64" s="6"/>
      <c r="F64" s="6" t="s">
        <v>310</v>
      </c>
      <c r="G64" s="12">
        <v>45141</v>
      </c>
      <c r="H64" s="5"/>
      <c r="I64" s="4">
        <v>45511</v>
      </c>
      <c r="J64" s="5">
        <v>0.74375000000000002</v>
      </c>
      <c r="K64" s="10">
        <v>43.770429999999998</v>
      </c>
      <c r="L64" s="10">
        <v>-66.135149999999996</v>
      </c>
      <c r="O64" s="6"/>
      <c r="Q64" s="6" t="s">
        <v>444</v>
      </c>
      <c r="R64" s="6" t="s">
        <v>445</v>
      </c>
      <c r="S64" s="6" t="s">
        <v>239</v>
      </c>
      <c r="T64" s="11">
        <v>21650150</v>
      </c>
      <c r="U64" s="7">
        <v>2</v>
      </c>
      <c r="V64" s="6" t="s">
        <v>36</v>
      </c>
      <c r="W64" s="7">
        <v>13.1</v>
      </c>
      <c r="X64" s="6" t="s">
        <v>35</v>
      </c>
      <c r="Y64" s="7"/>
      <c r="Z64" s="7">
        <v>1</v>
      </c>
      <c r="AA64" s="6"/>
      <c r="AB64" s="6" t="s">
        <v>321</v>
      </c>
      <c r="AD64" s="6" t="s">
        <v>39</v>
      </c>
      <c r="AE64" s="6"/>
      <c r="AH64" s="7"/>
      <c r="AI64" s="6" t="s">
        <v>40</v>
      </c>
      <c r="AJ64" s="6"/>
      <c r="AL64" s="6" t="s">
        <v>270</v>
      </c>
      <c r="AM64" s="6" t="s">
        <v>41</v>
      </c>
    </row>
    <row r="65" spans="1:40" hidden="1" x14ac:dyDescent="0.25">
      <c r="A65" s="12">
        <v>45678</v>
      </c>
      <c r="B65" s="6" t="s">
        <v>114</v>
      </c>
      <c r="C65" t="str">
        <f>_xlfn.XLOOKUP(Table3[[#This Row],[station]],station_waterbody_county!A:A, station_waterbody_county!B:B)</f>
        <v>Chebogue Harbour</v>
      </c>
      <c r="D65" t="str">
        <f>_xlfn.XLOOKUP(Table3[[#This Row],[station]],station_waterbody_county!A:A, station_waterbody_county!C:C)</f>
        <v>Yarmouth</v>
      </c>
      <c r="E65" s="6"/>
      <c r="F65" s="6" t="s">
        <v>310</v>
      </c>
      <c r="G65" s="12">
        <v>45141</v>
      </c>
      <c r="H65" s="5"/>
      <c r="I65" s="4">
        <v>45511</v>
      </c>
      <c r="J65" s="5">
        <v>0.74375000000000002</v>
      </c>
      <c r="K65" s="10">
        <v>43.770429999999998</v>
      </c>
      <c r="L65" s="10">
        <v>-66.135149999999996</v>
      </c>
      <c r="O65" s="6"/>
      <c r="Q65" s="6" t="s">
        <v>444</v>
      </c>
      <c r="R65" s="6" t="s">
        <v>445</v>
      </c>
      <c r="S65" s="6" t="s">
        <v>240</v>
      </c>
      <c r="T65" s="11">
        <v>671188</v>
      </c>
      <c r="U65" s="7">
        <v>5</v>
      </c>
      <c r="V65" s="6" t="s">
        <v>36</v>
      </c>
      <c r="W65" s="7">
        <v>13.1</v>
      </c>
      <c r="X65" s="6" t="s">
        <v>35</v>
      </c>
      <c r="Y65" s="7"/>
      <c r="Z65" s="7">
        <v>1</v>
      </c>
      <c r="AA65" s="6"/>
      <c r="AB65" s="6" t="s">
        <v>321</v>
      </c>
      <c r="AD65" s="6" t="s">
        <v>39</v>
      </c>
      <c r="AE65" s="6"/>
      <c r="AH65" s="7"/>
      <c r="AI65" s="6" t="s">
        <v>40</v>
      </c>
      <c r="AJ65" s="6"/>
      <c r="AL65" s="6" t="s">
        <v>270</v>
      </c>
      <c r="AM65" s="6" t="s">
        <v>41</v>
      </c>
    </row>
    <row r="66" spans="1:40" hidden="1" x14ac:dyDescent="0.25">
      <c r="A66" s="12">
        <v>45678</v>
      </c>
      <c r="B66" s="6" t="s">
        <v>114</v>
      </c>
      <c r="C66" t="str">
        <f>_xlfn.XLOOKUP(Table3[[#This Row],[station]],station_waterbody_county!A:A, station_waterbody_county!B:B)</f>
        <v>Chebogue Harbour</v>
      </c>
      <c r="D66" t="str">
        <f>_xlfn.XLOOKUP(Table3[[#This Row],[station]],station_waterbody_county!A:A, station_waterbody_county!C:C)</f>
        <v>Yarmouth</v>
      </c>
      <c r="E66" s="6"/>
      <c r="F66" s="6" t="s">
        <v>310</v>
      </c>
      <c r="G66" s="12">
        <v>45141</v>
      </c>
      <c r="H66" s="5"/>
      <c r="I66" s="4">
        <v>45511</v>
      </c>
      <c r="J66" s="5">
        <v>0.74375000000000002</v>
      </c>
      <c r="K66" s="10">
        <v>43.770429999999998</v>
      </c>
      <c r="L66" s="10">
        <v>-66.135149999999996</v>
      </c>
      <c r="O66" s="6"/>
      <c r="Q66" s="6" t="s">
        <v>444</v>
      </c>
      <c r="R66" s="6" t="s">
        <v>445</v>
      </c>
      <c r="S66" s="6" t="s">
        <v>239</v>
      </c>
      <c r="T66" s="11">
        <v>21152407</v>
      </c>
      <c r="U66" s="7">
        <v>10</v>
      </c>
      <c r="V66" s="6" t="s">
        <v>36</v>
      </c>
      <c r="W66" s="7">
        <v>13.1</v>
      </c>
      <c r="X66" s="6" t="s">
        <v>35</v>
      </c>
      <c r="Y66" s="7"/>
      <c r="Z66" s="7">
        <v>1</v>
      </c>
      <c r="AA66" s="6"/>
      <c r="AB66" s="6" t="s">
        <v>321</v>
      </c>
      <c r="AD66" s="6" t="s">
        <v>39</v>
      </c>
      <c r="AE66" s="6"/>
      <c r="AH66" s="7"/>
      <c r="AI66" s="6" t="s">
        <v>40</v>
      </c>
      <c r="AJ66" s="6"/>
      <c r="AL66" s="6" t="s">
        <v>270</v>
      </c>
      <c r="AM66" s="6" t="s">
        <v>41</v>
      </c>
    </row>
    <row r="67" spans="1:40" hidden="1" x14ac:dyDescent="0.25">
      <c r="A67" s="12">
        <v>45678</v>
      </c>
      <c r="B67" s="6" t="s">
        <v>114</v>
      </c>
      <c r="C67" t="str">
        <f>_xlfn.XLOOKUP(Table3[[#This Row],[station]],station_waterbody_county!A:A, station_waterbody_county!B:B)</f>
        <v>Chebogue Harbour</v>
      </c>
      <c r="D67" t="str">
        <f>_xlfn.XLOOKUP(Table3[[#This Row],[station]],station_waterbody_county!A:A, station_waterbody_county!C:C)</f>
        <v>Yarmouth</v>
      </c>
      <c r="E67" s="6"/>
      <c r="F67" s="6" t="s">
        <v>310</v>
      </c>
      <c r="G67" s="12">
        <v>45141</v>
      </c>
      <c r="H67" s="5"/>
      <c r="I67" s="4">
        <v>45511</v>
      </c>
      <c r="J67" s="5">
        <v>0.74375000000000002</v>
      </c>
      <c r="K67" s="10">
        <v>43.770429999999998</v>
      </c>
      <c r="L67" s="10">
        <v>-66.135149999999996</v>
      </c>
      <c r="O67" s="6"/>
      <c r="Q67" s="6" t="s">
        <v>444</v>
      </c>
      <c r="R67" s="6" t="s">
        <v>445</v>
      </c>
      <c r="S67" s="6" t="s">
        <v>42</v>
      </c>
      <c r="T67" s="11">
        <v>549342</v>
      </c>
      <c r="U67" s="7">
        <v>12</v>
      </c>
      <c r="V67" s="6" t="s">
        <v>36</v>
      </c>
      <c r="W67" s="7">
        <v>13.1</v>
      </c>
      <c r="X67" s="6" t="s">
        <v>35</v>
      </c>
      <c r="Y67" s="7"/>
      <c r="Z67" s="7">
        <v>1</v>
      </c>
      <c r="AA67" s="6"/>
      <c r="AB67" s="6" t="s">
        <v>321</v>
      </c>
      <c r="AD67" s="6" t="s">
        <v>39</v>
      </c>
      <c r="AE67" s="6"/>
      <c r="AH67" s="7"/>
      <c r="AI67" s="6" t="s">
        <v>40</v>
      </c>
      <c r="AJ67" s="6"/>
      <c r="AL67" s="6" t="s">
        <v>270</v>
      </c>
      <c r="AM67" s="6" t="s">
        <v>41</v>
      </c>
    </row>
    <row r="68" spans="1:40" hidden="1" x14ac:dyDescent="0.25">
      <c r="A68" s="4">
        <v>45884</v>
      </c>
      <c r="B68" s="6" t="s">
        <v>114</v>
      </c>
      <c r="C68" s="6" t="str">
        <f>_xlfn.XLOOKUP(Table3[[#This Row],[station]],station_waterbody_county!A:A, station_waterbody_county!B:B)</f>
        <v>Chebogue Harbour</v>
      </c>
      <c r="D68" s="3" t="str">
        <f>_xlfn.XLOOKUP(Table3[[#This Row],[station]],station_waterbody_county!A:A, station_waterbody_county!C:C)</f>
        <v>Yarmouth</v>
      </c>
      <c r="E68" s="6"/>
      <c r="F68" s="6" t="s">
        <v>34</v>
      </c>
      <c r="G68" s="12">
        <v>45869</v>
      </c>
      <c r="H68" s="5">
        <v>0.61805555555555558</v>
      </c>
      <c r="I68" s="4"/>
      <c r="J68" s="5"/>
      <c r="K68" s="10"/>
      <c r="O68" s="6" t="s">
        <v>1379</v>
      </c>
      <c r="P68" s="6" t="s">
        <v>1380</v>
      </c>
      <c r="S68" s="6" t="s">
        <v>239</v>
      </c>
      <c r="T68" s="11">
        <v>22310023</v>
      </c>
      <c r="U68" s="7">
        <v>2</v>
      </c>
      <c r="V68" s="6" t="s">
        <v>36</v>
      </c>
      <c r="W68" s="7">
        <v>13.9</v>
      </c>
      <c r="X68" s="6" t="s">
        <v>35</v>
      </c>
      <c r="Y68" s="7">
        <v>1.7</v>
      </c>
      <c r="Z68" s="7">
        <v>0.5</v>
      </c>
      <c r="AA68" s="6" t="s">
        <v>243</v>
      </c>
      <c r="AB68" s="6" t="s">
        <v>321</v>
      </c>
      <c r="AD68" s="6" t="s">
        <v>39</v>
      </c>
      <c r="AE68" s="6" t="s">
        <v>40</v>
      </c>
      <c r="AG68" s="6" t="s">
        <v>37</v>
      </c>
      <c r="AH68" s="7">
        <v>60</v>
      </c>
      <c r="AI68" s="6" t="s">
        <v>40</v>
      </c>
      <c r="AJ68" s="6" t="s">
        <v>238</v>
      </c>
      <c r="AL68" s="6" t="s">
        <v>41</v>
      </c>
    </row>
    <row r="69" spans="1:40" hidden="1" x14ac:dyDescent="0.25">
      <c r="A69" s="4">
        <v>45884</v>
      </c>
      <c r="B69" s="6" t="s">
        <v>114</v>
      </c>
      <c r="C69" s="6" t="str">
        <f>_xlfn.XLOOKUP(Table3[[#This Row],[station]],station_waterbody_county!A:A, station_waterbody_county!B:B)</f>
        <v>Chebogue Harbour</v>
      </c>
      <c r="D69" s="3" t="str">
        <f>_xlfn.XLOOKUP(Table3[[#This Row],[station]],station_waterbody_county!A:A, station_waterbody_county!C:C)</f>
        <v>Yarmouth</v>
      </c>
      <c r="E69" s="6"/>
      <c r="F69" s="6" t="s">
        <v>34</v>
      </c>
      <c r="G69" s="12">
        <v>45869</v>
      </c>
      <c r="H69" s="5">
        <v>0.61805555555555558</v>
      </c>
      <c r="I69" s="4"/>
      <c r="J69" s="5"/>
      <c r="K69" s="10"/>
      <c r="O69" s="6" t="s">
        <v>1379</v>
      </c>
      <c r="P69" s="6" t="s">
        <v>1380</v>
      </c>
      <c r="S69" s="6" t="s">
        <v>239</v>
      </c>
      <c r="T69" s="11">
        <v>22310011</v>
      </c>
      <c r="U69" s="7">
        <v>5</v>
      </c>
      <c r="V69" s="6" t="s">
        <v>36</v>
      </c>
      <c r="W69" s="7">
        <v>13.9</v>
      </c>
      <c r="X69" s="6" t="s">
        <v>35</v>
      </c>
      <c r="Y69" s="7">
        <v>1.7</v>
      </c>
      <c r="Z69" s="7">
        <v>0.5</v>
      </c>
      <c r="AA69" s="6" t="s">
        <v>243</v>
      </c>
      <c r="AB69" s="6" t="s">
        <v>321</v>
      </c>
      <c r="AD69" s="6" t="s">
        <v>39</v>
      </c>
      <c r="AE69" s="6" t="s">
        <v>40</v>
      </c>
      <c r="AG69" s="6" t="s">
        <v>37</v>
      </c>
      <c r="AH69" s="7">
        <v>60</v>
      </c>
      <c r="AI69" s="6" t="s">
        <v>40</v>
      </c>
      <c r="AJ69" s="6" t="s">
        <v>238</v>
      </c>
      <c r="AL69" s="6" t="s">
        <v>41</v>
      </c>
    </row>
    <row r="70" spans="1:40" hidden="1" x14ac:dyDescent="0.25">
      <c r="A70" s="4">
        <v>45884</v>
      </c>
      <c r="B70" s="6" t="s">
        <v>114</v>
      </c>
      <c r="C70" s="6" t="str">
        <f>_xlfn.XLOOKUP(Table3[[#This Row],[station]],station_waterbody_county!A:A, station_waterbody_county!B:B)</f>
        <v>Chebogue Harbour</v>
      </c>
      <c r="D70" s="3" t="str">
        <f>_xlfn.XLOOKUP(Table3[[#This Row],[station]],station_waterbody_county!A:A, station_waterbody_county!C:C)</f>
        <v>Yarmouth</v>
      </c>
      <c r="E70" s="6"/>
      <c r="F70" s="6" t="s">
        <v>34</v>
      </c>
      <c r="G70" s="12">
        <v>45869</v>
      </c>
      <c r="H70" s="5">
        <v>0.61805555555555558</v>
      </c>
      <c r="I70" s="4"/>
      <c r="J70" s="5"/>
      <c r="K70" s="10"/>
      <c r="O70" s="6" t="s">
        <v>1379</v>
      </c>
      <c r="P70" s="6" t="s">
        <v>1380</v>
      </c>
      <c r="S70" s="6" t="s">
        <v>239</v>
      </c>
      <c r="T70" s="11">
        <v>22285918</v>
      </c>
      <c r="U70" s="7">
        <v>10</v>
      </c>
      <c r="V70" s="6" t="s">
        <v>36</v>
      </c>
      <c r="W70" s="7">
        <v>13.9</v>
      </c>
      <c r="X70" s="6" t="s">
        <v>35</v>
      </c>
      <c r="Y70" s="7">
        <v>1.7</v>
      </c>
      <c r="Z70" s="7">
        <v>0.5</v>
      </c>
      <c r="AA70" s="6" t="s">
        <v>243</v>
      </c>
      <c r="AB70" s="6" t="s">
        <v>321</v>
      </c>
      <c r="AD70" s="6" t="s">
        <v>39</v>
      </c>
      <c r="AE70" s="6" t="s">
        <v>40</v>
      </c>
      <c r="AG70" s="6" t="s">
        <v>37</v>
      </c>
      <c r="AH70" s="7">
        <v>60</v>
      </c>
      <c r="AI70" s="6" t="s">
        <v>40</v>
      </c>
      <c r="AJ70" s="6" t="s">
        <v>238</v>
      </c>
      <c r="AL70" s="6" t="s">
        <v>41</v>
      </c>
    </row>
    <row r="71" spans="1:40" hidden="1" x14ac:dyDescent="0.25">
      <c r="A71" s="4">
        <v>45884</v>
      </c>
      <c r="B71" s="6" t="s">
        <v>114</v>
      </c>
      <c r="C71" s="6" t="str">
        <f>_xlfn.XLOOKUP(Table3[[#This Row],[station]],station_waterbody_county!A:A, station_waterbody_county!B:B)</f>
        <v>Chebogue Harbour</v>
      </c>
      <c r="D71" s="3" t="str">
        <f>_xlfn.XLOOKUP(Table3[[#This Row],[station]],station_waterbody_county!A:A, station_waterbody_county!C:C)</f>
        <v>Yarmouth</v>
      </c>
      <c r="E71" s="6"/>
      <c r="F71" s="6" t="s">
        <v>34</v>
      </c>
      <c r="G71" s="12">
        <v>45869</v>
      </c>
      <c r="H71" s="5">
        <v>0.61805555555555558</v>
      </c>
      <c r="I71" s="4"/>
      <c r="J71" s="5"/>
      <c r="K71" s="10"/>
      <c r="O71" s="6" t="s">
        <v>1379</v>
      </c>
      <c r="P71" s="6" t="s">
        <v>1380</v>
      </c>
      <c r="S71" s="6" t="s">
        <v>42</v>
      </c>
      <c r="T71" s="11">
        <v>548572</v>
      </c>
      <c r="U71" s="7">
        <v>12</v>
      </c>
      <c r="V71" s="6" t="s">
        <v>36</v>
      </c>
      <c r="W71" s="7">
        <v>13.9</v>
      </c>
      <c r="X71" s="6" t="s">
        <v>35</v>
      </c>
      <c r="Y71" s="7">
        <v>1.7</v>
      </c>
      <c r="Z71" s="7">
        <v>0.5</v>
      </c>
      <c r="AA71" s="6" t="s">
        <v>243</v>
      </c>
      <c r="AB71" s="6" t="s">
        <v>321</v>
      </c>
      <c r="AD71" s="6" t="s">
        <v>39</v>
      </c>
      <c r="AE71" s="6" t="s">
        <v>40</v>
      </c>
      <c r="AG71" s="6" t="s">
        <v>37</v>
      </c>
      <c r="AH71" s="7">
        <v>60</v>
      </c>
      <c r="AI71" s="6" t="s">
        <v>40</v>
      </c>
      <c r="AJ71" s="6" t="s">
        <v>238</v>
      </c>
      <c r="AL71" s="6" t="s">
        <v>41</v>
      </c>
    </row>
    <row r="72" spans="1:40" hidden="1" x14ac:dyDescent="0.25">
      <c r="A72" s="4">
        <v>45884</v>
      </c>
      <c r="B72" s="6" t="s">
        <v>114</v>
      </c>
      <c r="C72" s="6" t="str">
        <f>_xlfn.XLOOKUP(Table3[[#This Row],[station]],station_waterbody_county!A:A, station_waterbody_county!B:B)</f>
        <v>Chebogue Harbour</v>
      </c>
      <c r="D72" s="3" t="str">
        <f>_xlfn.XLOOKUP(Table3[[#This Row],[station]],station_waterbody_county!A:A, station_waterbody_county!C:C)</f>
        <v>Yarmouth</v>
      </c>
      <c r="E72" s="6"/>
      <c r="F72" s="6" t="s">
        <v>34</v>
      </c>
      <c r="G72" s="12">
        <v>45869</v>
      </c>
      <c r="H72" s="5">
        <v>0.61805555555555558</v>
      </c>
      <c r="I72" s="4"/>
      <c r="J72" s="5"/>
      <c r="K72" s="10"/>
      <c r="O72" s="6" t="s">
        <v>1379</v>
      </c>
      <c r="P72" s="6" t="s">
        <v>1380</v>
      </c>
      <c r="S72" s="6" t="s">
        <v>239</v>
      </c>
      <c r="T72" s="11">
        <v>22311484</v>
      </c>
      <c r="U72" s="7">
        <v>12</v>
      </c>
      <c r="V72" s="6" t="s">
        <v>36</v>
      </c>
      <c r="W72" s="7">
        <v>13.9</v>
      </c>
      <c r="X72" s="6" t="s">
        <v>35</v>
      </c>
      <c r="Y72" s="7">
        <v>1.7</v>
      </c>
      <c r="Z72" s="7">
        <v>0.5</v>
      </c>
      <c r="AA72" s="6" t="s">
        <v>243</v>
      </c>
      <c r="AB72" s="6" t="s">
        <v>321</v>
      </c>
      <c r="AD72" s="6" t="s">
        <v>39</v>
      </c>
      <c r="AE72" s="6" t="s">
        <v>40</v>
      </c>
      <c r="AG72" s="6" t="s">
        <v>37</v>
      </c>
      <c r="AH72" s="7">
        <v>60</v>
      </c>
      <c r="AI72" s="6" t="s">
        <v>40</v>
      </c>
      <c r="AJ72" s="6" t="s">
        <v>238</v>
      </c>
      <c r="AL72" s="6" t="s">
        <v>41</v>
      </c>
    </row>
    <row r="73" spans="1:40" x14ac:dyDescent="0.25">
      <c r="A73" s="4">
        <v>45623</v>
      </c>
      <c r="B73" s="6" t="s">
        <v>116</v>
      </c>
      <c r="C73" t="str">
        <f>_xlfn.XLOOKUP(Table3[[#This Row],[station]],station_waterbody_county!A:A, station_waterbody_county!B:B)</f>
        <v>St. Margarets Bay</v>
      </c>
      <c r="D73" t="str">
        <f>_xlfn.XLOOKUP(Table3[[#This Row],[station]],station_waterbody_county!A:A, station_waterbody_county!C:C)</f>
        <v>Lunenburg</v>
      </c>
      <c r="E73" s="6"/>
      <c r="F73" s="6" t="s">
        <v>310</v>
      </c>
      <c r="G73" s="4">
        <v>45414</v>
      </c>
      <c r="H73" s="5">
        <v>0.69236111111111109</v>
      </c>
      <c r="I73" s="4">
        <v>45617</v>
      </c>
      <c r="J73" s="5">
        <v>0.69166666666666665</v>
      </c>
      <c r="K73" s="10">
        <v>44.570099999999996</v>
      </c>
      <c r="L73" s="10">
        <v>-64.034383000000005</v>
      </c>
      <c r="O73" s="6" t="s">
        <v>362</v>
      </c>
      <c r="P73" s="6" t="s">
        <v>363</v>
      </c>
      <c r="Q73" s="6" t="s">
        <v>605</v>
      </c>
      <c r="R73" s="6" t="s">
        <v>606</v>
      </c>
      <c r="S73" s="6" t="s">
        <v>239</v>
      </c>
      <c r="T73" s="11">
        <v>20763553</v>
      </c>
      <c r="U73" s="7">
        <v>2</v>
      </c>
      <c r="V73" s="6" t="s">
        <v>36</v>
      </c>
      <c r="W73" s="7">
        <v>43.3</v>
      </c>
      <c r="X73" s="6" t="s">
        <v>35</v>
      </c>
      <c r="Y73" s="7">
        <v>1.4</v>
      </c>
      <c r="Z73" s="7">
        <v>1</v>
      </c>
      <c r="AA73" s="6" t="s">
        <v>243</v>
      </c>
      <c r="AB73" s="6" t="s">
        <v>38</v>
      </c>
      <c r="AD73" s="6" t="s">
        <v>39</v>
      </c>
      <c r="AE73" s="6"/>
      <c r="AG73" s="6" t="s">
        <v>37</v>
      </c>
      <c r="AH73" s="7">
        <v>60</v>
      </c>
      <c r="AI73" s="6" t="s">
        <v>40</v>
      </c>
      <c r="AJ73" s="6" t="s">
        <v>238</v>
      </c>
      <c r="AK73" s="6" t="s">
        <v>241</v>
      </c>
      <c r="AL73" s="6" t="s">
        <v>41</v>
      </c>
      <c r="AM73" s="6" t="s">
        <v>41</v>
      </c>
      <c r="AN73" s="6" t="s">
        <v>364</v>
      </c>
    </row>
    <row r="74" spans="1:40" x14ac:dyDescent="0.25">
      <c r="A74" s="4">
        <v>45623</v>
      </c>
      <c r="B74" s="6" t="s">
        <v>116</v>
      </c>
      <c r="C74" t="str">
        <f>_xlfn.XLOOKUP(Table3[[#This Row],[station]],station_waterbody_county!A:A, station_waterbody_county!B:B)</f>
        <v>St. Margarets Bay</v>
      </c>
      <c r="D74" t="str">
        <f>_xlfn.XLOOKUP(Table3[[#This Row],[station]],station_waterbody_county!A:A, station_waterbody_county!C:C)</f>
        <v>Lunenburg</v>
      </c>
      <c r="E74" s="6"/>
      <c r="F74" s="6" t="s">
        <v>310</v>
      </c>
      <c r="G74" s="4">
        <v>45414</v>
      </c>
      <c r="H74" s="5">
        <v>0.69236111111111109</v>
      </c>
      <c r="I74" s="4">
        <v>45617</v>
      </c>
      <c r="J74" s="5">
        <v>0.69166666666666665</v>
      </c>
      <c r="K74" s="10">
        <v>44.570099999999996</v>
      </c>
      <c r="L74" s="10">
        <v>-64.034383000000005</v>
      </c>
      <c r="O74" s="6" t="s">
        <v>362</v>
      </c>
      <c r="P74" s="6" t="s">
        <v>363</v>
      </c>
      <c r="Q74" s="6" t="s">
        <v>605</v>
      </c>
      <c r="R74" s="6" t="s">
        <v>606</v>
      </c>
      <c r="S74" s="6" t="s">
        <v>244</v>
      </c>
      <c r="T74" s="11">
        <v>21429532</v>
      </c>
      <c r="U74" s="7">
        <v>5</v>
      </c>
      <c r="V74" s="6" t="s">
        <v>36</v>
      </c>
      <c r="W74" s="7">
        <v>43.3</v>
      </c>
      <c r="X74" s="6" t="s">
        <v>35</v>
      </c>
      <c r="Y74" s="7">
        <v>1.4</v>
      </c>
      <c r="Z74" s="7">
        <v>1</v>
      </c>
      <c r="AA74" s="6" t="s">
        <v>243</v>
      </c>
      <c r="AB74" s="6" t="s">
        <v>38</v>
      </c>
      <c r="AD74" s="6" t="s">
        <v>39</v>
      </c>
      <c r="AE74" s="6"/>
      <c r="AG74" s="6" t="s">
        <v>37</v>
      </c>
      <c r="AH74" s="7">
        <v>60</v>
      </c>
      <c r="AI74" s="6" t="s">
        <v>40</v>
      </c>
      <c r="AJ74" s="6" t="s">
        <v>238</v>
      </c>
      <c r="AK74" s="6" t="s">
        <v>241</v>
      </c>
      <c r="AL74" s="6" t="s">
        <v>41</v>
      </c>
      <c r="AM74" s="6" t="s">
        <v>41</v>
      </c>
      <c r="AN74" s="6" t="s">
        <v>364</v>
      </c>
    </row>
    <row r="75" spans="1:40" x14ac:dyDescent="0.25">
      <c r="A75" s="4">
        <v>45623</v>
      </c>
      <c r="B75" s="6" t="s">
        <v>116</v>
      </c>
      <c r="C75" t="str">
        <f>_xlfn.XLOOKUP(Table3[[#This Row],[station]],station_waterbody_county!A:A, station_waterbody_county!B:B)</f>
        <v>St. Margarets Bay</v>
      </c>
      <c r="D75" t="str">
        <f>_xlfn.XLOOKUP(Table3[[#This Row],[station]],station_waterbody_county!A:A, station_waterbody_county!C:C)</f>
        <v>Lunenburg</v>
      </c>
      <c r="E75" s="6"/>
      <c r="F75" s="6" t="s">
        <v>310</v>
      </c>
      <c r="G75" s="4">
        <v>45414</v>
      </c>
      <c r="H75" s="5">
        <v>0.69236111111111109</v>
      </c>
      <c r="I75" s="4">
        <v>45617</v>
      </c>
      <c r="J75" s="5">
        <v>0.69166666666666665</v>
      </c>
      <c r="K75" s="10">
        <v>44.570099999999996</v>
      </c>
      <c r="L75" s="10">
        <v>-64.034383000000005</v>
      </c>
      <c r="O75" s="6" t="s">
        <v>362</v>
      </c>
      <c r="P75" s="6" t="s">
        <v>363</v>
      </c>
      <c r="Q75" s="6" t="s">
        <v>605</v>
      </c>
      <c r="R75" s="6" t="s">
        <v>606</v>
      </c>
      <c r="S75" s="6" t="s">
        <v>239</v>
      </c>
      <c r="T75" s="11">
        <v>21434535</v>
      </c>
      <c r="U75" s="7">
        <v>10</v>
      </c>
      <c r="V75" s="6" t="s">
        <v>36</v>
      </c>
      <c r="W75" s="7">
        <v>43.3</v>
      </c>
      <c r="X75" s="6" t="s">
        <v>35</v>
      </c>
      <c r="Y75" s="7">
        <v>1.4</v>
      </c>
      <c r="Z75" s="7">
        <v>1</v>
      </c>
      <c r="AA75" s="6" t="s">
        <v>243</v>
      </c>
      <c r="AB75" s="6" t="s">
        <v>38</v>
      </c>
      <c r="AD75" s="6" t="s">
        <v>39</v>
      </c>
      <c r="AE75" s="6"/>
      <c r="AG75" s="6" t="s">
        <v>37</v>
      </c>
      <c r="AH75" s="7">
        <v>60</v>
      </c>
      <c r="AI75" s="6" t="s">
        <v>40</v>
      </c>
      <c r="AJ75" s="6" t="s">
        <v>238</v>
      </c>
      <c r="AK75" s="6" t="s">
        <v>241</v>
      </c>
      <c r="AL75" s="6" t="s">
        <v>41</v>
      </c>
      <c r="AM75" s="6" t="s">
        <v>41</v>
      </c>
      <c r="AN75" s="6" t="s">
        <v>364</v>
      </c>
    </row>
    <row r="76" spans="1:40" x14ac:dyDescent="0.25">
      <c r="A76" s="4">
        <v>45623</v>
      </c>
      <c r="B76" s="6" t="s">
        <v>116</v>
      </c>
      <c r="C76" t="str">
        <f>_xlfn.XLOOKUP(Table3[[#This Row],[station]],station_waterbody_county!A:A, station_waterbody_county!B:B)</f>
        <v>St. Margarets Bay</v>
      </c>
      <c r="D76" t="str">
        <f>_xlfn.XLOOKUP(Table3[[#This Row],[station]],station_waterbody_county!A:A, station_waterbody_county!C:C)</f>
        <v>Lunenburg</v>
      </c>
      <c r="E76" s="6"/>
      <c r="F76" s="6" t="s">
        <v>310</v>
      </c>
      <c r="G76" s="4">
        <v>45414</v>
      </c>
      <c r="H76" s="5">
        <v>0.69236111111111109</v>
      </c>
      <c r="I76" s="4">
        <v>45617</v>
      </c>
      <c r="J76" s="5">
        <v>0.69166666666666665</v>
      </c>
      <c r="K76" s="10">
        <v>44.570099999999996</v>
      </c>
      <c r="L76" s="10">
        <v>-64.034383000000005</v>
      </c>
      <c r="O76" s="6" t="s">
        <v>362</v>
      </c>
      <c r="P76" s="6" t="s">
        <v>363</v>
      </c>
      <c r="Q76" s="6" t="s">
        <v>605</v>
      </c>
      <c r="R76" s="6" t="s">
        <v>606</v>
      </c>
      <c r="S76" s="6" t="s">
        <v>239</v>
      </c>
      <c r="T76" s="11">
        <v>20308042</v>
      </c>
      <c r="U76" s="7">
        <v>15</v>
      </c>
      <c r="V76" s="6" t="s">
        <v>36</v>
      </c>
      <c r="W76" s="7">
        <v>43.3</v>
      </c>
      <c r="X76" s="6" t="s">
        <v>35</v>
      </c>
      <c r="Y76" s="7">
        <v>1.4</v>
      </c>
      <c r="Z76" s="7">
        <v>1</v>
      </c>
      <c r="AA76" s="6" t="s">
        <v>243</v>
      </c>
      <c r="AB76" s="6" t="s">
        <v>38</v>
      </c>
      <c r="AD76" s="6" t="s">
        <v>39</v>
      </c>
      <c r="AE76" s="6"/>
      <c r="AG76" s="6" t="s">
        <v>37</v>
      </c>
      <c r="AH76" s="7">
        <v>60</v>
      </c>
      <c r="AI76" s="6" t="s">
        <v>40</v>
      </c>
      <c r="AJ76" s="6" t="s">
        <v>238</v>
      </c>
      <c r="AK76" s="6" t="s">
        <v>241</v>
      </c>
      <c r="AL76" s="6" t="s">
        <v>41</v>
      </c>
      <c r="AM76" s="6" t="s">
        <v>41</v>
      </c>
      <c r="AN76" s="6" t="s">
        <v>364</v>
      </c>
    </row>
    <row r="77" spans="1:40" x14ac:dyDescent="0.25">
      <c r="A77" s="4">
        <v>45623</v>
      </c>
      <c r="B77" s="6" t="s">
        <v>116</v>
      </c>
      <c r="C77" t="str">
        <f>_xlfn.XLOOKUP(Table3[[#This Row],[station]],station_waterbody_county!A:A, station_waterbody_county!B:B)</f>
        <v>St. Margarets Bay</v>
      </c>
      <c r="D77" t="str">
        <f>_xlfn.XLOOKUP(Table3[[#This Row],[station]],station_waterbody_county!A:A, station_waterbody_county!C:C)</f>
        <v>Lunenburg</v>
      </c>
      <c r="E77" s="6"/>
      <c r="F77" s="6" t="s">
        <v>310</v>
      </c>
      <c r="G77" s="4">
        <v>45414</v>
      </c>
      <c r="H77" s="5">
        <v>0.69236111111111109</v>
      </c>
      <c r="I77" s="4">
        <v>45617</v>
      </c>
      <c r="J77" s="5">
        <v>0.69166666666666665</v>
      </c>
      <c r="K77" s="10">
        <v>44.570099999999996</v>
      </c>
      <c r="L77" s="10">
        <v>-64.034383000000005</v>
      </c>
      <c r="O77" s="6" t="s">
        <v>362</v>
      </c>
      <c r="P77" s="6" t="s">
        <v>363</v>
      </c>
      <c r="Q77" s="6" t="s">
        <v>605</v>
      </c>
      <c r="R77" s="6" t="s">
        <v>606</v>
      </c>
      <c r="S77" s="6" t="s">
        <v>239</v>
      </c>
      <c r="T77" s="11">
        <v>21465806</v>
      </c>
      <c r="U77" s="7">
        <v>20</v>
      </c>
      <c r="V77" s="6" t="s">
        <v>36</v>
      </c>
      <c r="W77" s="7">
        <v>43.3</v>
      </c>
      <c r="X77" s="6" t="s">
        <v>35</v>
      </c>
      <c r="Y77" s="7">
        <v>1.4</v>
      </c>
      <c r="Z77" s="7">
        <v>1</v>
      </c>
      <c r="AA77" s="6" t="s">
        <v>243</v>
      </c>
      <c r="AB77" s="6" t="s">
        <v>38</v>
      </c>
      <c r="AD77" s="6" t="s">
        <v>39</v>
      </c>
      <c r="AE77" s="6"/>
      <c r="AG77" s="6" t="s">
        <v>37</v>
      </c>
      <c r="AH77" s="7">
        <v>60</v>
      </c>
      <c r="AI77" s="6" t="s">
        <v>40</v>
      </c>
      <c r="AJ77" s="6" t="s">
        <v>238</v>
      </c>
      <c r="AK77" s="6" t="s">
        <v>241</v>
      </c>
      <c r="AL77" s="6" t="s">
        <v>41</v>
      </c>
      <c r="AM77" s="6" t="s">
        <v>41</v>
      </c>
      <c r="AN77" s="6" t="s">
        <v>364</v>
      </c>
    </row>
    <row r="78" spans="1:40" x14ac:dyDescent="0.25">
      <c r="A78" s="4">
        <v>45623</v>
      </c>
      <c r="B78" s="6" t="s">
        <v>116</v>
      </c>
      <c r="C78" t="str">
        <f>_xlfn.XLOOKUP(Table3[[#This Row],[station]],station_waterbody_county!A:A, station_waterbody_county!B:B)</f>
        <v>St. Margarets Bay</v>
      </c>
      <c r="D78" t="str">
        <f>_xlfn.XLOOKUP(Table3[[#This Row],[station]],station_waterbody_county!A:A, station_waterbody_county!C:C)</f>
        <v>Lunenburg</v>
      </c>
      <c r="E78" s="6"/>
      <c r="F78" s="6" t="s">
        <v>310</v>
      </c>
      <c r="G78" s="4">
        <v>45414</v>
      </c>
      <c r="H78" s="5">
        <v>0.69236111111111109</v>
      </c>
      <c r="I78" s="4">
        <v>45617</v>
      </c>
      <c r="J78" s="5">
        <v>0.69166666666666665</v>
      </c>
      <c r="K78" s="10">
        <v>44.570099999999996</v>
      </c>
      <c r="L78" s="10">
        <v>-64.034383000000005</v>
      </c>
      <c r="O78" s="6" t="s">
        <v>362</v>
      </c>
      <c r="P78" s="6" t="s">
        <v>363</v>
      </c>
      <c r="Q78" s="6" t="s">
        <v>605</v>
      </c>
      <c r="R78" s="6" t="s">
        <v>606</v>
      </c>
      <c r="S78" s="6" t="s">
        <v>239</v>
      </c>
      <c r="T78" s="11">
        <v>21082892</v>
      </c>
      <c r="U78" s="7">
        <v>30</v>
      </c>
      <c r="V78" s="6" t="s">
        <v>36</v>
      </c>
      <c r="W78" s="7">
        <v>43.3</v>
      </c>
      <c r="X78" s="6" t="s">
        <v>35</v>
      </c>
      <c r="Y78" s="7">
        <v>1.4</v>
      </c>
      <c r="Z78" s="7">
        <v>1</v>
      </c>
      <c r="AA78" s="6" t="s">
        <v>243</v>
      </c>
      <c r="AB78" s="6" t="s">
        <v>38</v>
      </c>
      <c r="AD78" s="6" t="s">
        <v>39</v>
      </c>
      <c r="AE78" s="6"/>
      <c r="AG78" s="6" t="s">
        <v>37</v>
      </c>
      <c r="AH78" s="7">
        <v>60</v>
      </c>
      <c r="AI78" s="6" t="s">
        <v>40</v>
      </c>
      <c r="AJ78" s="6" t="s">
        <v>238</v>
      </c>
      <c r="AK78" s="6" t="s">
        <v>241</v>
      </c>
      <c r="AL78" s="6" t="s">
        <v>41</v>
      </c>
      <c r="AM78" s="6" t="s">
        <v>41</v>
      </c>
      <c r="AN78" s="6" t="s">
        <v>364</v>
      </c>
    </row>
    <row r="79" spans="1:40" x14ac:dyDescent="0.25">
      <c r="A79" s="4">
        <v>45623</v>
      </c>
      <c r="B79" s="6" t="s">
        <v>116</v>
      </c>
      <c r="C79" t="str">
        <f>_xlfn.XLOOKUP(Table3[[#This Row],[station]],station_waterbody_county!A:A, station_waterbody_county!B:B)</f>
        <v>St. Margarets Bay</v>
      </c>
      <c r="D79" t="str">
        <f>_xlfn.XLOOKUP(Table3[[#This Row],[station]],station_waterbody_county!A:A, station_waterbody_county!C:C)</f>
        <v>Lunenburg</v>
      </c>
      <c r="E79" s="6"/>
      <c r="F79" s="6" t="s">
        <v>310</v>
      </c>
      <c r="G79" s="4">
        <v>45414</v>
      </c>
      <c r="H79" s="5">
        <v>0.69236111111111109</v>
      </c>
      <c r="I79" s="4">
        <v>45617</v>
      </c>
      <c r="J79" s="5">
        <v>0.69166666666666665</v>
      </c>
      <c r="K79" s="10">
        <v>44.570099999999996</v>
      </c>
      <c r="L79" s="10">
        <v>-64.034383000000005</v>
      </c>
      <c r="O79" s="6" t="s">
        <v>362</v>
      </c>
      <c r="P79" s="6" t="s">
        <v>363</v>
      </c>
      <c r="Q79" s="6" t="s">
        <v>605</v>
      </c>
      <c r="R79" s="6" t="s">
        <v>606</v>
      </c>
      <c r="S79" s="6" t="s">
        <v>42</v>
      </c>
      <c r="T79" s="11">
        <v>548564</v>
      </c>
      <c r="U79" s="7">
        <v>40</v>
      </c>
      <c r="V79" s="6" t="s">
        <v>36</v>
      </c>
      <c r="W79" s="7">
        <v>43.3</v>
      </c>
      <c r="X79" s="6" t="s">
        <v>35</v>
      </c>
      <c r="Y79" s="7">
        <v>1.4</v>
      </c>
      <c r="Z79" s="7">
        <v>1</v>
      </c>
      <c r="AA79" s="6" t="s">
        <v>243</v>
      </c>
      <c r="AB79" s="6" t="s">
        <v>38</v>
      </c>
      <c r="AD79" s="6" t="s">
        <v>39</v>
      </c>
      <c r="AE79" s="6"/>
      <c r="AG79" s="6" t="s">
        <v>37</v>
      </c>
      <c r="AH79" s="7">
        <v>60</v>
      </c>
      <c r="AI79" s="6" t="s">
        <v>40</v>
      </c>
      <c r="AJ79" s="6" t="s">
        <v>238</v>
      </c>
      <c r="AK79" s="6" t="s">
        <v>241</v>
      </c>
      <c r="AL79" s="6" t="s">
        <v>41</v>
      </c>
      <c r="AM79" s="6" t="s">
        <v>41</v>
      </c>
      <c r="AN79" s="6" t="s">
        <v>365</v>
      </c>
    </row>
    <row r="80" spans="1:40" hidden="1" x14ac:dyDescent="0.25">
      <c r="A80" s="12">
        <v>45678</v>
      </c>
      <c r="B80" s="6" t="s">
        <v>116</v>
      </c>
      <c r="C80" t="str">
        <f>_xlfn.XLOOKUP(Table3[[#This Row],[station]],station_waterbody_county!A:A, station_waterbody_county!B:B)</f>
        <v>St. Margarets Bay</v>
      </c>
      <c r="D80" t="str">
        <f>_xlfn.XLOOKUP(Table3[[#This Row],[station]],station_waterbody_county!A:A, station_waterbody_county!C:C)</f>
        <v>Lunenburg</v>
      </c>
      <c r="E80" s="6"/>
      <c r="F80" s="6" t="s">
        <v>310</v>
      </c>
      <c r="G80" s="12">
        <v>45240</v>
      </c>
      <c r="H80" s="5"/>
      <c r="I80" s="4">
        <v>45414</v>
      </c>
      <c r="J80" s="5">
        <v>0.65069444444444446</v>
      </c>
      <c r="K80" s="10">
        <v>44.569938999999998</v>
      </c>
      <c r="L80" s="10">
        <v>-64.034463000000002</v>
      </c>
      <c r="M80" s="10">
        <v>44.570148000000003</v>
      </c>
      <c r="N80" s="10">
        <v>-64.034546000000006</v>
      </c>
      <c r="O80" s="6"/>
      <c r="Q80" s="6" t="s">
        <v>360</v>
      </c>
      <c r="R80" s="6" t="s">
        <v>361</v>
      </c>
      <c r="S80" s="6" t="s">
        <v>239</v>
      </c>
      <c r="T80" s="11">
        <v>20291437</v>
      </c>
      <c r="U80" s="7">
        <v>2</v>
      </c>
      <c r="V80" s="6" t="s">
        <v>36</v>
      </c>
      <c r="W80" s="7">
        <v>40.5</v>
      </c>
      <c r="X80" s="6" t="s">
        <v>35</v>
      </c>
      <c r="Y80" s="7"/>
      <c r="Z80" s="7">
        <v>1.5</v>
      </c>
      <c r="AA80" s="6"/>
      <c r="AB80" s="6" t="s">
        <v>38</v>
      </c>
      <c r="AD80" s="6" t="s">
        <v>39</v>
      </c>
      <c r="AE80" s="6"/>
      <c r="AG80" s="6" t="s">
        <v>37</v>
      </c>
      <c r="AH80" s="7"/>
      <c r="AI80" s="6" t="s">
        <v>40</v>
      </c>
      <c r="AJ80" s="6" t="s">
        <v>238</v>
      </c>
      <c r="AK80" s="6" t="s">
        <v>35</v>
      </c>
      <c r="AL80" s="6" t="s">
        <v>271</v>
      </c>
      <c r="AM80" s="6" t="s">
        <v>41</v>
      </c>
    </row>
    <row r="81" spans="1:40" hidden="1" x14ac:dyDescent="0.25">
      <c r="A81" s="12">
        <v>45678</v>
      </c>
      <c r="B81" s="6" t="s">
        <v>116</v>
      </c>
      <c r="C81" t="str">
        <f>_xlfn.XLOOKUP(Table3[[#This Row],[station]],station_waterbody_county!A:A, station_waterbody_county!B:B)</f>
        <v>St. Margarets Bay</v>
      </c>
      <c r="D81" t="str">
        <f>_xlfn.XLOOKUP(Table3[[#This Row],[station]],station_waterbody_county!A:A, station_waterbody_county!C:C)</f>
        <v>Lunenburg</v>
      </c>
      <c r="E81" s="6"/>
      <c r="F81" s="6" t="s">
        <v>310</v>
      </c>
      <c r="G81" s="12">
        <v>45240</v>
      </c>
      <c r="H81" s="5"/>
      <c r="I81" s="4">
        <v>45414</v>
      </c>
      <c r="J81" s="5">
        <v>0.65069444444444446</v>
      </c>
      <c r="K81" s="10">
        <v>44.569938999999998</v>
      </c>
      <c r="L81" s="10">
        <v>-64.034463000000002</v>
      </c>
      <c r="M81" s="10">
        <v>44.570148000000003</v>
      </c>
      <c r="N81" s="10">
        <v>-64.034546000000006</v>
      </c>
      <c r="O81" s="6"/>
      <c r="Q81" s="6" t="s">
        <v>360</v>
      </c>
      <c r="R81" s="6" t="s">
        <v>361</v>
      </c>
      <c r="S81" s="6" t="s">
        <v>244</v>
      </c>
      <c r="T81" s="11">
        <v>20834033</v>
      </c>
      <c r="U81" s="7">
        <v>5</v>
      </c>
      <c r="V81" s="6" t="s">
        <v>36</v>
      </c>
      <c r="W81" s="7">
        <v>40.5</v>
      </c>
      <c r="X81" s="6" t="s">
        <v>35</v>
      </c>
      <c r="Y81" s="7"/>
      <c r="Z81" s="7">
        <v>1.5</v>
      </c>
      <c r="AA81" s="6"/>
      <c r="AB81" s="6" t="s">
        <v>38</v>
      </c>
      <c r="AD81" s="6" t="s">
        <v>39</v>
      </c>
      <c r="AE81" s="6"/>
      <c r="AG81" s="6" t="s">
        <v>37</v>
      </c>
      <c r="AH81" s="7"/>
      <c r="AI81" s="6" t="s">
        <v>40</v>
      </c>
      <c r="AJ81" s="6" t="s">
        <v>238</v>
      </c>
      <c r="AK81" s="6" t="s">
        <v>35</v>
      </c>
      <c r="AL81" s="6" t="s">
        <v>271</v>
      </c>
      <c r="AM81" s="6" t="s">
        <v>41</v>
      </c>
    </row>
    <row r="82" spans="1:40" hidden="1" x14ac:dyDescent="0.25">
      <c r="A82" s="12">
        <v>45678</v>
      </c>
      <c r="B82" s="6" t="s">
        <v>116</v>
      </c>
      <c r="C82" t="str">
        <f>_xlfn.XLOOKUP(Table3[[#This Row],[station]],station_waterbody_county!A:A, station_waterbody_county!B:B)</f>
        <v>St. Margarets Bay</v>
      </c>
      <c r="D82" t="str">
        <f>_xlfn.XLOOKUP(Table3[[#This Row],[station]],station_waterbody_county!A:A, station_waterbody_county!C:C)</f>
        <v>Lunenburg</v>
      </c>
      <c r="E82" s="6"/>
      <c r="F82" s="6" t="s">
        <v>310</v>
      </c>
      <c r="G82" s="12">
        <v>45240</v>
      </c>
      <c r="H82" s="5"/>
      <c r="I82" s="4">
        <v>45414</v>
      </c>
      <c r="J82" s="5">
        <v>0.65069444444444446</v>
      </c>
      <c r="K82" s="10">
        <v>44.569938999999998</v>
      </c>
      <c r="L82" s="10">
        <v>-64.034463000000002</v>
      </c>
      <c r="M82" s="10">
        <v>44.570148000000003</v>
      </c>
      <c r="N82" s="10">
        <v>-64.034546000000006</v>
      </c>
      <c r="O82" s="6"/>
      <c r="Q82" s="6" t="s">
        <v>360</v>
      </c>
      <c r="R82" s="6" t="s">
        <v>361</v>
      </c>
      <c r="S82" s="6" t="s">
        <v>239</v>
      </c>
      <c r="T82" s="11">
        <v>20820323</v>
      </c>
      <c r="U82" s="7">
        <v>10</v>
      </c>
      <c r="V82" s="6" t="s">
        <v>36</v>
      </c>
      <c r="W82" s="7">
        <v>40.5</v>
      </c>
      <c r="X82" s="6" t="s">
        <v>35</v>
      </c>
      <c r="Y82" s="7"/>
      <c r="Z82" s="7">
        <v>1.5</v>
      </c>
      <c r="AA82" s="6"/>
      <c r="AB82" s="6" t="s">
        <v>38</v>
      </c>
      <c r="AD82" s="6" t="s">
        <v>39</v>
      </c>
      <c r="AE82" s="6"/>
      <c r="AG82" s="6" t="s">
        <v>37</v>
      </c>
      <c r="AH82" s="7"/>
      <c r="AI82" s="6" t="s">
        <v>40</v>
      </c>
      <c r="AJ82" s="6" t="s">
        <v>238</v>
      </c>
      <c r="AK82" s="6" t="s">
        <v>35</v>
      </c>
      <c r="AL82" s="6" t="s">
        <v>271</v>
      </c>
      <c r="AM82" s="6" t="s">
        <v>41</v>
      </c>
    </row>
    <row r="83" spans="1:40" hidden="1" x14ac:dyDescent="0.25">
      <c r="A83" s="12">
        <v>45678</v>
      </c>
      <c r="B83" s="6" t="s">
        <v>116</v>
      </c>
      <c r="C83" t="str">
        <f>_xlfn.XLOOKUP(Table3[[#This Row],[station]],station_waterbody_county!A:A, station_waterbody_county!B:B)</f>
        <v>St. Margarets Bay</v>
      </c>
      <c r="D83" t="str">
        <f>_xlfn.XLOOKUP(Table3[[#This Row],[station]],station_waterbody_county!A:A, station_waterbody_county!C:C)</f>
        <v>Lunenburg</v>
      </c>
      <c r="E83" s="6"/>
      <c r="F83" s="6" t="s">
        <v>310</v>
      </c>
      <c r="G83" s="12">
        <v>45240</v>
      </c>
      <c r="H83" s="5"/>
      <c r="I83" s="4">
        <v>45414</v>
      </c>
      <c r="J83" s="5">
        <v>0.65069444444444446</v>
      </c>
      <c r="K83" s="10">
        <v>44.569938999999998</v>
      </c>
      <c r="L83" s="10">
        <v>-64.034463000000002</v>
      </c>
      <c r="M83" s="10">
        <v>44.570148000000003</v>
      </c>
      <c r="N83" s="10">
        <v>-64.034546000000006</v>
      </c>
      <c r="O83" s="6"/>
      <c r="Q83" s="6" t="s">
        <v>360</v>
      </c>
      <c r="R83" s="6" t="s">
        <v>361</v>
      </c>
      <c r="S83" s="6" t="s">
        <v>239</v>
      </c>
      <c r="T83" s="11">
        <v>20495249</v>
      </c>
      <c r="U83" s="7">
        <v>15</v>
      </c>
      <c r="V83" s="6" t="s">
        <v>36</v>
      </c>
      <c r="W83" s="7">
        <v>40.5</v>
      </c>
      <c r="X83" s="6" t="s">
        <v>35</v>
      </c>
      <c r="Y83" s="7"/>
      <c r="Z83" s="7">
        <v>1.5</v>
      </c>
      <c r="AA83" s="6"/>
      <c r="AB83" s="6" t="s">
        <v>38</v>
      </c>
      <c r="AD83" s="6" t="s">
        <v>39</v>
      </c>
      <c r="AE83" s="6"/>
      <c r="AG83" s="6" t="s">
        <v>37</v>
      </c>
      <c r="AH83" s="7"/>
      <c r="AI83" s="6" t="s">
        <v>40</v>
      </c>
      <c r="AJ83" s="6" t="s">
        <v>238</v>
      </c>
      <c r="AK83" s="6" t="s">
        <v>35</v>
      </c>
      <c r="AL83" s="6" t="s">
        <v>271</v>
      </c>
      <c r="AM83" s="6" t="s">
        <v>41</v>
      </c>
    </row>
    <row r="84" spans="1:40" hidden="1" x14ac:dyDescent="0.25">
      <c r="A84" s="12">
        <v>45678</v>
      </c>
      <c r="B84" s="6" t="s">
        <v>116</v>
      </c>
      <c r="C84" t="str">
        <f>_xlfn.XLOOKUP(Table3[[#This Row],[station]],station_waterbody_county!A:A, station_waterbody_county!B:B)</f>
        <v>St. Margarets Bay</v>
      </c>
      <c r="D84" t="str">
        <f>_xlfn.XLOOKUP(Table3[[#This Row],[station]],station_waterbody_county!A:A, station_waterbody_county!C:C)</f>
        <v>Lunenburg</v>
      </c>
      <c r="E84" s="6"/>
      <c r="F84" s="6" t="s">
        <v>310</v>
      </c>
      <c r="G84" s="12">
        <v>45240</v>
      </c>
      <c r="H84" s="5"/>
      <c r="I84" s="4">
        <v>45414</v>
      </c>
      <c r="J84" s="5">
        <v>0.65069444444444446</v>
      </c>
      <c r="K84" s="10">
        <v>44.569938999999998</v>
      </c>
      <c r="L84" s="10">
        <v>-64.034463000000002</v>
      </c>
      <c r="M84" s="10">
        <v>44.570148000000003</v>
      </c>
      <c r="N84" s="10">
        <v>-64.034546000000006</v>
      </c>
      <c r="O84" s="6"/>
      <c r="Q84" s="6" t="s">
        <v>360</v>
      </c>
      <c r="R84" s="6" t="s">
        <v>361</v>
      </c>
      <c r="S84" s="6" t="s">
        <v>239</v>
      </c>
      <c r="T84" s="11">
        <v>21465757</v>
      </c>
      <c r="U84" s="7">
        <v>20</v>
      </c>
      <c r="V84" s="6" t="s">
        <v>36</v>
      </c>
      <c r="W84" s="7">
        <v>40.5</v>
      </c>
      <c r="X84" s="6" t="s">
        <v>35</v>
      </c>
      <c r="Y84" s="7"/>
      <c r="Z84" s="7">
        <v>1.5</v>
      </c>
      <c r="AA84" s="6"/>
      <c r="AB84" s="6" t="s">
        <v>38</v>
      </c>
      <c r="AD84" s="6" t="s">
        <v>39</v>
      </c>
      <c r="AE84" s="6"/>
      <c r="AG84" s="6" t="s">
        <v>37</v>
      </c>
      <c r="AH84" s="7"/>
      <c r="AI84" s="6" t="s">
        <v>40</v>
      </c>
      <c r="AJ84" s="6" t="s">
        <v>238</v>
      </c>
      <c r="AK84" s="6" t="s">
        <v>35</v>
      </c>
      <c r="AL84" s="6" t="s">
        <v>271</v>
      </c>
      <c r="AM84" s="6" t="s">
        <v>41</v>
      </c>
    </row>
    <row r="85" spans="1:40" hidden="1" x14ac:dyDescent="0.25">
      <c r="A85" s="12">
        <v>45678</v>
      </c>
      <c r="B85" s="6" t="s">
        <v>116</v>
      </c>
      <c r="C85" t="str">
        <f>_xlfn.XLOOKUP(Table3[[#This Row],[station]],station_waterbody_county!A:A, station_waterbody_county!B:B)</f>
        <v>St. Margarets Bay</v>
      </c>
      <c r="D85" t="str">
        <f>_xlfn.XLOOKUP(Table3[[#This Row],[station]],station_waterbody_county!A:A, station_waterbody_county!C:C)</f>
        <v>Lunenburg</v>
      </c>
      <c r="E85" s="6"/>
      <c r="F85" s="6" t="s">
        <v>310</v>
      </c>
      <c r="G85" s="12">
        <v>45240</v>
      </c>
      <c r="H85" s="5"/>
      <c r="I85" s="4">
        <v>45414</v>
      </c>
      <c r="J85" s="5">
        <v>0.65069444444444446</v>
      </c>
      <c r="K85" s="10">
        <v>44.569938999999998</v>
      </c>
      <c r="L85" s="10">
        <v>-64.034463000000002</v>
      </c>
      <c r="M85" s="10">
        <v>44.570148000000003</v>
      </c>
      <c r="N85" s="10">
        <v>-64.034546000000006</v>
      </c>
      <c r="O85" s="6"/>
      <c r="Q85" s="6" t="s">
        <v>360</v>
      </c>
      <c r="R85" s="6" t="s">
        <v>361</v>
      </c>
      <c r="S85" s="6" t="s">
        <v>239</v>
      </c>
      <c r="T85" s="11">
        <v>20495256</v>
      </c>
      <c r="U85" s="7">
        <v>30</v>
      </c>
      <c r="V85" s="6" t="s">
        <v>36</v>
      </c>
      <c r="W85" s="7">
        <v>40.5</v>
      </c>
      <c r="X85" s="6" t="s">
        <v>35</v>
      </c>
      <c r="Y85" s="7"/>
      <c r="Z85" s="7">
        <v>1.5</v>
      </c>
      <c r="AA85" s="6"/>
      <c r="AB85" s="6" t="s">
        <v>38</v>
      </c>
      <c r="AD85" s="6" t="s">
        <v>39</v>
      </c>
      <c r="AE85" s="6"/>
      <c r="AG85" s="6" t="s">
        <v>37</v>
      </c>
      <c r="AH85" s="7"/>
      <c r="AI85" s="6" t="s">
        <v>40</v>
      </c>
      <c r="AJ85" s="6" t="s">
        <v>238</v>
      </c>
      <c r="AK85" s="6" t="s">
        <v>35</v>
      </c>
      <c r="AL85" s="6" t="s">
        <v>271</v>
      </c>
      <c r="AM85" s="6" t="s">
        <v>41</v>
      </c>
    </row>
    <row r="86" spans="1:40" hidden="1" x14ac:dyDescent="0.25">
      <c r="A86" s="12">
        <v>45678</v>
      </c>
      <c r="B86" s="6" t="s">
        <v>116</v>
      </c>
      <c r="C86" t="str">
        <f>_xlfn.XLOOKUP(Table3[[#This Row],[station]],station_waterbody_county!A:A, station_waterbody_county!B:B)</f>
        <v>St. Margarets Bay</v>
      </c>
      <c r="D86" t="str">
        <f>_xlfn.XLOOKUP(Table3[[#This Row],[station]],station_waterbody_county!A:A, station_waterbody_county!C:C)</f>
        <v>Lunenburg</v>
      </c>
      <c r="E86" s="6"/>
      <c r="F86" s="6" t="s">
        <v>310</v>
      </c>
      <c r="G86" s="12">
        <v>45240</v>
      </c>
      <c r="H86" s="5"/>
      <c r="I86" s="4">
        <v>45414</v>
      </c>
      <c r="J86" s="5">
        <v>0.65069444444444446</v>
      </c>
      <c r="K86" s="10">
        <v>44.569938999999998</v>
      </c>
      <c r="L86" s="10">
        <v>-64.034463000000002</v>
      </c>
      <c r="M86" s="10">
        <v>44.570148000000003</v>
      </c>
      <c r="N86" s="10">
        <v>-64.034546000000006</v>
      </c>
      <c r="O86" s="6"/>
      <c r="Q86" s="6" t="s">
        <v>360</v>
      </c>
      <c r="R86" s="6" t="s">
        <v>361</v>
      </c>
      <c r="S86" s="6" t="s">
        <v>42</v>
      </c>
      <c r="T86" s="11">
        <v>547090</v>
      </c>
      <c r="U86" s="7">
        <v>40</v>
      </c>
      <c r="V86" s="6" t="s">
        <v>36</v>
      </c>
      <c r="W86" s="7">
        <v>40.5</v>
      </c>
      <c r="X86" s="6" t="s">
        <v>35</v>
      </c>
      <c r="Y86" s="7"/>
      <c r="Z86" s="7">
        <v>1.5</v>
      </c>
      <c r="AA86" s="6"/>
      <c r="AB86" s="6" t="s">
        <v>38</v>
      </c>
      <c r="AD86" s="6" t="s">
        <v>39</v>
      </c>
      <c r="AE86" s="6"/>
      <c r="AG86" s="6" t="s">
        <v>37</v>
      </c>
      <c r="AH86" s="7"/>
      <c r="AI86" s="6" t="s">
        <v>40</v>
      </c>
      <c r="AJ86" s="6" t="s">
        <v>238</v>
      </c>
      <c r="AK86" s="6" t="s">
        <v>35</v>
      </c>
      <c r="AL86" s="6" t="s">
        <v>271</v>
      </c>
      <c r="AM86" s="6" t="s">
        <v>41</v>
      </c>
    </row>
    <row r="87" spans="1:40" x14ac:dyDescent="0.25">
      <c r="A87" s="4">
        <v>45784</v>
      </c>
      <c r="B87" s="6" t="s">
        <v>116</v>
      </c>
      <c r="C87" t="str">
        <f>_xlfn.XLOOKUP(Table3[[#This Row],[station]],station_waterbody_county!A:A, station_waterbody_county!B:B)</f>
        <v>St. Margarets Bay</v>
      </c>
      <c r="D87" t="str">
        <f>_xlfn.XLOOKUP(Table3[[#This Row],[station]],station_waterbody_county!A:A, station_waterbody_county!C:C)</f>
        <v>Lunenburg</v>
      </c>
      <c r="E87" s="6"/>
      <c r="F87" s="6" t="s">
        <v>310</v>
      </c>
      <c r="G87" s="4">
        <v>45617</v>
      </c>
      <c r="H87" s="5">
        <v>0.70902777777777781</v>
      </c>
      <c r="I87" s="4">
        <v>45779</v>
      </c>
      <c r="J87" s="5">
        <v>0.52847222222222223</v>
      </c>
      <c r="K87" s="10"/>
      <c r="O87" s="6" t="s">
        <v>605</v>
      </c>
      <c r="P87" s="6" t="s">
        <v>606</v>
      </c>
      <c r="Q87" s="6" t="s">
        <v>1248</v>
      </c>
      <c r="R87" s="6" t="s">
        <v>1249</v>
      </c>
      <c r="S87" s="6" t="s">
        <v>239</v>
      </c>
      <c r="T87" s="11">
        <v>21043074</v>
      </c>
      <c r="U87" s="7">
        <v>2</v>
      </c>
      <c r="V87" s="6" t="s">
        <v>36</v>
      </c>
      <c r="W87" s="7">
        <v>42.8</v>
      </c>
      <c r="X87" s="6" t="s">
        <v>35</v>
      </c>
      <c r="Y87" s="7">
        <v>1.6</v>
      </c>
      <c r="Z87" s="7">
        <v>1.5</v>
      </c>
      <c r="AA87" s="6" t="s">
        <v>251</v>
      </c>
      <c r="AB87" s="6" t="s">
        <v>38</v>
      </c>
      <c r="AD87" s="6" t="s">
        <v>39</v>
      </c>
      <c r="AE87" s="6"/>
      <c r="AG87" s="6" t="s">
        <v>37</v>
      </c>
      <c r="AH87" s="7">
        <v>60</v>
      </c>
      <c r="AI87" s="6" t="s">
        <v>40</v>
      </c>
      <c r="AJ87" s="6" t="s">
        <v>238</v>
      </c>
      <c r="AK87" s="6" t="s">
        <v>35</v>
      </c>
      <c r="AL87" s="6" t="s">
        <v>41</v>
      </c>
      <c r="AM87" s="6" t="s">
        <v>41</v>
      </c>
    </row>
    <row r="88" spans="1:40" x14ac:dyDescent="0.25">
      <c r="A88" s="4">
        <v>45784</v>
      </c>
      <c r="B88" s="6" t="s">
        <v>116</v>
      </c>
      <c r="C88" t="str">
        <f>_xlfn.XLOOKUP(Table3[[#This Row],[station]],station_waterbody_county!A:A, station_waterbody_county!B:B)</f>
        <v>St. Margarets Bay</v>
      </c>
      <c r="D88" t="str">
        <f>_xlfn.XLOOKUP(Table3[[#This Row],[station]],station_waterbody_county!A:A, station_waterbody_county!C:C)</f>
        <v>Lunenburg</v>
      </c>
      <c r="E88" s="6"/>
      <c r="F88" s="6" t="s">
        <v>310</v>
      </c>
      <c r="G88" s="4">
        <v>45617</v>
      </c>
      <c r="H88" s="5">
        <v>0.70902777777777781</v>
      </c>
      <c r="I88" s="4">
        <v>45779</v>
      </c>
      <c r="J88" s="5">
        <v>0.52847222222222223</v>
      </c>
      <c r="K88" s="10"/>
      <c r="O88" s="6" t="s">
        <v>605</v>
      </c>
      <c r="P88" s="6" t="s">
        <v>606</v>
      </c>
      <c r="Q88" s="6" t="s">
        <v>1248</v>
      </c>
      <c r="R88" s="6" t="s">
        <v>1249</v>
      </c>
      <c r="S88" s="6" t="s">
        <v>244</v>
      </c>
      <c r="T88" s="11">
        <v>21473809</v>
      </c>
      <c r="U88" s="7">
        <v>5</v>
      </c>
      <c r="V88" s="6" t="s">
        <v>36</v>
      </c>
      <c r="W88" s="7">
        <v>42.8</v>
      </c>
      <c r="X88" s="6" t="s">
        <v>35</v>
      </c>
      <c r="Y88" s="7">
        <v>1.6</v>
      </c>
      <c r="Z88" s="7">
        <v>1.5</v>
      </c>
      <c r="AA88" s="6" t="s">
        <v>251</v>
      </c>
      <c r="AB88" s="6" t="s">
        <v>38</v>
      </c>
      <c r="AD88" s="6" t="s">
        <v>39</v>
      </c>
      <c r="AE88" s="6"/>
      <c r="AG88" s="6" t="s">
        <v>37</v>
      </c>
      <c r="AH88" s="7">
        <v>60</v>
      </c>
      <c r="AI88" s="6" t="s">
        <v>40</v>
      </c>
      <c r="AJ88" s="6" t="s">
        <v>238</v>
      </c>
      <c r="AK88" s="6" t="s">
        <v>35</v>
      </c>
      <c r="AL88" s="6" t="s">
        <v>41</v>
      </c>
      <c r="AM88" s="6" t="s">
        <v>41</v>
      </c>
    </row>
    <row r="89" spans="1:40" x14ac:dyDescent="0.25">
      <c r="A89" s="4">
        <v>45784</v>
      </c>
      <c r="B89" s="6" t="s">
        <v>116</v>
      </c>
      <c r="C89" t="str">
        <f>_xlfn.XLOOKUP(Table3[[#This Row],[station]],station_waterbody_county!A:A, station_waterbody_county!B:B)</f>
        <v>St. Margarets Bay</v>
      </c>
      <c r="D89" t="str">
        <f>_xlfn.XLOOKUP(Table3[[#This Row],[station]],station_waterbody_county!A:A, station_waterbody_county!C:C)</f>
        <v>Lunenburg</v>
      </c>
      <c r="E89" s="6"/>
      <c r="F89" s="6" t="s">
        <v>310</v>
      </c>
      <c r="G89" s="4">
        <v>45617</v>
      </c>
      <c r="H89" s="5">
        <v>0.70902777777777781</v>
      </c>
      <c r="I89" s="4">
        <v>45779</v>
      </c>
      <c r="J89" s="5">
        <v>0.52847222222222223</v>
      </c>
      <c r="K89" s="10"/>
      <c r="O89" s="6" t="s">
        <v>605</v>
      </c>
      <c r="P89" s="6" t="s">
        <v>606</v>
      </c>
      <c r="Q89" s="6" t="s">
        <v>1248</v>
      </c>
      <c r="R89" s="6" t="s">
        <v>1249</v>
      </c>
      <c r="S89" s="6" t="s">
        <v>239</v>
      </c>
      <c r="T89" s="11">
        <v>22048609</v>
      </c>
      <c r="U89" s="7">
        <v>10</v>
      </c>
      <c r="V89" s="6" t="s">
        <v>36</v>
      </c>
      <c r="W89" s="7">
        <v>42.8</v>
      </c>
      <c r="X89" s="6" t="s">
        <v>35</v>
      </c>
      <c r="Y89" s="7">
        <v>1.6</v>
      </c>
      <c r="Z89" s="7">
        <v>1.5</v>
      </c>
      <c r="AA89" s="6" t="s">
        <v>251</v>
      </c>
      <c r="AB89" s="6" t="s">
        <v>38</v>
      </c>
      <c r="AD89" s="6" t="s">
        <v>39</v>
      </c>
      <c r="AE89" s="6"/>
      <c r="AG89" s="6" t="s">
        <v>37</v>
      </c>
      <c r="AH89" s="7">
        <v>60</v>
      </c>
      <c r="AI89" s="6" t="s">
        <v>40</v>
      </c>
      <c r="AJ89" s="6" t="s">
        <v>238</v>
      </c>
      <c r="AK89" s="6" t="s">
        <v>35</v>
      </c>
      <c r="AL89" s="6" t="s">
        <v>41</v>
      </c>
      <c r="AM89" s="6" t="s">
        <v>41</v>
      </c>
    </row>
    <row r="90" spans="1:40" x14ac:dyDescent="0.25">
      <c r="A90" s="4">
        <v>45784</v>
      </c>
      <c r="B90" s="6" t="s">
        <v>116</v>
      </c>
      <c r="C90" t="str">
        <f>_xlfn.XLOOKUP(Table3[[#This Row],[station]],station_waterbody_county!A:A, station_waterbody_county!B:B)</f>
        <v>St. Margarets Bay</v>
      </c>
      <c r="D90" t="str">
        <f>_xlfn.XLOOKUP(Table3[[#This Row],[station]],station_waterbody_county!A:A, station_waterbody_county!C:C)</f>
        <v>Lunenburg</v>
      </c>
      <c r="E90" s="6"/>
      <c r="F90" s="6" t="s">
        <v>310</v>
      </c>
      <c r="G90" s="4">
        <v>45617</v>
      </c>
      <c r="H90" s="5">
        <v>0.70902777777777781</v>
      </c>
      <c r="I90" s="4">
        <v>45779</v>
      </c>
      <c r="J90" s="5">
        <v>0.52847222222222223</v>
      </c>
      <c r="K90" s="10"/>
      <c r="O90" s="6" t="s">
        <v>605</v>
      </c>
      <c r="P90" s="6" t="s">
        <v>606</v>
      </c>
      <c r="Q90" s="6" t="s">
        <v>1248</v>
      </c>
      <c r="R90" s="6" t="s">
        <v>1249</v>
      </c>
      <c r="S90" s="6" t="s">
        <v>239</v>
      </c>
      <c r="T90" s="11">
        <v>22048576</v>
      </c>
      <c r="U90" s="7">
        <v>15</v>
      </c>
      <c r="V90" s="6" t="s">
        <v>36</v>
      </c>
      <c r="W90" s="7">
        <v>42.8</v>
      </c>
      <c r="X90" s="6" t="s">
        <v>35</v>
      </c>
      <c r="Y90" s="7">
        <v>1.6</v>
      </c>
      <c r="Z90" s="7">
        <v>1.5</v>
      </c>
      <c r="AA90" s="6" t="s">
        <v>251</v>
      </c>
      <c r="AB90" s="6" t="s">
        <v>38</v>
      </c>
      <c r="AD90" s="6" t="s">
        <v>39</v>
      </c>
      <c r="AE90" s="6"/>
      <c r="AG90" s="6" t="s">
        <v>37</v>
      </c>
      <c r="AH90" s="7">
        <v>60</v>
      </c>
      <c r="AI90" s="6" t="s">
        <v>40</v>
      </c>
      <c r="AJ90" s="6" t="s">
        <v>238</v>
      </c>
      <c r="AK90" s="6" t="s">
        <v>35</v>
      </c>
      <c r="AL90" s="6" t="s">
        <v>41</v>
      </c>
      <c r="AM90" s="6" t="s">
        <v>41</v>
      </c>
    </row>
    <row r="91" spans="1:40" x14ac:dyDescent="0.25">
      <c r="A91" s="4">
        <v>45784</v>
      </c>
      <c r="B91" s="6" t="s">
        <v>116</v>
      </c>
      <c r="C91" t="str">
        <f>_xlfn.XLOOKUP(Table3[[#This Row],[station]],station_waterbody_county!A:A, station_waterbody_county!B:B)</f>
        <v>St. Margarets Bay</v>
      </c>
      <c r="D91" t="str">
        <f>_xlfn.XLOOKUP(Table3[[#This Row],[station]],station_waterbody_county!A:A, station_waterbody_county!C:C)</f>
        <v>Lunenburg</v>
      </c>
      <c r="E91" s="6"/>
      <c r="F91" s="6" t="s">
        <v>310</v>
      </c>
      <c r="G91" s="4">
        <v>45617</v>
      </c>
      <c r="H91" s="5">
        <v>0.70902777777777781</v>
      </c>
      <c r="I91" s="4">
        <v>45779</v>
      </c>
      <c r="J91" s="5">
        <v>0.52847222222222223</v>
      </c>
      <c r="K91" s="10"/>
      <c r="O91" s="6" t="s">
        <v>605</v>
      </c>
      <c r="P91" s="6" t="s">
        <v>606</v>
      </c>
      <c r="Q91" s="6" t="s">
        <v>1248</v>
      </c>
      <c r="R91" s="6" t="s">
        <v>1249</v>
      </c>
      <c r="S91" s="6" t="s">
        <v>239</v>
      </c>
      <c r="T91" s="11">
        <v>21927294</v>
      </c>
      <c r="U91" s="7">
        <v>20</v>
      </c>
      <c r="V91" s="6" t="s">
        <v>36</v>
      </c>
      <c r="W91" s="7">
        <v>42.8</v>
      </c>
      <c r="X91" s="6" t="s">
        <v>35</v>
      </c>
      <c r="Y91" s="7">
        <v>1.6</v>
      </c>
      <c r="Z91" s="7">
        <v>1.5</v>
      </c>
      <c r="AA91" s="6" t="s">
        <v>251</v>
      </c>
      <c r="AB91" s="6" t="s">
        <v>38</v>
      </c>
      <c r="AD91" s="6" t="s">
        <v>39</v>
      </c>
      <c r="AE91" s="6"/>
      <c r="AG91" s="6" t="s">
        <v>37</v>
      </c>
      <c r="AH91" s="7">
        <v>60</v>
      </c>
      <c r="AI91" s="6" t="s">
        <v>40</v>
      </c>
      <c r="AJ91" s="6" t="s">
        <v>238</v>
      </c>
      <c r="AK91" s="6" t="s">
        <v>35</v>
      </c>
      <c r="AL91" s="6" t="s">
        <v>41</v>
      </c>
      <c r="AM91" s="6" t="s">
        <v>41</v>
      </c>
    </row>
    <row r="92" spans="1:40" x14ac:dyDescent="0.25">
      <c r="A92" s="4">
        <v>45784</v>
      </c>
      <c r="B92" s="6" t="s">
        <v>116</v>
      </c>
      <c r="C92" t="str">
        <f>_xlfn.XLOOKUP(Table3[[#This Row],[station]],station_waterbody_county!A:A, station_waterbody_county!B:B)</f>
        <v>St. Margarets Bay</v>
      </c>
      <c r="D92" t="str">
        <f>_xlfn.XLOOKUP(Table3[[#This Row],[station]],station_waterbody_county!A:A, station_waterbody_county!C:C)</f>
        <v>Lunenburg</v>
      </c>
      <c r="E92" s="6"/>
      <c r="F92" s="6" t="s">
        <v>310</v>
      </c>
      <c r="G92" s="4">
        <v>45617</v>
      </c>
      <c r="H92" s="5">
        <v>0.70902777777777781</v>
      </c>
      <c r="I92" s="4">
        <v>45779</v>
      </c>
      <c r="J92" s="5">
        <v>0.52847222222222223</v>
      </c>
      <c r="K92" s="10"/>
      <c r="O92" s="6" t="s">
        <v>605</v>
      </c>
      <c r="P92" s="6" t="s">
        <v>606</v>
      </c>
      <c r="Q92" s="6" t="s">
        <v>1248</v>
      </c>
      <c r="R92" s="6" t="s">
        <v>1249</v>
      </c>
      <c r="S92" s="6" t="s">
        <v>239</v>
      </c>
      <c r="T92" s="11">
        <v>21927327</v>
      </c>
      <c r="U92" s="7">
        <v>30</v>
      </c>
      <c r="V92" s="6" t="s">
        <v>36</v>
      </c>
      <c r="W92" s="7">
        <v>42.8</v>
      </c>
      <c r="X92" s="6" t="s">
        <v>35</v>
      </c>
      <c r="Y92" s="7">
        <v>1.6</v>
      </c>
      <c r="Z92" s="7">
        <v>1.5</v>
      </c>
      <c r="AA92" s="6" t="s">
        <v>251</v>
      </c>
      <c r="AB92" s="6" t="s">
        <v>38</v>
      </c>
      <c r="AD92" s="6" t="s">
        <v>39</v>
      </c>
      <c r="AE92" s="6"/>
      <c r="AG92" s="6" t="s">
        <v>37</v>
      </c>
      <c r="AH92" s="7">
        <v>60</v>
      </c>
      <c r="AI92" s="6" t="s">
        <v>40</v>
      </c>
      <c r="AJ92" s="6" t="s">
        <v>238</v>
      </c>
      <c r="AK92" s="6" t="s">
        <v>35</v>
      </c>
      <c r="AL92" s="6" t="s">
        <v>41</v>
      </c>
      <c r="AM92" s="6" t="s">
        <v>41</v>
      </c>
    </row>
    <row r="93" spans="1:40" x14ac:dyDescent="0.25">
      <c r="A93" s="4">
        <v>45784</v>
      </c>
      <c r="B93" s="6" t="s">
        <v>116</v>
      </c>
      <c r="C93" t="str">
        <f>_xlfn.XLOOKUP(Table3[[#This Row],[station]],station_waterbody_county!A:A, station_waterbody_county!B:B)</f>
        <v>St. Margarets Bay</v>
      </c>
      <c r="D93" t="str">
        <f>_xlfn.XLOOKUP(Table3[[#This Row],[station]],station_waterbody_county!A:A, station_waterbody_county!C:C)</f>
        <v>Lunenburg</v>
      </c>
      <c r="E93" s="6"/>
      <c r="F93" s="6" t="s">
        <v>310</v>
      </c>
      <c r="G93" s="4">
        <v>45617</v>
      </c>
      <c r="H93" s="5">
        <v>0.70902777777777781</v>
      </c>
      <c r="I93" s="4">
        <v>45779</v>
      </c>
      <c r="J93" s="5">
        <v>0.52847222222222223</v>
      </c>
      <c r="K93" s="10"/>
      <c r="O93" s="6" t="s">
        <v>605</v>
      </c>
      <c r="P93" s="6" t="s">
        <v>606</v>
      </c>
      <c r="Q93" s="6" t="s">
        <v>1248</v>
      </c>
      <c r="R93" s="6" t="s">
        <v>1249</v>
      </c>
      <c r="S93" s="6" t="s">
        <v>42</v>
      </c>
      <c r="T93" s="11">
        <v>548566</v>
      </c>
      <c r="U93" s="7">
        <v>40</v>
      </c>
      <c r="V93" s="6" t="s">
        <v>36</v>
      </c>
      <c r="W93" s="7">
        <v>42.8</v>
      </c>
      <c r="X93" s="6" t="s">
        <v>35</v>
      </c>
      <c r="Y93" s="7">
        <v>1.6</v>
      </c>
      <c r="Z93" s="7">
        <v>1.5</v>
      </c>
      <c r="AA93" s="6" t="s">
        <v>251</v>
      </c>
      <c r="AB93" s="6" t="s">
        <v>38</v>
      </c>
      <c r="AD93" s="6" t="s">
        <v>39</v>
      </c>
      <c r="AE93" s="6"/>
      <c r="AG93" s="6" t="s">
        <v>37</v>
      </c>
      <c r="AH93" s="7">
        <v>60</v>
      </c>
      <c r="AI93" s="6" t="s">
        <v>40</v>
      </c>
      <c r="AJ93" s="6" t="s">
        <v>238</v>
      </c>
      <c r="AK93" s="6" t="s">
        <v>35</v>
      </c>
      <c r="AL93" s="6" t="s">
        <v>41</v>
      </c>
      <c r="AM93" s="6" t="s">
        <v>41</v>
      </c>
    </row>
    <row r="94" spans="1:40" x14ac:dyDescent="0.25">
      <c r="A94" s="4">
        <v>45784</v>
      </c>
      <c r="B94" s="6" t="s">
        <v>116</v>
      </c>
      <c r="C94" t="str">
        <f>_xlfn.XLOOKUP(Table3[[#This Row],[station]],station_waterbody_county!A:A, station_waterbody_county!B:B)</f>
        <v>St. Margarets Bay</v>
      </c>
      <c r="D94" t="str">
        <f>_xlfn.XLOOKUP(Table3[[#This Row],[station]],station_waterbody_county!A:A, station_waterbody_county!C:C)</f>
        <v>Lunenburg</v>
      </c>
      <c r="E94" s="6"/>
      <c r="F94" s="6" t="s">
        <v>310</v>
      </c>
      <c r="G94" s="4">
        <v>45617</v>
      </c>
      <c r="H94" s="5">
        <v>0.70902777777777781</v>
      </c>
      <c r="I94" s="4">
        <v>45779</v>
      </c>
      <c r="J94" s="5">
        <v>0.52847222222222223</v>
      </c>
      <c r="K94" s="10"/>
      <c r="O94" s="6" t="s">
        <v>605</v>
      </c>
      <c r="P94" s="6" t="s">
        <v>606</v>
      </c>
      <c r="Q94" s="6" t="s">
        <v>1248</v>
      </c>
      <c r="R94" s="6" t="s">
        <v>1249</v>
      </c>
      <c r="S94" s="6" t="s">
        <v>239</v>
      </c>
      <c r="T94" s="11">
        <v>21465745</v>
      </c>
      <c r="U94" s="7">
        <v>40</v>
      </c>
      <c r="V94" s="6" t="s">
        <v>36</v>
      </c>
      <c r="W94" s="7">
        <v>42.8</v>
      </c>
      <c r="X94" s="6" t="s">
        <v>35</v>
      </c>
      <c r="Y94" s="7">
        <v>1.6</v>
      </c>
      <c r="Z94" s="7">
        <v>1.5</v>
      </c>
      <c r="AA94" s="6" t="s">
        <v>251</v>
      </c>
      <c r="AB94" s="6" t="s">
        <v>38</v>
      </c>
      <c r="AD94" s="6" t="s">
        <v>39</v>
      </c>
      <c r="AE94" s="6"/>
      <c r="AG94" s="6" t="s">
        <v>37</v>
      </c>
      <c r="AH94" s="7">
        <v>60</v>
      </c>
      <c r="AI94" s="6" t="s">
        <v>40</v>
      </c>
      <c r="AJ94" s="6" t="s">
        <v>238</v>
      </c>
      <c r="AK94" s="6" t="s">
        <v>35</v>
      </c>
      <c r="AL94" s="6" t="s">
        <v>41</v>
      </c>
      <c r="AM94" s="6" t="s">
        <v>41</v>
      </c>
    </row>
    <row r="95" spans="1:40" hidden="1" x14ac:dyDescent="0.25">
      <c r="A95" s="4">
        <v>45784</v>
      </c>
      <c r="B95" s="6" t="s">
        <v>116</v>
      </c>
      <c r="C95" t="str">
        <f>_xlfn.XLOOKUP(Table3[[#This Row],[station]],station_waterbody_county!A:A, station_waterbody_county!B:B)</f>
        <v>St. Margarets Bay</v>
      </c>
      <c r="D95" t="str">
        <f>_xlfn.XLOOKUP(Table3[[#This Row],[station]],station_waterbody_county!A:A, station_waterbody_county!C:C)</f>
        <v>Lunenburg</v>
      </c>
      <c r="E95" s="6"/>
      <c r="F95" s="6" t="s">
        <v>34</v>
      </c>
      <c r="G95" s="12">
        <v>45779</v>
      </c>
      <c r="H95" s="5">
        <v>0.5541666666666667</v>
      </c>
      <c r="I95" s="4"/>
      <c r="J95" s="5"/>
      <c r="K95" s="10"/>
      <c r="O95" s="6" t="s">
        <v>1250</v>
      </c>
      <c r="P95" s="6" t="s">
        <v>1251</v>
      </c>
      <c r="S95" s="6" t="s">
        <v>239</v>
      </c>
      <c r="T95" s="11">
        <v>22224438</v>
      </c>
      <c r="U95" s="7">
        <v>2</v>
      </c>
      <c r="V95" s="6" t="s">
        <v>36</v>
      </c>
      <c r="W95" s="7">
        <v>41.1</v>
      </c>
      <c r="X95" s="6" t="s">
        <v>35</v>
      </c>
      <c r="Y95" s="7">
        <v>1</v>
      </c>
      <c r="Z95" s="7">
        <v>1.5</v>
      </c>
      <c r="AA95" s="6" t="s">
        <v>243</v>
      </c>
      <c r="AB95" s="6" t="s">
        <v>38</v>
      </c>
      <c r="AD95" s="6" t="s">
        <v>39</v>
      </c>
      <c r="AE95" s="6" t="s">
        <v>40</v>
      </c>
      <c r="AG95" s="6" t="s">
        <v>37</v>
      </c>
      <c r="AH95" s="7">
        <v>60</v>
      </c>
      <c r="AI95" s="6" t="s">
        <v>40</v>
      </c>
      <c r="AJ95" s="6" t="s">
        <v>238</v>
      </c>
      <c r="AL95" s="6" t="s">
        <v>41</v>
      </c>
    </row>
    <row r="96" spans="1:40" hidden="1" x14ac:dyDescent="0.25">
      <c r="A96" s="4">
        <v>45784</v>
      </c>
      <c r="B96" s="6" t="s">
        <v>116</v>
      </c>
      <c r="C96" t="str">
        <f>_xlfn.XLOOKUP(Table3[[#This Row],[station]],station_waterbody_county!A:A, station_waterbody_county!B:B)</f>
        <v>St. Margarets Bay</v>
      </c>
      <c r="D96" t="str">
        <f>_xlfn.XLOOKUP(Table3[[#This Row],[station]],station_waterbody_county!A:A, station_waterbody_county!C:C)</f>
        <v>Lunenburg</v>
      </c>
      <c r="E96" s="6"/>
      <c r="F96" s="6" t="s">
        <v>34</v>
      </c>
      <c r="G96" s="12">
        <v>45779</v>
      </c>
      <c r="H96" s="5">
        <v>0.5541666666666667</v>
      </c>
      <c r="I96" s="4"/>
      <c r="J96" s="5"/>
      <c r="K96" s="10"/>
      <c r="O96" s="6" t="s">
        <v>1250</v>
      </c>
      <c r="P96" s="6" t="s">
        <v>1251</v>
      </c>
      <c r="S96" s="6" t="s">
        <v>244</v>
      </c>
      <c r="T96" s="11">
        <v>21429533</v>
      </c>
      <c r="U96" s="7">
        <v>5</v>
      </c>
      <c r="V96" s="6" t="s">
        <v>36</v>
      </c>
      <c r="W96" s="7">
        <v>41.1</v>
      </c>
      <c r="X96" s="6" t="s">
        <v>35</v>
      </c>
      <c r="Y96" s="7">
        <v>1</v>
      </c>
      <c r="Z96" s="7">
        <v>1.5</v>
      </c>
      <c r="AA96" s="6" t="s">
        <v>243</v>
      </c>
      <c r="AB96" s="6" t="s">
        <v>38</v>
      </c>
      <c r="AD96" s="6" t="s">
        <v>39</v>
      </c>
      <c r="AE96" s="6" t="s">
        <v>40</v>
      </c>
      <c r="AG96" s="6" t="s">
        <v>37</v>
      </c>
      <c r="AH96" s="7">
        <v>60</v>
      </c>
      <c r="AI96" s="6" t="s">
        <v>1252</v>
      </c>
      <c r="AJ96" s="6" t="s">
        <v>238</v>
      </c>
      <c r="AL96" s="6" t="s">
        <v>41</v>
      </c>
      <c r="AN96" s="6" t="s">
        <v>1253</v>
      </c>
    </row>
    <row r="97" spans="1:40" hidden="1" x14ac:dyDescent="0.25">
      <c r="A97" s="4">
        <v>45784</v>
      </c>
      <c r="B97" s="6" t="s">
        <v>116</v>
      </c>
      <c r="C97" t="str">
        <f>_xlfn.XLOOKUP(Table3[[#This Row],[station]],station_waterbody_county!A:A, station_waterbody_county!B:B)</f>
        <v>St. Margarets Bay</v>
      </c>
      <c r="D97" t="str">
        <f>_xlfn.XLOOKUP(Table3[[#This Row],[station]],station_waterbody_county!A:A, station_waterbody_county!C:C)</f>
        <v>Lunenburg</v>
      </c>
      <c r="E97" s="6"/>
      <c r="F97" s="6" t="s">
        <v>34</v>
      </c>
      <c r="G97" s="12">
        <v>45779</v>
      </c>
      <c r="H97" s="5">
        <v>0.5541666666666667</v>
      </c>
      <c r="I97" s="4"/>
      <c r="J97" s="5"/>
      <c r="K97" s="10"/>
      <c r="O97" s="6" t="s">
        <v>1250</v>
      </c>
      <c r="P97" s="6" t="s">
        <v>1251</v>
      </c>
      <c r="S97" s="6" t="s">
        <v>239</v>
      </c>
      <c r="T97" s="11">
        <v>22200676</v>
      </c>
      <c r="U97" s="7">
        <v>10</v>
      </c>
      <c r="V97" s="6" t="s">
        <v>36</v>
      </c>
      <c r="W97" s="7">
        <v>41.1</v>
      </c>
      <c r="X97" s="6" t="s">
        <v>35</v>
      </c>
      <c r="Y97" s="7">
        <v>1</v>
      </c>
      <c r="Z97" s="7">
        <v>1.5</v>
      </c>
      <c r="AA97" s="6" t="s">
        <v>243</v>
      </c>
      <c r="AB97" s="6" t="s">
        <v>38</v>
      </c>
      <c r="AD97" s="6" t="s">
        <v>39</v>
      </c>
      <c r="AE97" s="6" t="s">
        <v>40</v>
      </c>
      <c r="AG97" s="6" t="s">
        <v>37</v>
      </c>
      <c r="AH97" s="7">
        <v>60</v>
      </c>
      <c r="AI97" s="6" t="s">
        <v>40</v>
      </c>
      <c r="AJ97" s="6" t="s">
        <v>238</v>
      </c>
      <c r="AL97" s="6" t="s">
        <v>41</v>
      </c>
    </row>
    <row r="98" spans="1:40" hidden="1" x14ac:dyDescent="0.25">
      <c r="A98" s="4">
        <v>45784</v>
      </c>
      <c r="B98" s="6" t="s">
        <v>116</v>
      </c>
      <c r="C98" t="str">
        <f>_xlfn.XLOOKUP(Table3[[#This Row],[station]],station_waterbody_county!A:A, station_waterbody_county!B:B)</f>
        <v>St. Margarets Bay</v>
      </c>
      <c r="D98" t="str">
        <f>_xlfn.XLOOKUP(Table3[[#This Row],[station]],station_waterbody_county!A:A, station_waterbody_county!C:C)</f>
        <v>Lunenburg</v>
      </c>
      <c r="E98" s="6"/>
      <c r="F98" s="6" t="s">
        <v>34</v>
      </c>
      <c r="G98" s="12">
        <v>45779</v>
      </c>
      <c r="H98" s="5">
        <v>0.5541666666666667</v>
      </c>
      <c r="I98" s="4"/>
      <c r="J98" s="5"/>
      <c r="K98" s="10"/>
      <c r="O98" s="6" t="s">
        <v>1250</v>
      </c>
      <c r="P98" s="6" t="s">
        <v>1251</v>
      </c>
      <c r="S98" s="6" t="s">
        <v>239</v>
      </c>
      <c r="T98" s="11">
        <v>22249006</v>
      </c>
      <c r="U98" s="7">
        <v>15</v>
      </c>
      <c r="V98" s="6" t="s">
        <v>36</v>
      </c>
      <c r="W98" s="7">
        <v>41.1</v>
      </c>
      <c r="X98" s="6" t="s">
        <v>35</v>
      </c>
      <c r="Y98" s="7">
        <v>1</v>
      </c>
      <c r="Z98" s="7">
        <v>1.5</v>
      </c>
      <c r="AA98" s="6" t="s">
        <v>243</v>
      </c>
      <c r="AB98" s="6" t="s">
        <v>38</v>
      </c>
      <c r="AD98" s="6" t="s">
        <v>39</v>
      </c>
      <c r="AE98" s="6" t="s">
        <v>40</v>
      </c>
      <c r="AG98" s="6" t="s">
        <v>37</v>
      </c>
      <c r="AH98" s="7">
        <v>60</v>
      </c>
      <c r="AI98" s="6" t="s">
        <v>40</v>
      </c>
      <c r="AJ98" s="6" t="s">
        <v>238</v>
      </c>
      <c r="AL98" s="6" t="s">
        <v>41</v>
      </c>
    </row>
    <row r="99" spans="1:40" hidden="1" x14ac:dyDescent="0.25">
      <c r="A99" s="4">
        <v>45784</v>
      </c>
      <c r="B99" s="6" t="s">
        <v>116</v>
      </c>
      <c r="C99" t="str">
        <f>_xlfn.XLOOKUP(Table3[[#This Row],[station]],station_waterbody_county!A:A, station_waterbody_county!B:B)</f>
        <v>St. Margarets Bay</v>
      </c>
      <c r="D99" t="str">
        <f>_xlfn.XLOOKUP(Table3[[#This Row],[station]],station_waterbody_county!A:A, station_waterbody_county!C:C)</f>
        <v>Lunenburg</v>
      </c>
      <c r="E99" s="6"/>
      <c r="F99" s="6" t="s">
        <v>34</v>
      </c>
      <c r="G99" s="12">
        <v>45779</v>
      </c>
      <c r="H99" s="5">
        <v>0.5541666666666667</v>
      </c>
      <c r="I99" s="4"/>
      <c r="J99" s="5"/>
      <c r="K99" s="10"/>
      <c r="O99" s="6" t="s">
        <v>1250</v>
      </c>
      <c r="P99" s="6" t="s">
        <v>1251</v>
      </c>
      <c r="S99" s="6" t="s">
        <v>239</v>
      </c>
      <c r="T99" s="11">
        <v>22278836</v>
      </c>
      <c r="U99" s="7">
        <v>20</v>
      </c>
      <c r="V99" s="6" t="s">
        <v>36</v>
      </c>
      <c r="W99" s="7">
        <v>41.1</v>
      </c>
      <c r="X99" s="6" t="s">
        <v>35</v>
      </c>
      <c r="Y99" s="7">
        <v>1</v>
      </c>
      <c r="Z99" s="7">
        <v>1.5</v>
      </c>
      <c r="AA99" s="6" t="s">
        <v>243</v>
      </c>
      <c r="AB99" s="6" t="s">
        <v>38</v>
      </c>
      <c r="AD99" s="6" t="s">
        <v>39</v>
      </c>
      <c r="AE99" s="6" t="s">
        <v>40</v>
      </c>
      <c r="AG99" s="6" t="s">
        <v>37</v>
      </c>
      <c r="AH99" s="7">
        <v>60</v>
      </c>
      <c r="AI99" s="6" t="s">
        <v>40</v>
      </c>
      <c r="AJ99" s="6" t="s">
        <v>238</v>
      </c>
      <c r="AL99" s="6" t="s">
        <v>41</v>
      </c>
    </row>
    <row r="100" spans="1:40" hidden="1" x14ac:dyDescent="0.25">
      <c r="A100" s="4">
        <v>45784</v>
      </c>
      <c r="B100" s="6" t="s">
        <v>116</v>
      </c>
      <c r="C100" t="str">
        <f>_xlfn.XLOOKUP(Table3[[#This Row],[station]],station_waterbody_county!A:A, station_waterbody_county!B:B)</f>
        <v>St. Margarets Bay</v>
      </c>
      <c r="D100" t="str">
        <f>_xlfn.XLOOKUP(Table3[[#This Row],[station]],station_waterbody_county!A:A, station_waterbody_county!C:C)</f>
        <v>Lunenburg</v>
      </c>
      <c r="E100" s="6"/>
      <c r="F100" s="6" t="s">
        <v>34</v>
      </c>
      <c r="G100" s="12">
        <v>45779</v>
      </c>
      <c r="H100" s="5">
        <v>0.5541666666666667</v>
      </c>
      <c r="I100" s="4"/>
      <c r="J100" s="5"/>
      <c r="K100" s="10"/>
      <c r="O100" s="6" t="s">
        <v>1250</v>
      </c>
      <c r="P100" s="6" t="s">
        <v>1251</v>
      </c>
      <c r="S100" s="6" t="s">
        <v>239</v>
      </c>
      <c r="T100" s="11">
        <v>22048575</v>
      </c>
      <c r="U100" s="7">
        <v>30</v>
      </c>
      <c r="V100" s="6" t="s">
        <v>36</v>
      </c>
      <c r="W100" s="7">
        <v>41.1</v>
      </c>
      <c r="X100" s="6" t="s">
        <v>35</v>
      </c>
      <c r="Y100" s="7">
        <v>1</v>
      </c>
      <c r="Z100" s="7">
        <v>1.5</v>
      </c>
      <c r="AA100" s="6" t="s">
        <v>243</v>
      </c>
      <c r="AB100" s="6" t="s">
        <v>38</v>
      </c>
      <c r="AD100" s="6" t="s">
        <v>39</v>
      </c>
      <c r="AE100" s="6" t="s">
        <v>40</v>
      </c>
      <c r="AG100" s="6" t="s">
        <v>37</v>
      </c>
      <c r="AH100" s="7">
        <v>60</v>
      </c>
      <c r="AI100" s="6" t="s">
        <v>40</v>
      </c>
      <c r="AJ100" s="6" t="s">
        <v>238</v>
      </c>
      <c r="AL100" s="6" t="s">
        <v>41</v>
      </c>
    </row>
    <row r="101" spans="1:40" hidden="1" x14ac:dyDescent="0.25">
      <c r="A101" s="4">
        <v>45784</v>
      </c>
      <c r="B101" s="6" t="s">
        <v>116</v>
      </c>
      <c r="C101" t="str">
        <f>_xlfn.XLOOKUP(Table3[[#This Row],[station]],station_waterbody_county!A:A, station_waterbody_county!B:B)</f>
        <v>St. Margarets Bay</v>
      </c>
      <c r="D101" t="str">
        <f>_xlfn.XLOOKUP(Table3[[#This Row],[station]],station_waterbody_county!A:A, station_waterbody_county!C:C)</f>
        <v>Lunenburg</v>
      </c>
      <c r="E101" s="6"/>
      <c r="F101" s="6" t="s">
        <v>34</v>
      </c>
      <c r="G101" s="12">
        <v>45779</v>
      </c>
      <c r="H101" s="5">
        <v>0.5541666666666667</v>
      </c>
      <c r="I101" s="4"/>
      <c r="J101" s="5"/>
      <c r="K101" s="10"/>
      <c r="O101" s="6" t="s">
        <v>1250</v>
      </c>
      <c r="P101" s="6" t="s">
        <v>1251</v>
      </c>
      <c r="S101" s="6" t="s">
        <v>42</v>
      </c>
      <c r="T101" s="11">
        <v>548564</v>
      </c>
      <c r="U101" s="7">
        <v>40</v>
      </c>
      <c r="V101" s="6" t="s">
        <v>36</v>
      </c>
      <c r="W101" s="7">
        <v>41.1</v>
      </c>
      <c r="X101" s="6" t="s">
        <v>35</v>
      </c>
      <c r="Y101" s="7">
        <v>1</v>
      </c>
      <c r="Z101" s="7">
        <v>1.5</v>
      </c>
      <c r="AA101" s="6" t="s">
        <v>243</v>
      </c>
      <c r="AB101" s="6" t="s">
        <v>38</v>
      </c>
      <c r="AD101" s="6" t="s">
        <v>39</v>
      </c>
      <c r="AE101" s="6" t="s">
        <v>40</v>
      </c>
      <c r="AG101" s="6" t="s">
        <v>37</v>
      </c>
      <c r="AH101" s="7">
        <v>60</v>
      </c>
      <c r="AI101" s="6" t="s">
        <v>40</v>
      </c>
      <c r="AJ101" s="6" t="s">
        <v>238</v>
      </c>
      <c r="AL101" s="6" t="s">
        <v>41</v>
      </c>
    </row>
    <row r="102" spans="1:40" hidden="1" x14ac:dyDescent="0.25">
      <c r="A102" s="4">
        <v>45784</v>
      </c>
      <c r="B102" s="6" t="s">
        <v>116</v>
      </c>
      <c r="C102" t="str">
        <f>_xlfn.XLOOKUP(Table3[[#This Row],[station]],station_waterbody_county!A:A, station_waterbody_county!B:B)</f>
        <v>St. Margarets Bay</v>
      </c>
      <c r="D102" t="str">
        <f>_xlfn.XLOOKUP(Table3[[#This Row],[station]],station_waterbody_county!A:A, station_waterbody_county!C:C)</f>
        <v>Lunenburg</v>
      </c>
      <c r="E102" s="6"/>
      <c r="F102" s="6" t="s">
        <v>34</v>
      </c>
      <c r="G102" s="12">
        <v>45779</v>
      </c>
      <c r="H102" s="5">
        <v>0.5541666666666667</v>
      </c>
      <c r="I102" s="4"/>
      <c r="J102" s="5"/>
      <c r="K102" s="10"/>
      <c r="O102" s="6" t="s">
        <v>1250</v>
      </c>
      <c r="P102" s="6" t="s">
        <v>1251</v>
      </c>
      <c r="S102" s="6" t="s">
        <v>239</v>
      </c>
      <c r="T102" s="11">
        <v>22249007</v>
      </c>
      <c r="U102" s="7">
        <v>40</v>
      </c>
      <c r="V102" s="6" t="s">
        <v>36</v>
      </c>
      <c r="W102" s="7">
        <v>41.1</v>
      </c>
      <c r="X102" s="6" t="s">
        <v>35</v>
      </c>
      <c r="Y102" s="7">
        <v>1</v>
      </c>
      <c r="Z102" s="7">
        <v>1.5</v>
      </c>
      <c r="AA102" s="6" t="s">
        <v>243</v>
      </c>
      <c r="AB102" s="6" t="s">
        <v>38</v>
      </c>
      <c r="AD102" s="6" t="s">
        <v>39</v>
      </c>
      <c r="AE102" s="6" t="s">
        <v>40</v>
      </c>
      <c r="AG102" s="6" t="s">
        <v>37</v>
      </c>
      <c r="AH102" s="7">
        <v>60</v>
      </c>
      <c r="AI102" s="6" t="s">
        <v>40</v>
      </c>
      <c r="AJ102" s="6" t="s">
        <v>238</v>
      </c>
      <c r="AL102" s="6" t="s">
        <v>41</v>
      </c>
    </row>
    <row r="103" spans="1:40" hidden="1" x14ac:dyDescent="0.25">
      <c r="A103" s="4">
        <v>45481</v>
      </c>
      <c r="B103" s="6" t="s">
        <v>387</v>
      </c>
      <c r="C103" t="str">
        <f>_xlfn.XLOOKUP(Table3[[#This Row],[station]],station_waterbody_county!A:A, station_waterbody_county!B:B)</f>
        <v>New Harbour</v>
      </c>
      <c r="D103" t="str">
        <f>_xlfn.XLOOKUP(Table3[[#This Row],[station]],station_waterbody_county!A:A, station_waterbody_county!C:C)</f>
        <v>Guysborough</v>
      </c>
      <c r="E103" s="6"/>
      <c r="F103" s="6" t="s">
        <v>310</v>
      </c>
      <c r="G103" s="4">
        <v>44757</v>
      </c>
      <c r="H103" s="5"/>
      <c r="I103" s="4">
        <v>45217</v>
      </c>
      <c r="J103" s="5"/>
      <c r="K103" s="10">
        <v>45.159702000000003</v>
      </c>
      <c r="L103" s="10">
        <v>-61.403179000000002</v>
      </c>
      <c r="O103" s="6" t="s">
        <v>379</v>
      </c>
      <c r="P103" s="6" t="s">
        <v>380</v>
      </c>
      <c r="S103" s="6" t="s">
        <v>239</v>
      </c>
      <c r="T103" s="11">
        <v>21082885</v>
      </c>
      <c r="U103" s="7">
        <v>6</v>
      </c>
      <c r="V103" s="6" t="s">
        <v>36</v>
      </c>
      <c r="W103" s="7">
        <v>11</v>
      </c>
      <c r="X103" s="6" t="s">
        <v>35</v>
      </c>
      <c r="Y103" s="7"/>
      <c r="AA103" s="6"/>
      <c r="AB103" s="6" t="s">
        <v>38</v>
      </c>
      <c r="AE103" s="6"/>
      <c r="AG103" s="6" t="s">
        <v>37</v>
      </c>
      <c r="AH103" s="7">
        <v>60</v>
      </c>
      <c r="AI103" s="6" t="s">
        <v>40</v>
      </c>
      <c r="AJ103" s="6" t="s">
        <v>238</v>
      </c>
      <c r="AK103" s="6" t="s">
        <v>241</v>
      </c>
      <c r="AL103" s="6" t="s">
        <v>383</v>
      </c>
      <c r="AM103" s="6" t="s">
        <v>383</v>
      </c>
      <c r="AN103" s="6" t="s">
        <v>385</v>
      </c>
    </row>
    <row r="104" spans="1:40" hidden="1" x14ac:dyDescent="0.25">
      <c r="A104" s="12">
        <v>45678</v>
      </c>
      <c r="B104" s="6" t="s">
        <v>117</v>
      </c>
      <c r="C104" t="str">
        <f>_xlfn.XLOOKUP(Table3[[#This Row],[station]],station_waterbody_county!A:A, station_waterbody_county!B:B)</f>
        <v>Green Harbour</v>
      </c>
      <c r="D104" t="str">
        <f>_xlfn.XLOOKUP(Table3[[#This Row],[station]],station_waterbody_county!A:A, station_waterbody_county!C:C)</f>
        <v>Shelburne</v>
      </c>
      <c r="E104" s="6"/>
      <c r="F104" s="6" t="s">
        <v>310</v>
      </c>
      <c r="G104" s="12">
        <v>45120</v>
      </c>
      <c r="H104" s="5"/>
      <c r="I104" s="4">
        <v>45498</v>
      </c>
      <c r="J104" s="5">
        <v>0.52569444444444446</v>
      </c>
      <c r="K104" s="10">
        <v>43.6862090253681</v>
      </c>
      <c r="L104" s="10">
        <v>-65.167567000000005</v>
      </c>
      <c r="O104" s="6"/>
      <c r="Q104" s="6" t="s">
        <v>423</v>
      </c>
      <c r="R104" s="6" t="s">
        <v>424</v>
      </c>
      <c r="S104" s="6" t="s">
        <v>239</v>
      </c>
      <c r="T104" s="11">
        <v>21650147</v>
      </c>
      <c r="U104" s="7">
        <v>2</v>
      </c>
      <c r="V104" s="6" t="s">
        <v>36</v>
      </c>
      <c r="W104" s="7">
        <v>15</v>
      </c>
      <c r="X104" s="6" t="s">
        <v>35</v>
      </c>
      <c r="Y104" s="7"/>
      <c r="Z104" s="7">
        <v>2</v>
      </c>
      <c r="AA104" s="6"/>
      <c r="AB104" s="6" t="s">
        <v>321</v>
      </c>
      <c r="AD104" s="6" t="s">
        <v>39</v>
      </c>
      <c r="AE104" s="6"/>
      <c r="AH104" s="7"/>
      <c r="AI104" s="6" t="s">
        <v>40</v>
      </c>
      <c r="AJ104" s="6" t="s">
        <v>238</v>
      </c>
      <c r="AK104" s="6" t="s">
        <v>35</v>
      </c>
      <c r="AL104" s="6" t="s">
        <v>272</v>
      </c>
      <c r="AM104" s="6" t="s">
        <v>41</v>
      </c>
      <c r="AN104" s="6" t="s">
        <v>245</v>
      </c>
    </row>
    <row r="105" spans="1:40" hidden="1" x14ac:dyDescent="0.25">
      <c r="A105" s="12">
        <v>45678</v>
      </c>
      <c r="B105" s="6" t="s">
        <v>117</v>
      </c>
      <c r="C105" t="str">
        <f>_xlfn.XLOOKUP(Table3[[#This Row],[station]],station_waterbody_county!A:A, station_waterbody_county!B:B)</f>
        <v>Green Harbour</v>
      </c>
      <c r="D105" t="str">
        <f>_xlfn.XLOOKUP(Table3[[#This Row],[station]],station_waterbody_county!A:A, station_waterbody_county!C:C)</f>
        <v>Shelburne</v>
      </c>
      <c r="E105" s="6"/>
      <c r="F105" s="6" t="s">
        <v>310</v>
      </c>
      <c r="G105" s="12">
        <v>45120</v>
      </c>
      <c r="H105" s="5"/>
      <c r="I105" s="4">
        <v>45498</v>
      </c>
      <c r="J105" s="5">
        <v>0.52569444444444446</v>
      </c>
      <c r="K105" s="10">
        <v>43.6862090253681</v>
      </c>
      <c r="L105" s="10">
        <v>-65.167567000000005</v>
      </c>
      <c r="O105" s="6"/>
      <c r="Q105" s="6" t="s">
        <v>423</v>
      </c>
      <c r="R105" s="6" t="s">
        <v>424</v>
      </c>
      <c r="S105" s="6" t="s">
        <v>240</v>
      </c>
      <c r="T105" s="11">
        <v>675018</v>
      </c>
      <c r="U105" s="7">
        <v>5</v>
      </c>
      <c r="V105" s="6" t="s">
        <v>36</v>
      </c>
      <c r="W105" s="7">
        <v>15</v>
      </c>
      <c r="X105" s="6" t="s">
        <v>35</v>
      </c>
      <c r="Y105" s="7"/>
      <c r="Z105" s="7">
        <v>2</v>
      </c>
      <c r="AA105" s="6"/>
      <c r="AB105" s="6" t="s">
        <v>321</v>
      </c>
      <c r="AD105" s="6" t="s">
        <v>39</v>
      </c>
      <c r="AE105" s="6"/>
      <c r="AH105" s="7"/>
      <c r="AI105" s="6" t="s">
        <v>40</v>
      </c>
      <c r="AJ105" s="6" t="s">
        <v>238</v>
      </c>
      <c r="AK105" s="6" t="s">
        <v>35</v>
      </c>
      <c r="AL105" s="6" t="s">
        <v>272</v>
      </c>
      <c r="AM105" s="6" t="s">
        <v>41</v>
      </c>
      <c r="AN105" s="6" t="s">
        <v>245</v>
      </c>
    </row>
    <row r="106" spans="1:40" hidden="1" x14ac:dyDescent="0.25">
      <c r="A106" s="12">
        <v>45678</v>
      </c>
      <c r="B106" s="6" t="s">
        <v>117</v>
      </c>
      <c r="C106" t="str">
        <f>_xlfn.XLOOKUP(Table3[[#This Row],[station]],station_waterbody_county!A:A, station_waterbody_county!B:B)</f>
        <v>Green Harbour</v>
      </c>
      <c r="D106" t="str">
        <f>_xlfn.XLOOKUP(Table3[[#This Row],[station]],station_waterbody_county!A:A, station_waterbody_county!C:C)</f>
        <v>Shelburne</v>
      </c>
      <c r="E106" s="6"/>
      <c r="F106" s="6" t="s">
        <v>310</v>
      </c>
      <c r="G106" s="12">
        <v>45120</v>
      </c>
      <c r="H106" s="5"/>
      <c r="I106" s="4">
        <v>45498</v>
      </c>
      <c r="J106" s="5">
        <v>0.52569444444444446</v>
      </c>
      <c r="K106" s="10">
        <v>43.6862090253681</v>
      </c>
      <c r="L106" s="10">
        <v>-65.167567000000005</v>
      </c>
      <c r="O106" s="6"/>
      <c r="Q106" s="6" t="s">
        <v>423</v>
      </c>
      <c r="R106" s="6" t="s">
        <v>424</v>
      </c>
      <c r="S106" s="6" t="s">
        <v>42</v>
      </c>
      <c r="T106" s="11">
        <v>548581</v>
      </c>
      <c r="U106" s="7">
        <v>10</v>
      </c>
      <c r="V106" s="6" t="s">
        <v>36</v>
      </c>
      <c r="W106" s="7">
        <v>15</v>
      </c>
      <c r="X106" s="6" t="s">
        <v>35</v>
      </c>
      <c r="Y106" s="7"/>
      <c r="Z106" s="7">
        <v>2</v>
      </c>
      <c r="AA106" s="6"/>
      <c r="AB106" s="6" t="s">
        <v>321</v>
      </c>
      <c r="AD106" s="6" t="s">
        <v>39</v>
      </c>
      <c r="AE106" s="6"/>
      <c r="AH106" s="7"/>
      <c r="AI106" s="6" t="s">
        <v>40</v>
      </c>
      <c r="AJ106" s="6" t="s">
        <v>238</v>
      </c>
      <c r="AK106" s="6" t="s">
        <v>35</v>
      </c>
      <c r="AL106" s="6" t="s">
        <v>272</v>
      </c>
      <c r="AM106" s="6" t="s">
        <v>41</v>
      </c>
      <c r="AN106" s="6" t="s">
        <v>245</v>
      </c>
    </row>
    <row r="107" spans="1:40" x14ac:dyDescent="0.25">
      <c r="A107" s="12">
        <v>45889</v>
      </c>
      <c r="B107" s="6" t="s">
        <v>117</v>
      </c>
      <c r="C107" t="str">
        <f>_xlfn.XLOOKUP(Table3[[#This Row],[station]],station_waterbody_county!A:A, station_waterbody_county!B:B)</f>
        <v>Green Harbour</v>
      </c>
      <c r="D107" t="str">
        <f>_xlfn.XLOOKUP(Table3[[#This Row],[station]],station_waterbody_county!A:A, station_waterbody_county!C:C)</f>
        <v>Shelburne</v>
      </c>
      <c r="E107" s="6"/>
      <c r="F107" s="6" t="s">
        <v>310</v>
      </c>
      <c r="G107" s="4">
        <v>45498</v>
      </c>
      <c r="H107" s="5">
        <v>0.53888888888888886</v>
      </c>
      <c r="I107" s="4">
        <v>45847</v>
      </c>
      <c r="J107" s="5">
        <v>0.82708333333333328</v>
      </c>
      <c r="K107" s="10"/>
      <c r="O107" s="6" t="s">
        <v>425</v>
      </c>
      <c r="P107" s="6" t="s">
        <v>426</v>
      </c>
      <c r="Q107" s="6" t="s">
        <v>1342</v>
      </c>
      <c r="R107" s="6" t="s">
        <v>1343</v>
      </c>
      <c r="S107" s="6" t="s">
        <v>239</v>
      </c>
      <c r="T107" s="11">
        <v>20291428</v>
      </c>
      <c r="U107" s="7">
        <v>2</v>
      </c>
      <c r="V107" s="6" t="s">
        <v>36</v>
      </c>
      <c r="W107" s="7">
        <v>16.5</v>
      </c>
      <c r="X107" s="6" t="s">
        <v>35</v>
      </c>
      <c r="Y107" s="7">
        <v>1.6</v>
      </c>
      <c r="Z107" s="7">
        <v>0.5</v>
      </c>
      <c r="AA107" s="6" t="s">
        <v>243</v>
      </c>
      <c r="AD107" s="6" t="s">
        <v>39</v>
      </c>
      <c r="AE107" s="6"/>
      <c r="AG107" s="6" t="s">
        <v>37</v>
      </c>
      <c r="AH107" s="7">
        <v>60</v>
      </c>
      <c r="AI107" s="6" t="s">
        <v>40</v>
      </c>
      <c r="AJ107" s="6" t="s">
        <v>238</v>
      </c>
      <c r="AL107" s="6" t="s">
        <v>41</v>
      </c>
      <c r="AM107" s="6" t="s">
        <v>41</v>
      </c>
    </row>
    <row r="108" spans="1:40" x14ac:dyDescent="0.25">
      <c r="A108" s="12">
        <v>45889</v>
      </c>
      <c r="B108" s="6" t="s">
        <v>117</v>
      </c>
      <c r="C108" t="str">
        <f>_xlfn.XLOOKUP(Table3[[#This Row],[station]],station_waterbody_county!A:A, station_waterbody_county!B:B)</f>
        <v>Green Harbour</v>
      </c>
      <c r="D108" t="str">
        <f>_xlfn.XLOOKUP(Table3[[#This Row],[station]],station_waterbody_county!A:A, station_waterbody_county!C:C)</f>
        <v>Shelburne</v>
      </c>
      <c r="E108" s="6"/>
      <c r="F108" s="6" t="s">
        <v>310</v>
      </c>
      <c r="G108" s="4">
        <v>45498</v>
      </c>
      <c r="H108" s="5">
        <v>0.53888888888888886</v>
      </c>
      <c r="I108" s="4">
        <v>45847</v>
      </c>
      <c r="J108" s="5">
        <v>0.82708333333333328</v>
      </c>
      <c r="K108" s="10"/>
      <c r="O108" s="6" t="s">
        <v>425</v>
      </c>
      <c r="P108" s="6" t="s">
        <v>426</v>
      </c>
      <c r="Q108" s="6" t="s">
        <v>1342</v>
      </c>
      <c r="R108" s="6" t="s">
        <v>1343</v>
      </c>
      <c r="S108" s="6" t="s">
        <v>240</v>
      </c>
      <c r="T108" s="11">
        <v>671424</v>
      </c>
      <c r="U108" s="7">
        <v>5</v>
      </c>
      <c r="V108" s="6" t="s">
        <v>36</v>
      </c>
      <c r="W108" s="7">
        <v>16.5</v>
      </c>
      <c r="X108" s="6" t="s">
        <v>35</v>
      </c>
      <c r="Y108" s="7">
        <v>1.6</v>
      </c>
      <c r="Z108" s="7">
        <v>0.5</v>
      </c>
      <c r="AA108" s="6" t="s">
        <v>243</v>
      </c>
      <c r="AD108" s="6" t="s">
        <v>39</v>
      </c>
      <c r="AE108" s="6"/>
      <c r="AG108" s="6" t="s">
        <v>37</v>
      </c>
      <c r="AH108" s="7">
        <v>60</v>
      </c>
      <c r="AI108" s="6" t="s">
        <v>40</v>
      </c>
      <c r="AJ108" s="6" t="s">
        <v>238</v>
      </c>
      <c r="AL108" s="6" t="s">
        <v>41</v>
      </c>
      <c r="AM108" s="6" t="s">
        <v>41</v>
      </c>
    </row>
    <row r="109" spans="1:40" x14ac:dyDescent="0.25">
      <c r="A109" s="12">
        <v>45889</v>
      </c>
      <c r="B109" s="6" t="s">
        <v>117</v>
      </c>
      <c r="C109" t="str">
        <f>_xlfn.XLOOKUP(Table3[[#This Row],[station]],station_waterbody_county!A:A, station_waterbody_county!B:B)</f>
        <v>Green Harbour</v>
      </c>
      <c r="D109" t="str">
        <f>_xlfn.XLOOKUP(Table3[[#This Row],[station]],station_waterbody_county!A:A, station_waterbody_county!C:C)</f>
        <v>Shelburne</v>
      </c>
      <c r="E109" s="6"/>
      <c r="F109" s="6" t="s">
        <v>310</v>
      </c>
      <c r="G109" s="4">
        <v>45498</v>
      </c>
      <c r="H109" s="5">
        <v>0.53888888888888886</v>
      </c>
      <c r="I109" s="4">
        <v>45847</v>
      </c>
      <c r="J109" s="5">
        <v>0.82708333333333328</v>
      </c>
      <c r="K109" s="10"/>
      <c r="O109" s="6" t="s">
        <v>425</v>
      </c>
      <c r="P109" s="6" t="s">
        <v>426</v>
      </c>
      <c r="Q109" s="6" t="s">
        <v>1342</v>
      </c>
      <c r="R109" s="6" t="s">
        <v>1343</v>
      </c>
      <c r="S109" s="6" t="s">
        <v>42</v>
      </c>
      <c r="T109" s="11">
        <v>547099</v>
      </c>
      <c r="U109" s="7">
        <v>10</v>
      </c>
      <c r="V109" s="6" t="s">
        <v>36</v>
      </c>
      <c r="W109" s="7">
        <v>16.5</v>
      </c>
      <c r="X109" s="6" t="s">
        <v>35</v>
      </c>
      <c r="Y109" s="7">
        <v>1.6</v>
      </c>
      <c r="Z109" s="7">
        <v>0.5</v>
      </c>
      <c r="AA109" s="6" t="s">
        <v>243</v>
      </c>
      <c r="AD109" s="6" t="s">
        <v>39</v>
      </c>
      <c r="AE109" s="6"/>
      <c r="AG109" s="6" t="s">
        <v>37</v>
      </c>
      <c r="AH109" s="7">
        <v>60</v>
      </c>
      <c r="AI109" s="6" t="s">
        <v>40</v>
      </c>
      <c r="AJ109" s="6" t="s">
        <v>238</v>
      </c>
      <c r="AL109" s="6" t="s">
        <v>41</v>
      </c>
      <c r="AM109" s="6" t="s">
        <v>41</v>
      </c>
    </row>
    <row r="110" spans="1:40" hidden="1" x14ac:dyDescent="0.25">
      <c r="A110" s="4">
        <v>45856</v>
      </c>
      <c r="B110" s="6" t="s">
        <v>117</v>
      </c>
      <c r="C110" s="6" t="str">
        <f>_xlfn.XLOOKUP(Table3[[#This Row],[station]],station_waterbody_county!A:A, station_waterbody_county!B:B)</f>
        <v>Green Harbour</v>
      </c>
      <c r="D110" s="3" t="str">
        <f>_xlfn.XLOOKUP(Table3[[#This Row],[station]],station_waterbody_county!A:A, station_waterbody_county!C:C)</f>
        <v>Shelburne</v>
      </c>
      <c r="E110" s="6"/>
      <c r="F110" s="6" t="s">
        <v>34</v>
      </c>
      <c r="G110" s="12">
        <v>45847</v>
      </c>
      <c r="H110" s="5">
        <v>0.8305555555555556</v>
      </c>
      <c r="I110" s="4"/>
      <c r="J110" s="5"/>
      <c r="K110" s="10"/>
      <c r="O110" s="6" t="s">
        <v>1344</v>
      </c>
      <c r="P110" s="6" t="s">
        <v>1345</v>
      </c>
      <c r="S110" s="6" t="s">
        <v>239</v>
      </c>
      <c r="T110" s="11">
        <v>22310016</v>
      </c>
      <c r="U110" s="7">
        <v>2</v>
      </c>
      <c r="V110" s="6" t="s">
        <v>36</v>
      </c>
      <c r="W110" s="7">
        <v>15.9</v>
      </c>
      <c r="X110" s="6" t="s">
        <v>35</v>
      </c>
      <c r="Y110" s="7">
        <v>1.46</v>
      </c>
      <c r="Z110" s="7">
        <v>0.5</v>
      </c>
      <c r="AA110" s="6" t="s">
        <v>243</v>
      </c>
      <c r="AB110" s="6" t="s">
        <v>321</v>
      </c>
      <c r="AC110" s="6" t="s">
        <v>321</v>
      </c>
      <c r="AD110" s="6" t="s">
        <v>39</v>
      </c>
      <c r="AE110" s="6" t="s">
        <v>1244</v>
      </c>
      <c r="AF110" s="11">
        <v>1</v>
      </c>
      <c r="AG110" s="6" t="s">
        <v>37</v>
      </c>
      <c r="AH110" s="7">
        <v>60</v>
      </c>
      <c r="AI110" s="6" t="s">
        <v>40</v>
      </c>
      <c r="AJ110" s="6" t="s">
        <v>238</v>
      </c>
      <c r="AK110" s="6" t="s">
        <v>241</v>
      </c>
      <c r="AL110" s="6" t="s">
        <v>41</v>
      </c>
    </row>
    <row r="111" spans="1:40" hidden="1" x14ac:dyDescent="0.25">
      <c r="A111" s="4">
        <v>45856</v>
      </c>
      <c r="B111" s="6" t="s">
        <v>117</v>
      </c>
      <c r="C111" s="6" t="str">
        <f>_xlfn.XLOOKUP(Table3[[#This Row],[station]],station_waterbody_county!A:A, station_waterbody_county!B:B)</f>
        <v>Green Harbour</v>
      </c>
      <c r="D111" s="3" t="str">
        <f>_xlfn.XLOOKUP(Table3[[#This Row],[station]],station_waterbody_county!A:A, station_waterbody_county!C:C)</f>
        <v>Shelburne</v>
      </c>
      <c r="E111" s="6"/>
      <c r="F111" s="6" t="s">
        <v>34</v>
      </c>
      <c r="G111" s="12">
        <v>45847</v>
      </c>
      <c r="H111" s="5">
        <v>0.8305555555555556</v>
      </c>
      <c r="I111" s="4"/>
      <c r="J111" s="5"/>
      <c r="K111" s="10"/>
      <c r="O111" s="6" t="s">
        <v>1344</v>
      </c>
      <c r="P111" s="6" t="s">
        <v>1345</v>
      </c>
      <c r="S111" s="6" t="s">
        <v>240</v>
      </c>
      <c r="T111" s="11">
        <v>675286</v>
      </c>
      <c r="U111" s="7">
        <v>5</v>
      </c>
      <c r="V111" s="6" t="s">
        <v>36</v>
      </c>
      <c r="W111" s="7">
        <v>15.9</v>
      </c>
      <c r="X111" s="6" t="s">
        <v>35</v>
      </c>
      <c r="Y111" s="7">
        <v>1.46</v>
      </c>
      <c r="Z111" s="7">
        <v>0.5</v>
      </c>
      <c r="AA111" s="6" t="s">
        <v>243</v>
      </c>
      <c r="AB111" s="6" t="s">
        <v>321</v>
      </c>
      <c r="AC111" s="6" t="s">
        <v>321</v>
      </c>
      <c r="AD111" s="6" t="s">
        <v>39</v>
      </c>
      <c r="AE111" s="6" t="s">
        <v>1244</v>
      </c>
      <c r="AF111" s="11">
        <v>1</v>
      </c>
      <c r="AG111" s="6" t="s">
        <v>37</v>
      </c>
      <c r="AH111" s="7">
        <v>60</v>
      </c>
      <c r="AI111" s="6" t="s">
        <v>40</v>
      </c>
      <c r="AJ111" s="6" t="s">
        <v>238</v>
      </c>
      <c r="AK111" s="6" t="s">
        <v>241</v>
      </c>
      <c r="AL111" s="6" t="s">
        <v>41</v>
      </c>
    </row>
    <row r="112" spans="1:40" hidden="1" x14ac:dyDescent="0.25">
      <c r="A112" s="4">
        <v>45856</v>
      </c>
      <c r="B112" s="6" t="s">
        <v>117</v>
      </c>
      <c r="C112" s="6" t="str">
        <f>_xlfn.XLOOKUP(Table3[[#This Row],[station]],station_waterbody_county!A:A, station_waterbody_county!B:B)</f>
        <v>Green Harbour</v>
      </c>
      <c r="D112" s="3" t="str">
        <f>_xlfn.XLOOKUP(Table3[[#This Row],[station]],station_waterbody_county!A:A, station_waterbody_county!C:C)</f>
        <v>Shelburne</v>
      </c>
      <c r="E112" s="6"/>
      <c r="F112" s="6" t="s">
        <v>34</v>
      </c>
      <c r="G112" s="12">
        <v>45847</v>
      </c>
      <c r="H112" s="5">
        <v>0.8305555555555556</v>
      </c>
      <c r="I112" s="4"/>
      <c r="J112" s="5"/>
      <c r="K112" s="10"/>
      <c r="O112" s="6" t="s">
        <v>1344</v>
      </c>
      <c r="P112" s="6" t="s">
        <v>1345</v>
      </c>
      <c r="S112" s="6" t="s">
        <v>239</v>
      </c>
      <c r="T112" s="11">
        <v>22311503</v>
      </c>
      <c r="U112" s="7">
        <v>10</v>
      </c>
      <c r="V112" s="6" t="s">
        <v>36</v>
      </c>
      <c r="W112" s="7">
        <v>15.9</v>
      </c>
      <c r="X112" s="6" t="s">
        <v>35</v>
      </c>
      <c r="Y112" s="7">
        <v>1.46</v>
      </c>
      <c r="Z112" s="7">
        <v>0.5</v>
      </c>
      <c r="AA112" s="6" t="s">
        <v>243</v>
      </c>
      <c r="AB112" s="6" t="s">
        <v>321</v>
      </c>
      <c r="AC112" s="6" t="s">
        <v>321</v>
      </c>
      <c r="AD112" s="6" t="s">
        <v>39</v>
      </c>
      <c r="AE112" s="6" t="s">
        <v>1244</v>
      </c>
      <c r="AF112" s="11">
        <v>1</v>
      </c>
      <c r="AG112" s="6" t="s">
        <v>37</v>
      </c>
      <c r="AH112" s="7">
        <v>60</v>
      </c>
      <c r="AI112" s="6" t="s">
        <v>40</v>
      </c>
      <c r="AJ112" s="6" t="s">
        <v>238</v>
      </c>
      <c r="AK112" s="6" t="s">
        <v>241</v>
      </c>
      <c r="AL112" s="6" t="s">
        <v>41</v>
      </c>
    </row>
    <row r="113" spans="1:40" hidden="1" x14ac:dyDescent="0.25">
      <c r="A113" s="4">
        <v>45856</v>
      </c>
      <c r="B113" s="6" t="s">
        <v>117</v>
      </c>
      <c r="C113" s="6" t="str">
        <f>_xlfn.XLOOKUP(Table3[[#This Row],[station]],station_waterbody_county!A:A, station_waterbody_county!B:B)</f>
        <v>Green Harbour</v>
      </c>
      <c r="D113" s="3" t="str">
        <f>_xlfn.XLOOKUP(Table3[[#This Row],[station]],station_waterbody_county!A:A, station_waterbody_county!C:C)</f>
        <v>Shelburne</v>
      </c>
      <c r="E113" s="6"/>
      <c r="F113" s="6" t="s">
        <v>34</v>
      </c>
      <c r="G113" s="12">
        <v>45847</v>
      </c>
      <c r="H113" s="5">
        <v>0.8305555555555556</v>
      </c>
      <c r="I113" s="4"/>
      <c r="J113" s="5"/>
      <c r="K113" s="10"/>
      <c r="O113" s="6" t="s">
        <v>1344</v>
      </c>
      <c r="P113" s="6" t="s">
        <v>1345</v>
      </c>
      <c r="S113" s="6" t="s">
        <v>42</v>
      </c>
      <c r="T113" s="11">
        <v>550757</v>
      </c>
      <c r="U113" s="7">
        <v>15</v>
      </c>
      <c r="V113" s="6" t="s">
        <v>36</v>
      </c>
      <c r="W113" s="7">
        <v>15.9</v>
      </c>
      <c r="X113" s="6" t="s">
        <v>35</v>
      </c>
      <c r="Y113" s="7">
        <v>1.46</v>
      </c>
      <c r="Z113" s="7">
        <v>0.5</v>
      </c>
      <c r="AA113" s="6" t="s">
        <v>243</v>
      </c>
      <c r="AB113" s="6" t="s">
        <v>321</v>
      </c>
      <c r="AC113" s="6" t="s">
        <v>321</v>
      </c>
      <c r="AD113" s="6" t="s">
        <v>39</v>
      </c>
      <c r="AE113" s="6" t="s">
        <v>1244</v>
      </c>
      <c r="AF113" s="11">
        <v>1</v>
      </c>
      <c r="AG113" s="6" t="s">
        <v>37</v>
      </c>
      <c r="AH113" s="7">
        <v>60</v>
      </c>
      <c r="AI113" s="6" t="s">
        <v>40</v>
      </c>
      <c r="AJ113" s="6" t="s">
        <v>238</v>
      </c>
      <c r="AK113" s="6" t="s">
        <v>241</v>
      </c>
      <c r="AL113" s="6" t="s">
        <v>41</v>
      </c>
    </row>
    <row r="114" spans="1:40" hidden="1" x14ac:dyDescent="0.25">
      <c r="A114" s="4">
        <v>45856</v>
      </c>
      <c r="B114" s="6" t="s">
        <v>117</v>
      </c>
      <c r="C114" s="6" t="str">
        <f>_xlfn.XLOOKUP(Table3[[#This Row],[station]],station_waterbody_county!A:A, station_waterbody_county!B:B)</f>
        <v>Green Harbour</v>
      </c>
      <c r="D114" s="3" t="str">
        <f>_xlfn.XLOOKUP(Table3[[#This Row],[station]],station_waterbody_county!A:A, station_waterbody_county!C:C)</f>
        <v>Shelburne</v>
      </c>
      <c r="E114" s="6"/>
      <c r="F114" s="6" t="s">
        <v>34</v>
      </c>
      <c r="G114" s="12">
        <v>45847</v>
      </c>
      <c r="H114" s="5">
        <v>0.8305555555555556</v>
      </c>
      <c r="I114" s="4"/>
      <c r="J114" s="5"/>
      <c r="K114" s="10"/>
      <c r="O114" s="6" t="s">
        <v>1344</v>
      </c>
      <c r="P114" s="6" t="s">
        <v>1345</v>
      </c>
      <c r="S114" s="6" t="s">
        <v>239</v>
      </c>
      <c r="T114" s="11">
        <v>22278863</v>
      </c>
      <c r="U114" s="7">
        <v>15</v>
      </c>
      <c r="V114" s="6" t="s">
        <v>36</v>
      </c>
      <c r="W114" s="7">
        <v>15.9</v>
      </c>
      <c r="X114" s="6" t="s">
        <v>35</v>
      </c>
      <c r="Y114" s="7">
        <v>1.46</v>
      </c>
      <c r="Z114" s="7">
        <v>0.5</v>
      </c>
      <c r="AA114" s="6" t="s">
        <v>243</v>
      </c>
      <c r="AB114" s="6" t="s">
        <v>321</v>
      </c>
      <c r="AC114" s="6" t="s">
        <v>321</v>
      </c>
      <c r="AD114" s="6" t="s">
        <v>39</v>
      </c>
      <c r="AE114" s="6" t="s">
        <v>1244</v>
      </c>
      <c r="AF114" s="11">
        <v>1</v>
      </c>
      <c r="AG114" s="6" t="s">
        <v>37</v>
      </c>
      <c r="AH114" s="7">
        <v>60</v>
      </c>
      <c r="AI114" s="6" t="s">
        <v>40</v>
      </c>
      <c r="AJ114" s="6" t="s">
        <v>238</v>
      </c>
      <c r="AK114" s="6" t="s">
        <v>241</v>
      </c>
      <c r="AL114" s="6" t="s">
        <v>41</v>
      </c>
    </row>
    <row r="115" spans="1:40" hidden="1" x14ac:dyDescent="0.25">
      <c r="A115" s="4">
        <v>45481</v>
      </c>
      <c r="B115" s="6" t="s">
        <v>386</v>
      </c>
      <c r="C115" t="str">
        <f>_xlfn.XLOOKUP(Table3[[#This Row],[station]],station_waterbody_county!A:A, station_waterbody_county!B:B)</f>
        <v>Fishermans Harbour</v>
      </c>
      <c r="D115" t="str">
        <f>_xlfn.XLOOKUP(Table3[[#This Row],[station]],station_waterbody_county!A:A, station_waterbody_county!C:C)</f>
        <v>Guysborough</v>
      </c>
      <c r="E115" s="6"/>
      <c r="F115" s="6" t="s">
        <v>310</v>
      </c>
      <c r="G115" s="4">
        <v>44757</v>
      </c>
      <c r="H115" s="5"/>
      <c r="I115" s="4">
        <v>45217</v>
      </c>
      <c r="J115" s="5"/>
      <c r="K115" s="10">
        <v>45.083765999999997</v>
      </c>
      <c r="L115" s="10">
        <v>-61.646531000000003</v>
      </c>
      <c r="O115" s="6" t="s">
        <v>381</v>
      </c>
      <c r="P115" s="6" t="s">
        <v>382</v>
      </c>
      <c r="S115" s="6" t="s">
        <v>239</v>
      </c>
      <c r="T115" s="11">
        <v>21152409</v>
      </c>
      <c r="U115" s="7">
        <v>7</v>
      </c>
      <c r="V115" s="6" t="s">
        <v>36</v>
      </c>
      <c r="W115" s="7">
        <v>13.4</v>
      </c>
      <c r="X115" s="6" t="s">
        <v>35</v>
      </c>
      <c r="Y115" s="7"/>
      <c r="AA115" s="6"/>
      <c r="AB115" s="6" t="s">
        <v>38</v>
      </c>
      <c r="AE115" s="6"/>
      <c r="AG115" s="6" t="s">
        <v>37</v>
      </c>
      <c r="AH115" s="7">
        <v>60</v>
      </c>
      <c r="AI115" s="6" t="s">
        <v>40</v>
      </c>
      <c r="AJ115" s="6" t="s">
        <v>238</v>
      </c>
      <c r="AK115" s="6" t="s">
        <v>241</v>
      </c>
      <c r="AL115" s="6" t="s">
        <v>383</v>
      </c>
      <c r="AM115" s="6" t="s">
        <v>383</v>
      </c>
      <c r="AN115" s="6" t="s">
        <v>384</v>
      </c>
    </row>
    <row r="116" spans="1:40" x14ac:dyDescent="0.25">
      <c r="A116" s="4">
        <v>45944</v>
      </c>
      <c r="B116" s="6" t="s">
        <v>119</v>
      </c>
      <c r="C116" t="str">
        <f>_xlfn.XLOOKUP(Table3[[#This Row],[station]],station_waterbody_county!A:A, station_waterbody_county!B:B)</f>
        <v>Whitehead Harbour</v>
      </c>
      <c r="D116" t="str">
        <f>_xlfn.XLOOKUP(Table3[[#This Row],[station]],station_waterbody_county!A:A, station_waterbody_county!C:C)</f>
        <v>Guysborough</v>
      </c>
      <c r="E116" s="6" t="s">
        <v>273</v>
      </c>
      <c r="F116" s="6" t="s">
        <v>310</v>
      </c>
      <c r="G116" s="4">
        <v>45600</v>
      </c>
      <c r="H116" s="5">
        <v>0.52430555555555558</v>
      </c>
      <c r="I116" s="4">
        <v>45919</v>
      </c>
      <c r="J116" s="5">
        <v>0.48680555555555555</v>
      </c>
      <c r="K116" s="10"/>
      <c r="O116" s="6" t="s">
        <v>543</v>
      </c>
      <c r="P116" s="6" t="s">
        <v>544</v>
      </c>
      <c r="Q116" s="6" t="s">
        <v>1450</v>
      </c>
      <c r="R116" s="6" t="s">
        <v>1451</v>
      </c>
      <c r="S116" s="6" t="s">
        <v>239</v>
      </c>
      <c r="T116" s="11">
        <v>22048592</v>
      </c>
      <c r="U116" s="7">
        <v>1</v>
      </c>
      <c r="V116" s="6" t="s">
        <v>246</v>
      </c>
      <c r="W116" s="7"/>
      <c r="X116" s="6" t="s">
        <v>241</v>
      </c>
      <c r="Y116" s="7"/>
      <c r="AA116" s="6"/>
      <c r="AE116" s="6"/>
      <c r="AH116" s="7"/>
      <c r="AI116" s="6" t="s">
        <v>40</v>
      </c>
      <c r="AJ116" s="6" t="s">
        <v>238</v>
      </c>
      <c r="AL116" s="6" t="s">
        <v>536</v>
      </c>
      <c r="AM116" s="6" t="s">
        <v>1424</v>
      </c>
    </row>
    <row r="117" spans="1:40" hidden="1" x14ac:dyDescent="0.25">
      <c r="A117" s="12">
        <v>45608</v>
      </c>
      <c r="B117" s="6" t="s">
        <v>119</v>
      </c>
      <c r="C117" t="str">
        <f>_xlfn.XLOOKUP(Table3[[#This Row],[station]],station_waterbody_county!A:A, station_waterbody_county!B:B)</f>
        <v>Whitehead Harbour</v>
      </c>
      <c r="D117" t="str">
        <f>_xlfn.XLOOKUP(Table3[[#This Row],[station]],station_waterbody_county!A:A, station_waterbody_county!C:C)</f>
        <v>Guysborough</v>
      </c>
      <c r="E117" s="6" t="s">
        <v>273</v>
      </c>
      <c r="F117" s="6" t="s">
        <v>310</v>
      </c>
      <c r="G117" s="12">
        <v>45244</v>
      </c>
      <c r="H117" s="5"/>
      <c r="I117" s="4">
        <v>45600</v>
      </c>
      <c r="J117" s="5">
        <v>0.5229166666666667</v>
      </c>
      <c r="K117" s="10">
        <v>45.255457999999997</v>
      </c>
      <c r="L117" s="10">
        <v>-61.146013000000004</v>
      </c>
      <c r="O117" s="6"/>
      <c r="Q117" s="6" t="s">
        <v>543</v>
      </c>
      <c r="R117" s="6" t="s">
        <v>544</v>
      </c>
      <c r="S117" s="6" t="s">
        <v>239</v>
      </c>
      <c r="T117" s="11">
        <v>20308050</v>
      </c>
      <c r="U117" s="7">
        <v>1</v>
      </c>
      <c r="V117" s="6" t="s">
        <v>246</v>
      </c>
      <c r="W117" s="7"/>
      <c r="X117" s="6" t="s">
        <v>241</v>
      </c>
      <c r="Y117" s="7"/>
      <c r="AA117" s="6"/>
      <c r="AE117" s="6"/>
      <c r="AH117" s="7"/>
      <c r="AI117" s="6" t="s">
        <v>40</v>
      </c>
      <c r="AJ117" s="6" t="s">
        <v>238</v>
      </c>
      <c r="AK117" s="6" t="s">
        <v>35</v>
      </c>
      <c r="AL117" s="6" t="s">
        <v>274</v>
      </c>
      <c r="AM117" s="6" t="s">
        <v>536</v>
      </c>
      <c r="AN117" s="6" t="s">
        <v>247</v>
      </c>
    </row>
    <row r="118" spans="1:40" hidden="1" x14ac:dyDescent="0.25">
      <c r="A118" s="4">
        <v>45863</v>
      </c>
      <c r="B118" s="6" t="s">
        <v>1317</v>
      </c>
      <c r="C118" t="str">
        <f>_xlfn.XLOOKUP(Table3[[#This Row],[station]],station_waterbody_county!A:A, station_waterbody_county!B:B)</f>
        <v>West Bay</v>
      </c>
      <c r="D118" t="str">
        <f>_xlfn.XLOOKUP(Table3[[#This Row],[station]],station_waterbody_county!A:A, station_waterbody_county!C:C)</f>
        <v>Inverness</v>
      </c>
      <c r="E118" s="6"/>
      <c r="F118" s="6" t="s">
        <v>34</v>
      </c>
      <c r="G118" s="12">
        <v>45826</v>
      </c>
      <c r="H118" s="5">
        <v>0.58472222222222225</v>
      </c>
      <c r="I118" s="4"/>
      <c r="J118" s="5"/>
      <c r="K118" s="10"/>
      <c r="O118" s="6" t="s">
        <v>1321</v>
      </c>
      <c r="P118" s="6" t="s">
        <v>1322</v>
      </c>
      <c r="S118" s="6" t="s">
        <v>239</v>
      </c>
      <c r="T118" s="11">
        <v>20820377</v>
      </c>
      <c r="U118" s="7">
        <v>2</v>
      </c>
      <c r="V118" s="6" t="s">
        <v>36</v>
      </c>
      <c r="W118" s="7"/>
      <c r="X118" s="6" t="s">
        <v>35</v>
      </c>
      <c r="Y118" s="7">
        <v>0.4</v>
      </c>
      <c r="Z118" s="7">
        <v>0.5</v>
      </c>
      <c r="AA118" s="6" t="s">
        <v>251</v>
      </c>
      <c r="AB118" s="6" t="s">
        <v>38</v>
      </c>
      <c r="AD118" s="6" t="s">
        <v>39</v>
      </c>
      <c r="AE118" s="6" t="s">
        <v>40</v>
      </c>
      <c r="AG118" s="6" t="s">
        <v>37</v>
      </c>
      <c r="AH118" s="7">
        <v>60</v>
      </c>
      <c r="AI118" s="6" t="s">
        <v>40</v>
      </c>
      <c r="AJ118" s="6" t="s">
        <v>238</v>
      </c>
      <c r="AL118" s="6" t="s">
        <v>1320</v>
      </c>
    </row>
    <row r="119" spans="1:40" hidden="1" x14ac:dyDescent="0.25">
      <c r="A119" s="4">
        <v>45863</v>
      </c>
      <c r="B119" s="6" t="s">
        <v>1317</v>
      </c>
      <c r="C119" t="str">
        <f>_xlfn.XLOOKUP(Table3[[#This Row],[station]],station_waterbody_county!A:A, station_waterbody_county!B:B)</f>
        <v>West Bay</v>
      </c>
      <c r="D119" t="str">
        <f>_xlfn.XLOOKUP(Table3[[#This Row],[station]],station_waterbody_county!A:A, station_waterbody_county!C:C)</f>
        <v>Inverness</v>
      </c>
      <c r="E119" s="6"/>
      <c r="F119" s="6" t="s">
        <v>34</v>
      </c>
      <c r="G119" s="12">
        <v>45826</v>
      </c>
      <c r="H119" s="5">
        <v>0.58472222222222225</v>
      </c>
      <c r="I119" s="4"/>
      <c r="J119" s="5"/>
      <c r="K119" s="10"/>
      <c r="O119" s="6" t="s">
        <v>1321</v>
      </c>
      <c r="P119" s="6" t="s">
        <v>1322</v>
      </c>
      <c r="S119" s="6" t="s">
        <v>240</v>
      </c>
      <c r="T119" s="11">
        <v>670359</v>
      </c>
      <c r="U119" s="7">
        <v>5</v>
      </c>
      <c r="V119" s="6" t="s">
        <v>36</v>
      </c>
      <c r="W119" s="7"/>
      <c r="X119" s="6" t="s">
        <v>35</v>
      </c>
      <c r="Y119" s="7">
        <v>0.4</v>
      </c>
      <c r="Z119" s="7">
        <v>0.5</v>
      </c>
      <c r="AA119" s="6" t="s">
        <v>251</v>
      </c>
      <c r="AB119" s="6" t="s">
        <v>38</v>
      </c>
      <c r="AD119" s="6" t="s">
        <v>39</v>
      </c>
      <c r="AE119" s="6" t="s">
        <v>40</v>
      </c>
      <c r="AG119" s="6" t="s">
        <v>37</v>
      </c>
      <c r="AH119" s="7">
        <v>60</v>
      </c>
      <c r="AI119" s="6" t="s">
        <v>40</v>
      </c>
      <c r="AJ119" s="6" t="s">
        <v>238</v>
      </c>
      <c r="AL119" s="6" t="s">
        <v>1320</v>
      </c>
    </row>
    <row r="120" spans="1:40" hidden="1" x14ac:dyDescent="0.25">
      <c r="A120" s="4">
        <v>45863</v>
      </c>
      <c r="B120" s="6" t="s">
        <v>1317</v>
      </c>
      <c r="C120" t="str">
        <f>_xlfn.XLOOKUP(Table3[[#This Row],[station]],station_waterbody_county!A:A, station_waterbody_county!B:B)</f>
        <v>West Bay</v>
      </c>
      <c r="D120" t="str">
        <f>_xlfn.XLOOKUP(Table3[[#This Row],[station]],station_waterbody_county!A:A, station_waterbody_county!C:C)</f>
        <v>Inverness</v>
      </c>
      <c r="E120" s="6"/>
      <c r="F120" s="6" t="s">
        <v>34</v>
      </c>
      <c r="G120" s="12">
        <v>45826</v>
      </c>
      <c r="H120" s="5">
        <v>0.58472222222222225</v>
      </c>
      <c r="I120" s="4"/>
      <c r="J120" s="5"/>
      <c r="K120" s="10"/>
      <c r="O120" s="6" t="s">
        <v>1321</v>
      </c>
      <c r="P120" s="6" t="s">
        <v>1322</v>
      </c>
      <c r="S120" s="6" t="s">
        <v>239</v>
      </c>
      <c r="T120" s="11">
        <v>22048580</v>
      </c>
      <c r="U120" s="7">
        <v>10</v>
      </c>
      <c r="V120" s="6" t="s">
        <v>36</v>
      </c>
      <c r="W120" s="7"/>
      <c r="X120" s="6" t="s">
        <v>35</v>
      </c>
      <c r="Y120" s="7">
        <v>0.4</v>
      </c>
      <c r="Z120" s="7">
        <v>0.5</v>
      </c>
      <c r="AA120" s="6" t="s">
        <v>251</v>
      </c>
      <c r="AB120" s="6" t="s">
        <v>38</v>
      </c>
      <c r="AD120" s="6" t="s">
        <v>39</v>
      </c>
      <c r="AE120" s="6" t="s">
        <v>40</v>
      </c>
      <c r="AG120" s="6" t="s">
        <v>37</v>
      </c>
      <c r="AH120" s="7">
        <v>60</v>
      </c>
      <c r="AI120" s="6" t="s">
        <v>40</v>
      </c>
      <c r="AJ120" s="6" t="s">
        <v>238</v>
      </c>
      <c r="AL120" s="6" t="s">
        <v>1320</v>
      </c>
    </row>
    <row r="121" spans="1:40" hidden="1" x14ac:dyDescent="0.25">
      <c r="A121" s="4">
        <v>45863</v>
      </c>
      <c r="B121" s="6" t="s">
        <v>1317</v>
      </c>
      <c r="C121" t="str">
        <f>_xlfn.XLOOKUP(Table3[[#This Row],[station]],station_waterbody_county!A:A, station_waterbody_county!B:B)</f>
        <v>West Bay</v>
      </c>
      <c r="D121" t="str">
        <f>_xlfn.XLOOKUP(Table3[[#This Row],[station]],station_waterbody_county!A:A, station_waterbody_county!C:C)</f>
        <v>Inverness</v>
      </c>
      <c r="E121" s="6"/>
      <c r="F121" s="6" t="s">
        <v>34</v>
      </c>
      <c r="G121" s="12">
        <v>45826</v>
      </c>
      <c r="H121" s="5">
        <v>0.58472222222222225</v>
      </c>
      <c r="I121" s="4"/>
      <c r="J121" s="5"/>
      <c r="K121" s="10"/>
      <c r="O121" s="6" t="s">
        <v>1321</v>
      </c>
      <c r="P121" s="6" t="s">
        <v>1322</v>
      </c>
      <c r="S121" s="6" t="s">
        <v>239</v>
      </c>
      <c r="T121" s="11">
        <v>22309999</v>
      </c>
      <c r="U121" s="7">
        <v>15</v>
      </c>
      <c r="V121" s="6" t="s">
        <v>36</v>
      </c>
      <c r="W121" s="7"/>
      <c r="X121" s="6" t="s">
        <v>35</v>
      </c>
      <c r="Y121" s="7">
        <v>0.4</v>
      </c>
      <c r="Z121" s="7">
        <v>0.5</v>
      </c>
      <c r="AA121" s="6" t="s">
        <v>251</v>
      </c>
      <c r="AB121" s="6" t="s">
        <v>38</v>
      </c>
      <c r="AD121" s="6" t="s">
        <v>39</v>
      </c>
      <c r="AE121" s="6" t="s">
        <v>40</v>
      </c>
      <c r="AG121" s="6" t="s">
        <v>37</v>
      </c>
      <c r="AH121" s="7">
        <v>60</v>
      </c>
      <c r="AI121" s="6" t="s">
        <v>40</v>
      </c>
      <c r="AJ121" s="6" t="s">
        <v>238</v>
      </c>
      <c r="AL121" s="6" t="s">
        <v>1320</v>
      </c>
    </row>
    <row r="122" spans="1:40" hidden="1" x14ac:dyDescent="0.25">
      <c r="A122" s="4">
        <v>45863</v>
      </c>
      <c r="B122" s="6" t="s">
        <v>1317</v>
      </c>
      <c r="C122" t="str">
        <f>_xlfn.XLOOKUP(Table3[[#This Row],[station]],station_waterbody_county!A:A, station_waterbody_county!B:B)</f>
        <v>West Bay</v>
      </c>
      <c r="D122" t="str">
        <f>_xlfn.XLOOKUP(Table3[[#This Row],[station]],station_waterbody_county!A:A, station_waterbody_county!C:C)</f>
        <v>Inverness</v>
      </c>
      <c r="E122" s="6"/>
      <c r="F122" s="6" t="s">
        <v>34</v>
      </c>
      <c r="G122" s="12">
        <v>45826</v>
      </c>
      <c r="H122" s="5">
        <v>0.58472222222222225</v>
      </c>
      <c r="I122" s="4"/>
      <c r="J122" s="5"/>
      <c r="K122" s="10"/>
      <c r="O122" s="6" t="s">
        <v>1321</v>
      </c>
      <c r="P122" s="6" t="s">
        <v>1322</v>
      </c>
      <c r="S122" s="6" t="s">
        <v>42</v>
      </c>
      <c r="T122" s="11">
        <v>547090</v>
      </c>
      <c r="U122" s="7">
        <v>20</v>
      </c>
      <c r="V122" s="6" t="s">
        <v>36</v>
      </c>
      <c r="W122" s="7"/>
      <c r="X122" s="6" t="s">
        <v>35</v>
      </c>
      <c r="Y122" s="7">
        <v>0.4</v>
      </c>
      <c r="Z122" s="7">
        <v>0.5</v>
      </c>
      <c r="AA122" s="6" t="s">
        <v>251</v>
      </c>
      <c r="AB122" s="6" t="s">
        <v>38</v>
      </c>
      <c r="AD122" s="6" t="s">
        <v>39</v>
      </c>
      <c r="AE122" s="6" t="s">
        <v>40</v>
      </c>
      <c r="AG122" s="6" t="s">
        <v>37</v>
      </c>
      <c r="AH122" s="7">
        <v>60</v>
      </c>
      <c r="AI122" s="6" t="s">
        <v>40</v>
      </c>
      <c r="AJ122" s="6" t="s">
        <v>238</v>
      </c>
      <c r="AL122" s="6" t="s">
        <v>1320</v>
      </c>
    </row>
    <row r="123" spans="1:40" hidden="1" x14ac:dyDescent="0.25">
      <c r="A123" s="4">
        <v>45863</v>
      </c>
      <c r="B123" s="6" t="s">
        <v>1317</v>
      </c>
      <c r="C123" t="str">
        <f>_xlfn.XLOOKUP(Table3[[#This Row],[station]],station_waterbody_county!A:A, station_waterbody_county!B:B)</f>
        <v>West Bay</v>
      </c>
      <c r="D123" t="str">
        <f>_xlfn.XLOOKUP(Table3[[#This Row],[station]],station_waterbody_county!A:A, station_waterbody_county!C:C)</f>
        <v>Inverness</v>
      </c>
      <c r="E123" s="6"/>
      <c r="F123" s="6" t="s">
        <v>34</v>
      </c>
      <c r="G123" s="12">
        <v>45826</v>
      </c>
      <c r="H123" s="5">
        <v>0.58472222222222225</v>
      </c>
      <c r="I123" s="4"/>
      <c r="J123" s="5"/>
      <c r="K123" s="10"/>
      <c r="O123" s="6" t="s">
        <v>1321</v>
      </c>
      <c r="P123" s="6" t="s">
        <v>1322</v>
      </c>
      <c r="S123" s="6" t="s">
        <v>239</v>
      </c>
      <c r="T123" s="11">
        <v>22309990</v>
      </c>
      <c r="U123" s="7">
        <v>20</v>
      </c>
      <c r="V123" s="6" t="s">
        <v>36</v>
      </c>
      <c r="W123" s="7"/>
      <c r="X123" s="6" t="s">
        <v>35</v>
      </c>
      <c r="Y123" s="7">
        <v>0.4</v>
      </c>
      <c r="Z123" s="7">
        <v>0.5</v>
      </c>
      <c r="AA123" s="6" t="s">
        <v>251</v>
      </c>
      <c r="AB123" s="6" t="s">
        <v>38</v>
      </c>
      <c r="AD123" s="6" t="s">
        <v>39</v>
      </c>
      <c r="AE123" s="6" t="s">
        <v>40</v>
      </c>
      <c r="AG123" s="6" t="s">
        <v>37</v>
      </c>
      <c r="AH123" s="7">
        <v>60</v>
      </c>
      <c r="AI123" s="6" t="s">
        <v>40</v>
      </c>
      <c r="AJ123" s="6" t="s">
        <v>238</v>
      </c>
      <c r="AL123" s="6" t="s">
        <v>1320</v>
      </c>
    </row>
    <row r="124" spans="1:40" x14ac:dyDescent="0.25">
      <c r="A124" s="4">
        <v>45596</v>
      </c>
      <c r="B124" s="6" t="s">
        <v>124</v>
      </c>
      <c r="C124" t="str">
        <f>_xlfn.XLOOKUP(Table3[[#This Row],[station]],station_waterbody_county!A:A, station_waterbody_county!B:B)</f>
        <v>Grahams Cove</v>
      </c>
      <c r="D124" t="str">
        <f>_xlfn.XLOOKUP(Table3[[#This Row],[station]],station_waterbody_county!A:A, station_waterbody_county!C:C)</f>
        <v>Antigonish</v>
      </c>
      <c r="E124" s="6"/>
      <c r="F124" s="6" t="s">
        <v>310</v>
      </c>
      <c r="G124" s="4">
        <v>45427</v>
      </c>
      <c r="H124" s="5">
        <v>0.49027777777777776</v>
      </c>
      <c r="I124" s="4">
        <v>45583</v>
      </c>
      <c r="J124" s="5">
        <v>0.50694444444444442</v>
      </c>
      <c r="K124" s="10"/>
      <c r="O124" s="6" t="s">
        <v>303</v>
      </c>
      <c r="P124" s="6" t="s">
        <v>316</v>
      </c>
      <c r="Q124" s="6" t="s">
        <v>519</v>
      </c>
      <c r="R124" s="6" t="s">
        <v>520</v>
      </c>
      <c r="S124" s="6" t="s">
        <v>239</v>
      </c>
      <c r="T124" s="11">
        <v>21927308</v>
      </c>
      <c r="U124" s="7">
        <v>0.4</v>
      </c>
      <c r="V124" s="6" t="s">
        <v>36</v>
      </c>
      <c r="W124" s="7">
        <v>3.6</v>
      </c>
      <c r="X124" s="6" t="s">
        <v>35</v>
      </c>
      <c r="Y124" s="7"/>
      <c r="Z124" s="7">
        <v>0.5</v>
      </c>
      <c r="AA124" s="6" t="s">
        <v>243</v>
      </c>
      <c r="AB124" s="6" t="s">
        <v>39</v>
      </c>
      <c r="AE124" s="6"/>
      <c r="AG124" s="6" t="s">
        <v>315</v>
      </c>
      <c r="AH124" s="7">
        <v>25</v>
      </c>
      <c r="AI124" s="6" t="s">
        <v>40</v>
      </c>
      <c r="AJ124" s="6" t="s">
        <v>238</v>
      </c>
      <c r="AK124" s="6" t="s">
        <v>241</v>
      </c>
      <c r="AL124" s="6" t="s">
        <v>41</v>
      </c>
      <c r="AM124" s="6" t="s">
        <v>41</v>
      </c>
    </row>
    <row r="125" spans="1:40" x14ac:dyDescent="0.25">
      <c r="A125" s="4">
        <v>45596</v>
      </c>
      <c r="B125" s="6" t="s">
        <v>124</v>
      </c>
      <c r="C125" t="str">
        <f>_xlfn.XLOOKUP(Table3[[#This Row],[station]],station_waterbody_county!A:A, station_waterbody_county!B:B)</f>
        <v>Grahams Cove</v>
      </c>
      <c r="D125" t="str">
        <f>_xlfn.XLOOKUP(Table3[[#This Row],[station]],station_waterbody_county!A:A, station_waterbody_county!C:C)</f>
        <v>Antigonish</v>
      </c>
      <c r="E125" s="6"/>
      <c r="F125" s="6" t="s">
        <v>310</v>
      </c>
      <c r="G125" s="4">
        <v>45427</v>
      </c>
      <c r="H125" s="5">
        <v>0.49027777777777776</v>
      </c>
      <c r="I125" s="4">
        <v>45583</v>
      </c>
      <c r="J125" s="5">
        <v>0.50694444444444442</v>
      </c>
      <c r="K125" s="10"/>
      <c r="O125" s="6" t="s">
        <v>303</v>
      </c>
      <c r="P125" s="6" t="s">
        <v>316</v>
      </c>
      <c r="Q125" s="6" t="s">
        <v>519</v>
      </c>
      <c r="R125" s="6" t="s">
        <v>520</v>
      </c>
      <c r="S125" s="6" t="s">
        <v>42</v>
      </c>
      <c r="T125" s="11">
        <v>548571</v>
      </c>
      <c r="U125" s="7">
        <v>1.3</v>
      </c>
      <c r="V125" s="6" t="s">
        <v>36</v>
      </c>
      <c r="W125" s="7">
        <v>3.6</v>
      </c>
      <c r="X125" s="6" t="s">
        <v>35</v>
      </c>
      <c r="Y125" s="7"/>
      <c r="Z125" s="7">
        <v>0.5</v>
      </c>
      <c r="AA125" s="6" t="s">
        <v>243</v>
      </c>
      <c r="AB125" s="6" t="s">
        <v>39</v>
      </c>
      <c r="AE125" s="6"/>
      <c r="AG125" s="6" t="s">
        <v>315</v>
      </c>
      <c r="AH125" s="7">
        <v>25</v>
      </c>
      <c r="AI125" s="6" t="s">
        <v>40</v>
      </c>
      <c r="AJ125" s="6" t="s">
        <v>238</v>
      </c>
      <c r="AK125" s="6" t="s">
        <v>241</v>
      </c>
      <c r="AL125" s="6" t="s">
        <v>41</v>
      </c>
      <c r="AM125" s="6" t="s">
        <v>41</v>
      </c>
    </row>
    <row r="126" spans="1:40" hidden="1" x14ac:dyDescent="0.25">
      <c r="A126" s="12">
        <v>45678</v>
      </c>
      <c r="B126" s="6" t="s">
        <v>124</v>
      </c>
      <c r="C126" t="str">
        <f>_xlfn.XLOOKUP(Table3[[#This Row],[station]],station_waterbody_county!A:A, station_waterbody_county!B:B)</f>
        <v>Grahams Cove</v>
      </c>
      <c r="D126" t="str">
        <f>_xlfn.XLOOKUP(Table3[[#This Row],[station]],station_waterbody_county!A:A, station_waterbody_county!C:C)</f>
        <v>Antigonish</v>
      </c>
      <c r="E126" s="6"/>
      <c r="F126" s="6" t="s">
        <v>310</v>
      </c>
      <c r="G126" s="12">
        <v>45231</v>
      </c>
      <c r="H126" s="5"/>
      <c r="I126" s="4">
        <v>45427</v>
      </c>
      <c r="J126" s="5">
        <v>0.47916666666666669</v>
      </c>
      <c r="K126" s="10">
        <v>45.674810999999998</v>
      </c>
      <c r="L126" s="10">
        <v>-61.907853000000003</v>
      </c>
      <c r="O126" s="6"/>
      <c r="Q126" s="6" t="s">
        <v>304</v>
      </c>
      <c r="R126" s="6" t="s">
        <v>305</v>
      </c>
      <c r="S126" s="6" t="s">
        <v>239</v>
      </c>
      <c r="T126" s="11">
        <v>20291441</v>
      </c>
      <c r="U126" s="7">
        <v>0.4</v>
      </c>
      <c r="V126" s="6" t="s">
        <v>36</v>
      </c>
      <c r="W126" s="7"/>
      <c r="X126" s="6" t="s">
        <v>35</v>
      </c>
      <c r="Y126" s="7"/>
      <c r="Z126" s="7">
        <v>0.6</v>
      </c>
      <c r="AA126" s="6"/>
      <c r="AB126" s="6" t="s">
        <v>39</v>
      </c>
      <c r="AE126" s="6"/>
      <c r="AG126" s="6" t="s">
        <v>249</v>
      </c>
      <c r="AH126" s="7"/>
      <c r="AI126" s="6" t="s">
        <v>40</v>
      </c>
      <c r="AJ126" s="6" t="s">
        <v>238</v>
      </c>
      <c r="AL126" s="6" t="s">
        <v>276</v>
      </c>
      <c r="AM126" s="6" t="s">
        <v>41</v>
      </c>
    </row>
    <row r="127" spans="1:40" hidden="1" x14ac:dyDescent="0.25">
      <c r="A127" s="12">
        <v>45678</v>
      </c>
      <c r="B127" s="6" t="s">
        <v>124</v>
      </c>
      <c r="C127" t="str">
        <f>_xlfn.XLOOKUP(Table3[[#This Row],[station]],station_waterbody_county!A:A, station_waterbody_county!B:B)</f>
        <v>Grahams Cove</v>
      </c>
      <c r="D127" t="str">
        <f>_xlfn.XLOOKUP(Table3[[#This Row],[station]],station_waterbody_county!A:A, station_waterbody_county!C:C)</f>
        <v>Antigonish</v>
      </c>
      <c r="E127" s="6"/>
      <c r="F127" s="6" t="s">
        <v>310</v>
      </c>
      <c r="G127" s="12">
        <v>45231</v>
      </c>
      <c r="H127" s="5"/>
      <c r="I127" s="4">
        <v>45427</v>
      </c>
      <c r="J127" s="5">
        <v>0.47916666666666669</v>
      </c>
      <c r="K127" s="10">
        <v>45.674810999999998</v>
      </c>
      <c r="L127" s="10">
        <v>-61.907853000000003</v>
      </c>
      <c r="O127" s="6"/>
      <c r="Q127" s="6" t="s">
        <v>304</v>
      </c>
      <c r="R127" s="6" t="s">
        <v>305</v>
      </c>
      <c r="S127" s="6" t="s">
        <v>42</v>
      </c>
      <c r="T127" s="11">
        <v>547099</v>
      </c>
      <c r="U127" s="7">
        <v>1.3</v>
      </c>
      <c r="V127" s="6" t="s">
        <v>36</v>
      </c>
      <c r="W127" s="7"/>
      <c r="X127" s="6" t="s">
        <v>35</v>
      </c>
      <c r="Y127" s="7"/>
      <c r="Z127" s="7">
        <v>0.6</v>
      </c>
      <c r="AA127" s="6"/>
      <c r="AB127" s="6" t="s">
        <v>39</v>
      </c>
      <c r="AE127" s="6"/>
      <c r="AG127" s="6" t="s">
        <v>249</v>
      </c>
      <c r="AH127" s="7"/>
      <c r="AI127" s="6" t="s">
        <v>40</v>
      </c>
      <c r="AJ127" s="6" t="s">
        <v>238</v>
      </c>
      <c r="AL127" s="6" t="s">
        <v>276</v>
      </c>
      <c r="AM127" s="6" t="s">
        <v>41</v>
      </c>
    </row>
    <row r="128" spans="1:40" x14ac:dyDescent="0.25">
      <c r="A128" s="4">
        <v>45798</v>
      </c>
      <c r="B128" s="6" t="s">
        <v>124</v>
      </c>
      <c r="C128" t="str">
        <f>_xlfn.XLOOKUP(Table3[[#This Row],[station]],station_waterbody_county!A:A, station_waterbody_county!B:B)</f>
        <v>Grahams Cove</v>
      </c>
      <c r="D128" t="str">
        <f>_xlfn.XLOOKUP(Table3[[#This Row],[station]],station_waterbody_county!A:A, station_waterbody_county!C:C)</f>
        <v>Antigonish</v>
      </c>
      <c r="E128" s="6"/>
      <c r="F128" s="6" t="s">
        <v>310</v>
      </c>
      <c r="G128" s="4">
        <v>45583</v>
      </c>
      <c r="H128" s="5">
        <v>0.51527777777777772</v>
      </c>
      <c r="I128" s="4">
        <v>45792</v>
      </c>
      <c r="J128" s="5">
        <v>0.75902777777777775</v>
      </c>
      <c r="K128" s="10"/>
      <c r="O128" s="6" t="s">
        <v>521</v>
      </c>
      <c r="P128" s="6" t="s">
        <v>522</v>
      </c>
      <c r="Q128" s="6" t="s">
        <v>1290</v>
      </c>
      <c r="R128" s="6" t="s">
        <v>1291</v>
      </c>
      <c r="S128" s="6" t="s">
        <v>239</v>
      </c>
      <c r="T128" s="11">
        <v>20820334</v>
      </c>
      <c r="U128" s="7">
        <v>0.4</v>
      </c>
      <c r="V128" s="6" t="s">
        <v>36</v>
      </c>
      <c r="W128" s="7">
        <v>2.4</v>
      </c>
      <c r="X128" s="6" t="s">
        <v>35</v>
      </c>
      <c r="Y128" s="7">
        <v>1</v>
      </c>
      <c r="Z128" s="7">
        <v>0.5</v>
      </c>
      <c r="AA128" s="6" t="s">
        <v>243</v>
      </c>
      <c r="AB128" s="6" t="s">
        <v>39</v>
      </c>
      <c r="AE128" s="6"/>
      <c r="AG128" s="6" t="s">
        <v>315</v>
      </c>
      <c r="AH128" s="7">
        <v>25</v>
      </c>
      <c r="AI128" s="6" t="s">
        <v>40</v>
      </c>
      <c r="AJ128" s="6" t="s">
        <v>238</v>
      </c>
      <c r="AL128" s="6" t="s">
        <v>41</v>
      </c>
      <c r="AM128" s="6" t="s">
        <v>41</v>
      </c>
      <c r="AN128" s="6" t="s">
        <v>1307</v>
      </c>
    </row>
    <row r="129" spans="1:40" x14ac:dyDescent="0.25">
      <c r="A129" s="4">
        <v>45798</v>
      </c>
      <c r="B129" s="6" t="s">
        <v>124</v>
      </c>
      <c r="C129" t="str">
        <f>_xlfn.XLOOKUP(Table3[[#This Row],[station]],station_waterbody_county!A:A, station_waterbody_county!B:B)</f>
        <v>Grahams Cove</v>
      </c>
      <c r="D129" t="str">
        <f>_xlfn.XLOOKUP(Table3[[#This Row],[station]],station_waterbody_county!A:A, station_waterbody_county!C:C)</f>
        <v>Antigonish</v>
      </c>
      <c r="E129" s="6"/>
      <c r="F129" s="6" t="s">
        <v>310</v>
      </c>
      <c r="G129" s="4">
        <v>45583</v>
      </c>
      <c r="H129" s="5">
        <v>0.51527777777777772</v>
      </c>
      <c r="I129" s="4">
        <v>45792</v>
      </c>
      <c r="J129" s="5">
        <v>0.75902777777777775</v>
      </c>
      <c r="K129" s="10"/>
      <c r="O129" s="6" t="s">
        <v>521</v>
      </c>
      <c r="P129" s="6" t="s">
        <v>522</v>
      </c>
      <c r="Q129" s="6" t="s">
        <v>1290</v>
      </c>
      <c r="R129" s="6" t="s">
        <v>1291</v>
      </c>
      <c r="S129" s="6" t="s">
        <v>42</v>
      </c>
      <c r="T129" s="11">
        <v>547090</v>
      </c>
      <c r="U129" s="7">
        <v>1.3</v>
      </c>
      <c r="V129" s="6" t="s">
        <v>36</v>
      </c>
      <c r="W129" s="7">
        <v>2.4</v>
      </c>
      <c r="X129" s="6" t="s">
        <v>35</v>
      </c>
      <c r="Y129" s="7">
        <v>1</v>
      </c>
      <c r="Z129" s="7">
        <v>0.5</v>
      </c>
      <c r="AA129" s="6" t="s">
        <v>243</v>
      </c>
      <c r="AB129" s="6" t="s">
        <v>39</v>
      </c>
      <c r="AE129" s="6"/>
      <c r="AG129" s="6" t="s">
        <v>315</v>
      </c>
      <c r="AH129" s="7">
        <v>25</v>
      </c>
      <c r="AI129" s="6" t="s">
        <v>40</v>
      </c>
      <c r="AJ129" s="6" t="s">
        <v>238</v>
      </c>
      <c r="AL129" s="6" t="s">
        <v>41</v>
      </c>
      <c r="AM129" s="6" t="s">
        <v>41</v>
      </c>
      <c r="AN129" s="6" t="s">
        <v>1307</v>
      </c>
    </row>
    <row r="130" spans="1:40" hidden="1" x14ac:dyDescent="0.25">
      <c r="A130" s="4">
        <v>45798</v>
      </c>
      <c r="B130" s="6" t="s">
        <v>124</v>
      </c>
      <c r="C130" t="str">
        <f>_xlfn.XLOOKUP(Table3[[#This Row],[station]],station_waterbody_county!A:A, station_waterbody_county!B:B)</f>
        <v>Grahams Cove</v>
      </c>
      <c r="D130" t="str">
        <f>_xlfn.XLOOKUP(Table3[[#This Row],[station]],station_waterbody_county!A:A, station_waterbody_county!C:C)</f>
        <v>Antigonish</v>
      </c>
      <c r="E130" s="6"/>
      <c r="F130" s="6" t="s">
        <v>34</v>
      </c>
      <c r="G130" s="12">
        <v>45792</v>
      </c>
      <c r="H130" s="5">
        <v>0.76666666666666672</v>
      </c>
      <c r="I130" s="4"/>
      <c r="J130" s="5"/>
      <c r="K130" s="10"/>
      <c r="O130" s="6" t="s">
        <v>519</v>
      </c>
      <c r="P130" s="6" t="s">
        <v>520</v>
      </c>
      <c r="S130" s="6" t="s">
        <v>239</v>
      </c>
      <c r="T130" s="11">
        <v>22030596</v>
      </c>
      <c r="U130" s="7">
        <v>0.4</v>
      </c>
      <c r="V130" s="6" t="s">
        <v>36</v>
      </c>
      <c r="W130" s="7">
        <v>1.9</v>
      </c>
      <c r="X130" s="6" t="s">
        <v>35</v>
      </c>
      <c r="Y130" s="7">
        <v>0.8</v>
      </c>
      <c r="Z130" s="7">
        <v>0.5</v>
      </c>
      <c r="AA130" s="6" t="s">
        <v>251</v>
      </c>
      <c r="AB130" s="6" t="s">
        <v>39</v>
      </c>
      <c r="AE130" s="6" t="s">
        <v>40</v>
      </c>
      <c r="AG130" s="6" t="s">
        <v>315</v>
      </c>
      <c r="AH130" s="7">
        <v>25</v>
      </c>
      <c r="AI130" s="6" t="s">
        <v>40</v>
      </c>
      <c r="AJ130" s="6" t="s">
        <v>238</v>
      </c>
      <c r="AL130" s="6" t="s">
        <v>41</v>
      </c>
    </row>
    <row r="131" spans="1:40" hidden="1" x14ac:dyDescent="0.25">
      <c r="A131" s="4">
        <v>45798</v>
      </c>
      <c r="B131" s="6" t="s">
        <v>124</v>
      </c>
      <c r="C131" t="str">
        <f>_xlfn.XLOOKUP(Table3[[#This Row],[station]],station_waterbody_county!A:A, station_waterbody_county!B:B)</f>
        <v>Grahams Cove</v>
      </c>
      <c r="D131" t="str">
        <f>_xlfn.XLOOKUP(Table3[[#This Row],[station]],station_waterbody_county!A:A, station_waterbody_county!C:C)</f>
        <v>Antigonish</v>
      </c>
      <c r="E131" s="6"/>
      <c r="F131" s="6" t="s">
        <v>34</v>
      </c>
      <c r="G131" s="12">
        <v>45792</v>
      </c>
      <c r="H131" s="5">
        <v>0.76666666666666672</v>
      </c>
      <c r="I131" s="4"/>
      <c r="J131" s="5"/>
      <c r="K131" s="10"/>
      <c r="O131" s="6" t="s">
        <v>519</v>
      </c>
      <c r="P131" s="6" t="s">
        <v>520</v>
      </c>
      <c r="S131" s="6" t="s">
        <v>239</v>
      </c>
      <c r="T131" s="11">
        <v>22278826</v>
      </c>
      <c r="U131" s="7">
        <v>1.3</v>
      </c>
      <c r="V131" s="6" t="s">
        <v>36</v>
      </c>
      <c r="W131" s="7">
        <v>1.9</v>
      </c>
      <c r="X131" s="6" t="s">
        <v>35</v>
      </c>
      <c r="Y131" s="7">
        <v>0.8</v>
      </c>
      <c r="Z131" s="7">
        <v>0.5</v>
      </c>
      <c r="AA131" s="6" t="s">
        <v>251</v>
      </c>
      <c r="AB131" s="6" t="s">
        <v>39</v>
      </c>
      <c r="AE131" s="6" t="s">
        <v>40</v>
      </c>
      <c r="AG131" s="6" t="s">
        <v>315</v>
      </c>
      <c r="AH131" s="7">
        <v>25</v>
      </c>
      <c r="AI131" s="6" t="s">
        <v>40</v>
      </c>
      <c r="AJ131" s="6" t="s">
        <v>238</v>
      </c>
      <c r="AL131" s="6" t="s">
        <v>41</v>
      </c>
    </row>
    <row r="132" spans="1:40" hidden="1" x14ac:dyDescent="0.25">
      <c r="A132" s="4">
        <v>45798</v>
      </c>
      <c r="B132" s="6" t="s">
        <v>124</v>
      </c>
      <c r="C132" t="str">
        <f>_xlfn.XLOOKUP(Table3[[#This Row],[station]],station_waterbody_county!A:A, station_waterbody_county!B:B)</f>
        <v>Grahams Cove</v>
      </c>
      <c r="D132" t="str">
        <f>_xlfn.XLOOKUP(Table3[[#This Row],[station]],station_waterbody_county!A:A, station_waterbody_county!C:C)</f>
        <v>Antigonish</v>
      </c>
      <c r="E132" s="6"/>
      <c r="F132" s="6" t="s">
        <v>34</v>
      </c>
      <c r="G132" s="12">
        <v>45792</v>
      </c>
      <c r="H132" s="5">
        <v>0.76666666666666672</v>
      </c>
      <c r="I132" s="4"/>
      <c r="J132" s="5"/>
      <c r="K132" s="10"/>
      <c r="O132" s="6" t="s">
        <v>519</v>
      </c>
      <c r="P132" s="6" t="s">
        <v>520</v>
      </c>
      <c r="S132" s="6" t="s">
        <v>42</v>
      </c>
      <c r="T132" s="11">
        <v>547111</v>
      </c>
      <c r="U132" s="7">
        <v>1.3</v>
      </c>
      <c r="V132" s="6" t="s">
        <v>36</v>
      </c>
      <c r="W132" s="7">
        <v>1.9</v>
      </c>
      <c r="X132" s="6" t="s">
        <v>35</v>
      </c>
      <c r="Y132" s="7">
        <v>0.8</v>
      </c>
      <c r="Z132" s="7">
        <v>0.5</v>
      </c>
      <c r="AA132" s="6" t="s">
        <v>251</v>
      </c>
      <c r="AB132" s="6" t="s">
        <v>39</v>
      </c>
      <c r="AE132" s="6" t="s">
        <v>40</v>
      </c>
      <c r="AG132" s="6" t="s">
        <v>315</v>
      </c>
      <c r="AH132" s="7">
        <v>25</v>
      </c>
      <c r="AI132" s="6" t="s">
        <v>40</v>
      </c>
      <c r="AJ132" s="6" t="s">
        <v>238</v>
      </c>
      <c r="AL132" s="6" t="s">
        <v>41</v>
      </c>
    </row>
    <row r="133" spans="1:40" x14ac:dyDescent="0.25">
      <c r="A133" s="4">
        <v>45772</v>
      </c>
      <c r="B133" s="6" t="s">
        <v>488</v>
      </c>
      <c r="C133" t="str">
        <f>_xlfn.XLOOKUP(Table3[[#This Row],[station]],station_waterbody_county!A:A, station_waterbody_county!B:B)</f>
        <v>Snows Cove</v>
      </c>
      <c r="D133" t="str">
        <f>_xlfn.XLOOKUP(Table3[[#This Row],[station]],station_waterbody_county!A:A, station_waterbody_county!C:C)</f>
        <v>Halifax</v>
      </c>
      <c r="E133" s="6"/>
      <c r="F133" s="6" t="s">
        <v>310</v>
      </c>
      <c r="G133" s="4">
        <v>45554</v>
      </c>
      <c r="H133" s="5">
        <v>0.63888888888888884</v>
      </c>
      <c r="I133" s="4">
        <v>45770</v>
      </c>
      <c r="J133" s="5">
        <v>0.70833333333333337</v>
      </c>
      <c r="K133" s="10"/>
      <c r="O133" s="6" t="s">
        <v>476</v>
      </c>
      <c r="P133" s="6" t="s">
        <v>477</v>
      </c>
      <c r="Q133" s="6" t="s">
        <v>476</v>
      </c>
      <c r="R133" s="6" t="s">
        <v>477</v>
      </c>
      <c r="S133" s="6" t="s">
        <v>240</v>
      </c>
      <c r="T133" s="11">
        <v>670367</v>
      </c>
      <c r="U133" s="7">
        <v>0</v>
      </c>
      <c r="V133" s="6" t="s">
        <v>254</v>
      </c>
      <c r="W133" s="7">
        <v>2.4</v>
      </c>
      <c r="X133" s="6" t="s">
        <v>241</v>
      </c>
      <c r="Y133" s="7">
        <v>1.2</v>
      </c>
      <c r="AA133" s="6" t="s">
        <v>251</v>
      </c>
      <c r="AB133" s="6" t="s">
        <v>39</v>
      </c>
      <c r="AE133" s="6"/>
      <c r="AG133" s="6" t="s">
        <v>315</v>
      </c>
      <c r="AH133" s="7">
        <v>25</v>
      </c>
      <c r="AI133" s="6" t="s">
        <v>40</v>
      </c>
      <c r="AJ133" s="6" t="s">
        <v>238</v>
      </c>
      <c r="AK133" s="6" t="s">
        <v>241</v>
      </c>
      <c r="AL133" s="6" t="s">
        <v>478</v>
      </c>
      <c r="AM133" s="6" t="s">
        <v>478</v>
      </c>
      <c r="AN133" s="6" t="s">
        <v>490</v>
      </c>
    </row>
    <row r="134" spans="1:40" x14ac:dyDescent="0.25">
      <c r="A134" s="4">
        <v>45772</v>
      </c>
      <c r="B134" s="6" t="s">
        <v>488</v>
      </c>
      <c r="C134" t="str">
        <f>_xlfn.XLOOKUP(Table3[[#This Row],[station]],station_waterbody_county!A:A, station_waterbody_county!B:B)</f>
        <v>Snows Cove</v>
      </c>
      <c r="D134" t="str">
        <f>_xlfn.XLOOKUP(Table3[[#This Row],[station]],station_waterbody_county!A:A, station_waterbody_county!C:C)</f>
        <v>Halifax</v>
      </c>
      <c r="E134" s="6"/>
      <c r="F134" s="6" t="s">
        <v>310</v>
      </c>
      <c r="G134" s="4">
        <v>45554</v>
      </c>
      <c r="H134" s="5">
        <v>0.63888888888888884</v>
      </c>
      <c r="I134" s="4">
        <v>45770</v>
      </c>
      <c r="J134" s="5">
        <v>0.70833333333333337</v>
      </c>
      <c r="K134" s="10"/>
      <c r="O134" s="6" t="s">
        <v>476</v>
      </c>
      <c r="P134" s="6" t="s">
        <v>477</v>
      </c>
      <c r="Q134" s="6" t="s">
        <v>476</v>
      </c>
      <c r="R134" s="6" t="s">
        <v>477</v>
      </c>
      <c r="S134" s="6" t="s">
        <v>253</v>
      </c>
      <c r="T134" s="11">
        <v>687254</v>
      </c>
      <c r="U134" s="7">
        <v>1</v>
      </c>
      <c r="V134" s="6" t="s">
        <v>254</v>
      </c>
      <c r="W134" s="7">
        <v>2.4</v>
      </c>
      <c r="X134" s="6" t="s">
        <v>241</v>
      </c>
      <c r="Y134" s="7">
        <v>1.2</v>
      </c>
      <c r="AA134" s="6" t="s">
        <v>251</v>
      </c>
      <c r="AB134" s="6" t="s">
        <v>39</v>
      </c>
      <c r="AE134" s="6"/>
      <c r="AG134" s="6" t="s">
        <v>315</v>
      </c>
      <c r="AH134" s="7">
        <v>25</v>
      </c>
      <c r="AI134" s="6" t="s">
        <v>40</v>
      </c>
      <c r="AJ134" s="6" t="s">
        <v>238</v>
      </c>
      <c r="AK134" s="6" t="s">
        <v>241</v>
      </c>
      <c r="AL134" s="6" t="s">
        <v>478</v>
      </c>
      <c r="AM134" s="6" t="s">
        <v>478</v>
      </c>
      <c r="AN134" s="6" t="s">
        <v>490</v>
      </c>
    </row>
    <row r="135" spans="1:40" x14ac:dyDescent="0.25">
      <c r="A135" s="4">
        <v>45772</v>
      </c>
      <c r="B135" s="6" t="s">
        <v>488</v>
      </c>
      <c r="C135" t="str">
        <f>_xlfn.XLOOKUP(Table3[[#This Row],[station]],station_waterbody_county!A:A, station_waterbody_county!B:B)</f>
        <v>Snows Cove</v>
      </c>
      <c r="D135" t="str">
        <f>_xlfn.XLOOKUP(Table3[[#This Row],[station]],station_waterbody_county!A:A, station_waterbody_county!C:C)</f>
        <v>Halifax</v>
      </c>
      <c r="E135" s="6"/>
      <c r="F135" s="6" t="s">
        <v>310</v>
      </c>
      <c r="G135" s="4">
        <v>45554</v>
      </c>
      <c r="H135" s="5">
        <v>0.63888888888888884</v>
      </c>
      <c r="I135" s="4">
        <v>45770</v>
      </c>
      <c r="J135" s="5">
        <v>0.70833333333333337</v>
      </c>
      <c r="K135" s="10"/>
      <c r="O135" s="6" t="s">
        <v>476</v>
      </c>
      <c r="P135" s="6" t="s">
        <v>477</v>
      </c>
      <c r="Q135" s="6" t="s">
        <v>476</v>
      </c>
      <c r="R135" s="6" t="s">
        <v>477</v>
      </c>
      <c r="S135" s="6" t="s">
        <v>239</v>
      </c>
      <c r="T135" s="11">
        <v>20922072</v>
      </c>
      <c r="U135" s="7">
        <v>2</v>
      </c>
      <c r="V135" s="6" t="s">
        <v>254</v>
      </c>
      <c r="W135" s="7">
        <v>2.4</v>
      </c>
      <c r="X135" s="6" t="s">
        <v>241</v>
      </c>
      <c r="Y135" s="7">
        <v>1.2</v>
      </c>
      <c r="AA135" s="6" t="s">
        <v>251</v>
      </c>
      <c r="AB135" s="6" t="s">
        <v>39</v>
      </c>
      <c r="AE135" s="6"/>
      <c r="AG135" s="6" t="s">
        <v>315</v>
      </c>
      <c r="AH135" s="7">
        <v>25</v>
      </c>
      <c r="AI135" s="6" t="s">
        <v>40</v>
      </c>
      <c r="AJ135" s="6" t="s">
        <v>238</v>
      </c>
      <c r="AK135" s="6" t="s">
        <v>241</v>
      </c>
      <c r="AL135" s="6" t="s">
        <v>478</v>
      </c>
      <c r="AM135" s="6" t="s">
        <v>478</v>
      </c>
      <c r="AN135" s="6" t="s">
        <v>490</v>
      </c>
    </row>
    <row r="136" spans="1:40" x14ac:dyDescent="0.25">
      <c r="A136" s="4">
        <v>45944</v>
      </c>
      <c r="B136" s="6" t="s">
        <v>126</v>
      </c>
      <c r="C136" t="str">
        <f>_xlfn.XLOOKUP(Table3[[#This Row],[station]],station_waterbody_county!A:A, station_waterbody_county!B:B)</f>
        <v>Tor Bay</v>
      </c>
      <c r="D136" t="str">
        <f>_xlfn.XLOOKUP(Table3[[#This Row],[station]],station_waterbody_county!A:A, station_waterbody_county!C:C)</f>
        <v>Guysborough</v>
      </c>
      <c r="E136" s="6"/>
      <c r="F136" s="6" t="s">
        <v>310</v>
      </c>
      <c r="G136" s="4">
        <v>45603</v>
      </c>
      <c r="H136" s="5">
        <v>0.54791666666666672</v>
      </c>
      <c r="I136" s="4">
        <v>45925</v>
      </c>
      <c r="J136" s="5">
        <v>0.52708333333333335</v>
      </c>
      <c r="K136" s="10"/>
      <c r="O136" s="6" t="s">
        <v>573</v>
      </c>
      <c r="P136" s="6" t="s">
        <v>574</v>
      </c>
      <c r="Q136" s="6" t="s">
        <v>1476</v>
      </c>
      <c r="R136" s="6" t="s">
        <v>574</v>
      </c>
      <c r="S136" s="6" t="s">
        <v>239</v>
      </c>
      <c r="T136" s="11">
        <v>22055906</v>
      </c>
      <c r="U136" s="7">
        <v>2</v>
      </c>
      <c r="V136" s="6" t="s">
        <v>36</v>
      </c>
      <c r="W136" s="7">
        <v>18.899999999999999</v>
      </c>
      <c r="X136" s="6" t="s">
        <v>35</v>
      </c>
      <c r="Y136" s="7">
        <v>0.9</v>
      </c>
      <c r="Z136" s="7">
        <v>1</v>
      </c>
      <c r="AA136" s="6" t="s">
        <v>243</v>
      </c>
      <c r="AB136" s="6" t="s">
        <v>38</v>
      </c>
      <c r="AD136" s="6" t="s">
        <v>39</v>
      </c>
      <c r="AE136" s="6"/>
      <c r="AG136" s="6" t="s">
        <v>37</v>
      </c>
      <c r="AH136" s="7">
        <v>60</v>
      </c>
      <c r="AI136" s="6" t="s">
        <v>40</v>
      </c>
      <c r="AJ136" s="6" t="s">
        <v>238</v>
      </c>
      <c r="AK136" s="6" t="s">
        <v>35</v>
      </c>
      <c r="AL136" s="6" t="s">
        <v>41</v>
      </c>
      <c r="AM136" s="6" t="s">
        <v>41</v>
      </c>
      <c r="AN136" s="6" t="s">
        <v>575</v>
      </c>
    </row>
    <row r="137" spans="1:40" x14ac:dyDescent="0.25">
      <c r="A137" s="4">
        <v>45944</v>
      </c>
      <c r="B137" s="6" t="s">
        <v>126</v>
      </c>
      <c r="C137" t="str">
        <f>_xlfn.XLOOKUP(Table3[[#This Row],[station]],station_waterbody_county!A:A, station_waterbody_county!B:B)</f>
        <v>Tor Bay</v>
      </c>
      <c r="D137" t="str">
        <f>_xlfn.XLOOKUP(Table3[[#This Row],[station]],station_waterbody_county!A:A, station_waterbody_county!C:C)</f>
        <v>Guysborough</v>
      </c>
      <c r="E137" s="6"/>
      <c r="F137" s="6" t="s">
        <v>310</v>
      </c>
      <c r="G137" s="4">
        <v>45603</v>
      </c>
      <c r="H137" s="5">
        <v>0.54791666666666672</v>
      </c>
      <c r="I137" s="4">
        <v>45925</v>
      </c>
      <c r="J137" s="5">
        <v>0.52708333333333335</v>
      </c>
      <c r="K137" s="10"/>
      <c r="O137" s="6" t="s">
        <v>573</v>
      </c>
      <c r="P137" s="6" t="s">
        <v>574</v>
      </c>
      <c r="Q137" s="6" t="s">
        <v>1476</v>
      </c>
      <c r="R137" s="6" t="s">
        <v>574</v>
      </c>
      <c r="S137" s="6" t="s">
        <v>240</v>
      </c>
      <c r="T137" s="11">
        <v>671427</v>
      </c>
      <c r="U137" s="7">
        <v>5</v>
      </c>
      <c r="V137" s="6" t="s">
        <v>36</v>
      </c>
      <c r="W137" s="7">
        <v>18.899999999999999</v>
      </c>
      <c r="X137" s="6" t="s">
        <v>35</v>
      </c>
      <c r="Y137" s="7">
        <v>0.9</v>
      </c>
      <c r="Z137" s="7">
        <v>1</v>
      </c>
      <c r="AA137" s="6" t="s">
        <v>243</v>
      </c>
      <c r="AB137" s="6" t="s">
        <v>38</v>
      </c>
      <c r="AD137" s="6" t="s">
        <v>39</v>
      </c>
      <c r="AE137" s="6"/>
      <c r="AG137" s="6" t="s">
        <v>37</v>
      </c>
      <c r="AH137" s="7">
        <v>60</v>
      </c>
      <c r="AI137" s="6" t="s">
        <v>40</v>
      </c>
      <c r="AJ137" s="6" t="s">
        <v>238</v>
      </c>
      <c r="AK137" s="6" t="s">
        <v>35</v>
      </c>
      <c r="AL137" s="6" t="s">
        <v>41</v>
      </c>
      <c r="AM137" s="6" t="s">
        <v>41</v>
      </c>
      <c r="AN137" s="6" t="s">
        <v>575</v>
      </c>
    </row>
    <row r="138" spans="1:40" x14ac:dyDescent="0.25">
      <c r="A138" s="4">
        <v>45944</v>
      </c>
      <c r="B138" s="6" t="s">
        <v>126</v>
      </c>
      <c r="C138" t="str">
        <f>_xlfn.XLOOKUP(Table3[[#This Row],[station]],station_waterbody_county!A:A, station_waterbody_county!B:B)</f>
        <v>Tor Bay</v>
      </c>
      <c r="D138" t="str">
        <f>_xlfn.XLOOKUP(Table3[[#This Row],[station]],station_waterbody_county!A:A, station_waterbody_county!C:C)</f>
        <v>Guysborough</v>
      </c>
      <c r="E138" s="6"/>
      <c r="F138" s="6" t="s">
        <v>310</v>
      </c>
      <c r="G138" s="4">
        <v>45603</v>
      </c>
      <c r="H138" s="5">
        <v>0.54791666666666672</v>
      </c>
      <c r="I138" s="4">
        <v>45925</v>
      </c>
      <c r="J138" s="5">
        <v>0.52708333333333335</v>
      </c>
      <c r="K138" s="10"/>
      <c r="O138" s="6" t="s">
        <v>573</v>
      </c>
      <c r="P138" s="6" t="s">
        <v>574</v>
      </c>
      <c r="Q138" s="6" t="s">
        <v>1476</v>
      </c>
      <c r="R138" s="6" t="s">
        <v>574</v>
      </c>
      <c r="S138" s="6" t="s">
        <v>239</v>
      </c>
      <c r="T138" s="11">
        <v>22048599</v>
      </c>
      <c r="U138" s="7">
        <v>10</v>
      </c>
      <c r="V138" s="6" t="s">
        <v>36</v>
      </c>
      <c r="W138" s="7">
        <v>18.899999999999999</v>
      </c>
      <c r="X138" s="6" t="s">
        <v>35</v>
      </c>
      <c r="Y138" s="7">
        <v>0.9</v>
      </c>
      <c r="Z138" s="7">
        <v>1</v>
      </c>
      <c r="AA138" s="6" t="s">
        <v>243</v>
      </c>
      <c r="AB138" s="6" t="s">
        <v>38</v>
      </c>
      <c r="AD138" s="6" t="s">
        <v>39</v>
      </c>
      <c r="AE138" s="6"/>
      <c r="AG138" s="6" t="s">
        <v>37</v>
      </c>
      <c r="AH138" s="7">
        <v>60</v>
      </c>
      <c r="AI138" s="6" t="s">
        <v>40</v>
      </c>
      <c r="AJ138" s="6" t="s">
        <v>238</v>
      </c>
      <c r="AK138" s="6" t="s">
        <v>35</v>
      </c>
      <c r="AL138" s="6" t="s">
        <v>41</v>
      </c>
      <c r="AM138" s="6" t="s">
        <v>41</v>
      </c>
      <c r="AN138" s="6" t="s">
        <v>575</v>
      </c>
    </row>
    <row r="139" spans="1:40" x14ac:dyDescent="0.25">
      <c r="A139" s="4">
        <v>45944</v>
      </c>
      <c r="B139" s="6" t="s">
        <v>126</v>
      </c>
      <c r="C139" t="str">
        <f>_xlfn.XLOOKUP(Table3[[#This Row],[station]],station_waterbody_county!A:A, station_waterbody_county!B:B)</f>
        <v>Tor Bay</v>
      </c>
      <c r="D139" t="str">
        <f>_xlfn.XLOOKUP(Table3[[#This Row],[station]],station_waterbody_county!A:A, station_waterbody_county!C:C)</f>
        <v>Guysborough</v>
      </c>
      <c r="E139" s="6"/>
      <c r="F139" s="6" t="s">
        <v>310</v>
      </c>
      <c r="G139" s="4">
        <v>45603</v>
      </c>
      <c r="H139" s="5">
        <v>0.54791666666666672</v>
      </c>
      <c r="I139" s="4">
        <v>45925</v>
      </c>
      <c r="J139" s="5">
        <v>0.52708333333333335</v>
      </c>
      <c r="K139" s="10"/>
      <c r="O139" s="6" t="s">
        <v>573</v>
      </c>
      <c r="P139" s="6" t="s">
        <v>574</v>
      </c>
      <c r="Q139" s="6" t="s">
        <v>1476</v>
      </c>
      <c r="R139" s="6" t="s">
        <v>574</v>
      </c>
      <c r="S139" s="6" t="s">
        <v>239</v>
      </c>
      <c r="T139" s="11">
        <v>22048582</v>
      </c>
      <c r="U139" s="7">
        <v>15</v>
      </c>
      <c r="V139" s="6" t="s">
        <v>36</v>
      </c>
      <c r="W139" s="7">
        <v>18.899999999999999</v>
      </c>
      <c r="X139" s="6" t="s">
        <v>35</v>
      </c>
      <c r="Y139" s="7">
        <v>0.9</v>
      </c>
      <c r="Z139" s="7">
        <v>1</v>
      </c>
      <c r="AA139" s="6" t="s">
        <v>243</v>
      </c>
      <c r="AB139" s="6" t="s">
        <v>38</v>
      </c>
      <c r="AD139" s="6" t="s">
        <v>39</v>
      </c>
      <c r="AE139" s="6"/>
      <c r="AG139" s="6" t="s">
        <v>37</v>
      </c>
      <c r="AH139" s="7">
        <v>60</v>
      </c>
      <c r="AI139" s="6" t="s">
        <v>40</v>
      </c>
      <c r="AJ139" s="6" t="s">
        <v>238</v>
      </c>
      <c r="AK139" s="6" t="s">
        <v>35</v>
      </c>
      <c r="AL139" s="6" t="s">
        <v>41</v>
      </c>
      <c r="AM139" s="6" t="s">
        <v>41</v>
      </c>
      <c r="AN139" s="6" t="s">
        <v>575</v>
      </c>
    </row>
    <row r="140" spans="1:40" x14ac:dyDescent="0.25">
      <c r="A140" s="4">
        <v>45944</v>
      </c>
      <c r="B140" s="6" t="s">
        <v>126</v>
      </c>
      <c r="C140" t="str">
        <f>_xlfn.XLOOKUP(Table3[[#This Row],[station]],station_waterbody_county!A:A, station_waterbody_county!B:B)</f>
        <v>Tor Bay</v>
      </c>
      <c r="D140" t="str">
        <f>_xlfn.XLOOKUP(Table3[[#This Row],[station]],station_waterbody_county!A:A, station_waterbody_county!C:C)</f>
        <v>Guysborough</v>
      </c>
      <c r="E140" s="6"/>
      <c r="F140" s="6" t="s">
        <v>310</v>
      </c>
      <c r="G140" s="4">
        <v>45603</v>
      </c>
      <c r="H140" s="5">
        <v>0.54791666666666672</v>
      </c>
      <c r="I140" s="4">
        <v>45925</v>
      </c>
      <c r="J140" s="5">
        <v>0.52708333333333335</v>
      </c>
      <c r="K140" s="10"/>
      <c r="O140" s="6" t="s">
        <v>573</v>
      </c>
      <c r="P140" s="6" t="s">
        <v>574</v>
      </c>
      <c r="Q140" s="6" t="s">
        <v>1476</v>
      </c>
      <c r="R140" s="6" t="s">
        <v>574</v>
      </c>
      <c r="S140" s="6" t="s">
        <v>42</v>
      </c>
      <c r="T140" s="11">
        <v>549341</v>
      </c>
      <c r="U140" s="7">
        <v>20</v>
      </c>
      <c r="V140" s="6" t="s">
        <v>36</v>
      </c>
      <c r="W140" s="7">
        <v>18.899999999999999</v>
      </c>
      <c r="X140" s="6" t="s">
        <v>35</v>
      </c>
      <c r="Y140" s="7">
        <v>0.9</v>
      </c>
      <c r="Z140" s="7">
        <v>1</v>
      </c>
      <c r="AA140" s="6" t="s">
        <v>243</v>
      </c>
      <c r="AB140" s="6" t="s">
        <v>38</v>
      </c>
      <c r="AD140" s="6" t="s">
        <v>39</v>
      </c>
      <c r="AE140" s="6"/>
      <c r="AG140" s="6" t="s">
        <v>37</v>
      </c>
      <c r="AH140" s="7">
        <v>60</v>
      </c>
      <c r="AI140" s="6" t="s">
        <v>40</v>
      </c>
      <c r="AJ140" s="6" t="s">
        <v>238</v>
      </c>
      <c r="AK140" s="6" t="s">
        <v>35</v>
      </c>
      <c r="AL140" s="6" t="s">
        <v>41</v>
      </c>
      <c r="AM140" s="6" t="s">
        <v>41</v>
      </c>
      <c r="AN140" s="6" t="s">
        <v>575</v>
      </c>
    </row>
    <row r="141" spans="1:40" x14ac:dyDescent="0.25">
      <c r="A141" s="4">
        <v>45944</v>
      </c>
      <c r="B141" s="6" t="s">
        <v>126</v>
      </c>
      <c r="C141" t="str">
        <f>_xlfn.XLOOKUP(Table3[[#This Row],[station]],station_waterbody_county!A:A, station_waterbody_county!B:B)</f>
        <v>Tor Bay</v>
      </c>
      <c r="D141" t="str">
        <f>_xlfn.XLOOKUP(Table3[[#This Row],[station]],station_waterbody_county!A:A, station_waterbody_county!C:C)</f>
        <v>Guysborough</v>
      </c>
      <c r="E141" s="6"/>
      <c r="F141" s="6" t="s">
        <v>310</v>
      </c>
      <c r="G141" s="4">
        <v>45603</v>
      </c>
      <c r="H141" s="5">
        <v>0.54791666666666672</v>
      </c>
      <c r="I141" s="4">
        <v>45925</v>
      </c>
      <c r="J141" s="5">
        <v>0.52708333333333335</v>
      </c>
      <c r="K141" s="10"/>
      <c r="O141" s="6" t="s">
        <v>573</v>
      </c>
      <c r="P141" s="6" t="s">
        <v>574</v>
      </c>
      <c r="Q141" s="6" t="s">
        <v>1476</v>
      </c>
      <c r="R141" s="6" t="s">
        <v>574</v>
      </c>
      <c r="S141" s="6" t="s">
        <v>239</v>
      </c>
      <c r="T141" s="11">
        <v>22055903</v>
      </c>
      <c r="U141" s="7">
        <v>20</v>
      </c>
      <c r="V141" s="6" t="s">
        <v>36</v>
      </c>
      <c r="W141" s="7">
        <v>18.899999999999999</v>
      </c>
      <c r="X141" s="6" t="s">
        <v>35</v>
      </c>
      <c r="Y141" s="7">
        <v>0.9</v>
      </c>
      <c r="Z141" s="7">
        <v>1</v>
      </c>
      <c r="AA141" s="6" t="s">
        <v>243</v>
      </c>
      <c r="AB141" s="6" t="s">
        <v>38</v>
      </c>
      <c r="AD141" s="6" t="s">
        <v>39</v>
      </c>
      <c r="AE141" s="6"/>
      <c r="AG141" s="6" t="s">
        <v>37</v>
      </c>
      <c r="AH141" s="7">
        <v>60</v>
      </c>
      <c r="AI141" s="6" t="s">
        <v>40</v>
      </c>
      <c r="AJ141" s="6" t="s">
        <v>238</v>
      </c>
      <c r="AK141" s="6" t="s">
        <v>35</v>
      </c>
      <c r="AL141" s="6" t="s">
        <v>41</v>
      </c>
      <c r="AM141" s="6" t="s">
        <v>41</v>
      </c>
      <c r="AN141" s="6" t="s">
        <v>575</v>
      </c>
    </row>
    <row r="142" spans="1:40" hidden="1" x14ac:dyDescent="0.25">
      <c r="A142" s="12">
        <v>45678</v>
      </c>
      <c r="B142" s="6" t="s">
        <v>126</v>
      </c>
      <c r="C142" t="str">
        <f>_xlfn.XLOOKUP(Table3[[#This Row],[station]],station_waterbody_county!A:A, station_waterbody_county!B:B)</f>
        <v>Tor Bay</v>
      </c>
      <c r="D142" t="str">
        <f>_xlfn.XLOOKUP(Table3[[#This Row],[station]],station_waterbody_county!A:A, station_waterbody_county!C:C)</f>
        <v>Guysborough</v>
      </c>
      <c r="E142" s="6"/>
      <c r="F142" s="6" t="s">
        <v>310</v>
      </c>
      <c r="G142" s="12">
        <v>45217</v>
      </c>
      <c r="H142" s="5"/>
      <c r="I142" s="4">
        <v>45603</v>
      </c>
      <c r="J142" s="5">
        <v>0.53333333333333333</v>
      </c>
      <c r="K142" s="10">
        <v>45.225655000000003</v>
      </c>
      <c r="L142" s="10">
        <v>-61.296061000000002</v>
      </c>
      <c r="O142" s="6"/>
      <c r="Q142" s="6" t="s">
        <v>571</v>
      </c>
      <c r="R142" s="6" t="s">
        <v>572</v>
      </c>
      <c r="S142" s="6" t="s">
        <v>239</v>
      </c>
      <c r="T142" s="11">
        <v>20922071</v>
      </c>
      <c r="U142" s="7">
        <v>2</v>
      </c>
      <c r="V142" s="6" t="s">
        <v>36</v>
      </c>
      <c r="W142" s="7">
        <v>24.3</v>
      </c>
      <c r="X142" s="6" t="s">
        <v>35</v>
      </c>
      <c r="Y142" s="7">
        <v>1.5</v>
      </c>
      <c r="Z142" s="7">
        <v>1</v>
      </c>
      <c r="AA142" s="6" t="s">
        <v>243</v>
      </c>
      <c r="AB142" s="6" t="s">
        <v>38</v>
      </c>
      <c r="AD142" s="6" t="s">
        <v>39</v>
      </c>
      <c r="AE142" s="6"/>
      <c r="AG142" s="6" t="s">
        <v>37</v>
      </c>
      <c r="AH142" s="7"/>
      <c r="AI142" s="6" t="s">
        <v>40</v>
      </c>
      <c r="AJ142" s="6" t="s">
        <v>238</v>
      </c>
      <c r="AK142" s="6" t="s">
        <v>35</v>
      </c>
      <c r="AL142" s="6" t="s">
        <v>268</v>
      </c>
      <c r="AM142" s="6" t="s">
        <v>41</v>
      </c>
    </row>
    <row r="143" spans="1:40" hidden="1" x14ac:dyDescent="0.25">
      <c r="A143" s="12">
        <v>45678</v>
      </c>
      <c r="B143" s="6" t="s">
        <v>126</v>
      </c>
      <c r="C143" t="str">
        <f>_xlfn.XLOOKUP(Table3[[#This Row],[station]],station_waterbody_county!A:A, station_waterbody_county!B:B)</f>
        <v>Tor Bay</v>
      </c>
      <c r="D143" t="str">
        <f>_xlfn.XLOOKUP(Table3[[#This Row],[station]],station_waterbody_county!A:A, station_waterbody_county!C:C)</f>
        <v>Guysborough</v>
      </c>
      <c r="E143" s="6"/>
      <c r="F143" s="6" t="s">
        <v>310</v>
      </c>
      <c r="G143" s="12">
        <v>45217</v>
      </c>
      <c r="H143" s="5"/>
      <c r="I143" s="4">
        <v>45603</v>
      </c>
      <c r="J143" s="5">
        <v>0.53333333333333333</v>
      </c>
      <c r="K143" s="10">
        <v>45.225655000000003</v>
      </c>
      <c r="L143" s="10">
        <v>-61.296061000000002</v>
      </c>
      <c r="O143" s="6"/>
      <c r="Q143" s="6" t="s">
        <v>571</v>
      </c>
      <c r="R143" s="6" t="s">
        <v>572</v>
      </c>
      <c r="S143" s="6" t="s">
        <v>240</v>
      </c>
      <c r="T143" s="11">
        <v>671045</v>
      </c>
      <c r="U143" s="7">
        <v>5</v>
      </c>
      <c r="V143" s="6" t="s">
        <v>36</v>
      </c>
      <c r="W143" s="7">
        <v>24.3</v>
      </c>
      <c r="X143" s="6" t="s">
        <v>35</v>
      </c>
      <c r="Y143" s="7">
        <v>1.5</v>
      </c>
      <c r="Z143" s="7">
        <v>1</v>
      </c>
      <c r="AA143" s="6" t="s">
        <v>243</v>
      </c>
      <c r="AB143" s="6" t="s">
        <v>38</v>
      </c>
      <c r="AD143" s="6" t="s">
        <v>39</v>
      </c>
      <c r="AE143" s="6"/>
      <c r="AG143" s="6" t="s">
        <v>37</v>
      </c>
      <c r="AH143" s="7"/>
      <c r="AI143" s="6" t="s">
        <v>40</v>
      </c>
      <c r="AJ143" s="6" t="s">
        <v>238</v>
      </c>
      <c r="AK143" s="6" t="s">
        <v>35</v>
      </c>
      <c r="AL143" s="6" t="s">
        <v>268</v>
      </c>
      <c r="AM143" s="6" t="s">
        <v>41</v>
      </c>
    </row>
    <row r="144" spans="1:40" hidden="1" x14ac:dyDescent="0.25">
      <c r="A144" s="12">
        <v>45678</v>
      </c>
      <c r="B144" s="6" t="s">
        <v>126</v>
      </c>
      <c r="C144" t="str">
        <f>_xlfn.XLOOKUP(Table3[[#This Row],[station]],station_waterbody_county!A:A, station_waterbody_county!B:B)</f>
        <v>Tor Bay</v>
      </c>
      <c r="D144" t="str">
        <f>_xlfn.XLOOKUP(Table3[[#This Row],[station]],station_waterbody_county!A:A, station_waterbody_county!C:C)</f>
        <v>Guysborough</v>
      </c>
      <c r="E144" s="6"/>
      <c r="F144" s="6" t="s">
        <v>310</v>
      </c>
      <c r="G144" s="12">
        <v>45217</v>
      </c>
      <c r="H144" s="5"/>
      <c r="I144" s="4">
        <v>45603</v>
      </c>
      <c r="J144" s="5">
        <v>0.53333333333333333</v>
      </c>
      <c r="K144" s="10">
        <v>45.225655000000003</v>
      </c>
      <c r="L144" s="10">
        <v>-61.296061000000002</v>
      </c>
      <c r="O144" s="6"/>
      <c r="Q144" s="6" t="s">
        <v>571</v>
      </c>
      <c r="R144" s="6" t="s">
        <v>572</v>
      </c>
      <c r="S144" s="6" t="s">
        <v>239</v>
      </c>
      <c r="T144" s="11">
        <v>20820381</v>
      </c>
      <c r="U144" s="7">
        <v>10</v>
      </c>
      <c r="V144" s="6" t="s">
        <v>36</v>
      </c>
      <c r="W144" s="7">
        <v>24.3</v>
      </c>
      <c r="X144" s="6" t="s">
        <v>35</v>
      </c>
      <c r="Y144" s="7">
        <v>1.5</v>
      </c>
      <c r="Z144" s="7">
        <v>1</v>
      </c>
      <c r="AA144" s="6" t="s">
        <v>243</v>
      </c>
      <c r="AB144" s="6" t="s">
        <v>38</v>
      </c>
      <c r="AD144" s="6" t="s">
        <v>39</v>
      </c>
      <c r="AE144" s="6"/>
      <c r="AG144" s="6" t="s">
        <v>37</v>
      </c>
      <c r="AH144" s="7"/>
      <c r="AI144" s="6" t="s">
        <v>40</v>
      </c>
      <c r="AJ144" s="6" t="s">
        <v>238</v>
      </c>
      <c r="AK144" s="6" t="s">
        <v>35</v>
      </c>
      <c r="AL144" s="6" t="s">
        <v>268</v>
      </c>
      <c r="AM144" s="6" t="s">
        <v>41</v>
      </c>
    </row>
    <row r="145" spans="1:40" hidden="1" x14ac:dyDescent="0.25">
      <c r="A145" s="12">
        <v>45678</v>
      </c>
      <c r="B145" s="6" t="s">
        <v>126</v>
      </c>
      <c r="C145" t="str">
        <f>_xlfn.XLOOKUP(Table3[[#This Row],[station]],station_waterbody_county!A:A, station_waterbody_county!B:B)</f>
        <v>Tor Bay</v>
      </c>
      <c r="D145" t="str">
        <f>_xlfn.XLOOKUP(Table3[[#This Row],[station]],station_waterbody_county!A:A, station_waterbody_county!C:C)</f>
        <v>Guysborough</v>
      </c>
      <c r="E145" s="6"/>
      <c r="F145" s="6" t="s">
        <v>310</v>
      </c>
      <c r="G145" s="12">
        <v>45217</v>
      </c>
      <c r="H145" s="5"/>
      <c r="I145" s="4">
        <v>45603</v>
      </c>
      <c r="J145" s="5">
        <v>0.53333333333333333</v>
      </c>
      <c r="K145" s="10">
        <v>45.225655000000003</v>
      </c>
      <c r="L145" s="10">
        <v>-61.296061000000002</v>
      </c>
      <c r="O145" s="6"/>
      <c r="Q145" s="6" t="s">
        <v>571</v>
      </c>
      <c r="R145" s="6" t="s">
        <v>572</v>
      </c>
      <c r="S145" s="6" t="s">
        <v>239</v>
      </c>
      <c r="T145" s="11">
        <v>20820490</v>
      </c>
      <c r="U145" s="7">
        <v>15</v>
      </c>
      <c r="V145" s="6" t="s">
        <v>36</v>
      </c>
      <c r="W145" s="7">
        <v>24.3</v>
      </c>
      <c r="X145" s="6" t="s">
        <v>35</v>
      </c>
      <c r="Y145" s="7">
        <v>1.5</v>
      </c>
      <c r="Z145" s="7">
        <v>1</v>
      </c>
      <c r="AA145" s="6" t="s">
        <v>243</v>
      </c>
      <c r="AB145" s="6" t="s">
        <v>38</v>
      </c>
      <c r="AD145" s="6" t="s">
        <v>39</v>
      </c>
      <c r="AE145" s="6"/>
      <c r="AG145" s="6" t="s">
        <v>37</v>
      </c>
      <c r="AH145" s="7"/>
      <c r="AI145" s="6" t="s">
        <v>40</v>
      </c>
      <c r="AJ145" s="6" t="s">
        <v>238</v>
      </c>
      <c r="AK145" s="6" t="s">
        <v>35</v>
      </c>
      <c r="AL145" s="6" t="s">
        <v>268</v>
      </c>
      <c r="AM145" s="6" t="s">
        <v>41</v>
      </c>
    </row>
    <row r="146" spans="1:40" hidden="1" x14ac:dyDescent="0.25">
      <c r="A146" s="12">
        <v>45678</v>
      </c>
      <c r="B146" s="6" t="s">
        <v>126</v>
      </c>
      <c r="C146" t="str">
        <f>_xlfn.XLOOKUP(Table3[[#This Row],[station]],station_waterbody_county!A:A, station_waterbody_county!B:B)</f>
        <v>Tor Bay</v>
      </c>
      <c r="D146" t="str">
        <f>_xlfn.XLOOKUP(Table3[[#This Row],[station]],station_waterbody_county!A:A, station_waterbody_county!C:C)</f>
        <v>Guysborough</v>
      </c>
      <c r="E146" s="6"/>
      <c r="F146" s="6" t="s">
        <v>310</v>
      </c>
      <c r="G146" s="12">
        <v>45217</v>
      </c>
      <c r="H146" s="5"/>
      <c r="I146" s="4">
        <v>45603</v>
      </c>
      <c r="J146" s="5">
        <v>0.53333333333333333</v>
      </c>
      <c r="K146" s="10">
        <v>45.225655000000003</v>
      </c>
      <c r="L146" s="10">
        <v>-61.296061000000002</v>
      </c>
      <c r="O146" s="6"/>
      <c r="Q146" s="6" t="s">
        <v>571</v>
      </c>
      <c r="R146" s="6" t="s">
        <v>572</v>
      </c>
      <c r="S146" s="6" t="s">
        <v>42</v>
      </c>
      <c r="T146" s="11">
        <v>547115</v>
      </c>
      <c r="U146" s="7">
        <v>20</v>
      </c>
      <c r="V146" s="6" t="s">
        <v>36</v>
      </c>
      <c r="W146" s="7">
        <v>24.3</v>
      </c>
      <c r="X146" s="6" t="s">
        <v>35</v>
      </c>
      <c r="Y146" s="7">
        <v>1.5</v>
      </c>
      <c r="Z146" s="7">
        <v>1</v>
      </c>
      <c r="AA146" s="6" t="s">
        <v>243</v>
      </c>
      <c r="AB146" s="6" t="s">
        <v>38</v>
      </c>
      <c r="AD146" s="6" t="s">
        <v>39</v>
      </c>
      <c r="AE146" s="6"/>
      <c r="AG146" s="6" t="s">
        <v>37</v>
      </c>
      <c r="AH146" s="7"/>
      <c r="AI146" s="6" t="s">
        <v>40</v>
      </c>
      <c r="AJ146" s="6" t="s">
        <v>238</v>
      </c>
      <c r="AK146" s="6" t="s">
        <v>35</v>
      </c>
      <c r="AL146" s="6" t="s">
        <v>268</v>
      </c>
      <c r="AM146" s="6" t="s">
        <v>41</v>
      </c>
    </row>
    <row r="147" spans="1:40" hidden="1" x14ac:dyDescent="0.25">
      <c r="A147" s="12">
        <v>45469</v>
      </c>
      <c r="B147" s="6" t="s">
        <v>127</v>
      </c>
      <c r="C147" t="str">
        <f>_xlfn.XLOOKUP(Table3[[#This Row],[station]],station_waterbody_county!A:A, station_waterbody_county!B:B)</f>
        <v>St. Marys Bay</v>
      </c>
      <c r="D147" t="str">
        <f>_xlfn.XLOOKUP(Table3[[#This Row],[station]],station_waterbody_county!A:A, station_waterbody_county!C:C)</f>
        <v>Digby</v>
      </c>
      <c r="E147" s="6"/>
      <c r="F147" s="6" t="s">
        <v>310</v>
      </c>
      <c r="G147" s="12">
        <v>45212</v>
      </c>
      <c r="H147" s="5"/>
      <c r="I147" s="4">
        <v>45447</v>
      </c>
      <c r="J147" s="5">
        <v>0.46180555555555558</v>
      </c>
      <c r="K147" s="10">
        <v>44.536239000000002</v>
      </c>
      <c r="L147" s="10">
        <v>-66.001720000000006</v>
      </c>
      <c r="O147" s="6"/>
      <c r="Q147" s="6" t="s">
        <v>375</v>
      </c>
      <c r="R147" s="6" t="s">
        <v>376</v>
      </c>
      <c r="S147" s="6" t="s">
        <v>240</v>
      </c>
      <c r="T147" s="11">
        <v>670357</v>
      </c>
      <c r="U147" s="7">
        <v>3.5</v>
      </c>
      <c r="V147" s="6" t="s">
        <v>254</v>
      </c>
      <c r="W147" s="7">
        <v>9.6</v>
      </c>
      <c r="X147" s="6" t="s">
        <v>241</v>
      </c>
      <c r="Y147" s="7">
        <v>5.0999999999999996</v>
      </c>
      <c r="AA147" s="6"/>
      <c r="AB147" s="6" t="s">
        <v>277</v>
      </c>
      <c r="AE147" s="6"/>
      <c r="AG147" s="6" t="s">
        <v>278</v>
      </c>
      <c r="AH147" s="7"/>
      <c r="AI147" s="6" t="s">
        <v>40</v>
      </c>
      <c r="AJ147" s="6" t="s">
        <v>238</v>
      </c>
      <c r="AK147" s="6" t="s">
        <v>35</v>
      </c>
      <c r="AL147" s="6" t="s">
        <v>268</v>
      </c>
      <c r="AN147" s="6" t="s">
        <v>250</v>
      </c>
    </row>
    <row r="148" spans="1:40" x14ac:dyDescent="0.25">
      <c r="A148" s="4">
        <v>45818</v>
      </c>
      <c r="B148" s="6" t="s">
        <v>127</v>
      </c>
      <c r="C148" t="str">
        <f>_xlfn.XLOOKUP(Table3[[#This Row],[station]],station_waterbody_county!A:A, station_waterbody_county!B:B)</f>
        <v>St. Marys Bay</v>
      </c>
      <c r="D148" t="str">
        <f>_xlfn.XLOOKUP(Table3[[#This Row],[station]],station_waterbody_county!A:A, station_waterbody_county!C:C)</f>
        <v>Digby</v>
      </c>
      <c r="E148" s="6"/>
      <c r="F148" s="6" t="s">
        <v>311</v>
      </c>
      <c r="G148" s="4">
        <v>45447</v>
      </c>
      <c r="H148" s="5">
        <v>0.46875</v>
      </c>
      <c r="I148" s="4"/>
      <c r="J148" s="5"/>
      <c r="K148" s="10">
        <v>44.536250000000003</v>
      </c>
      <c r="L148" s="10">
        <v>-66.001649999999998</v>
      </c>
      <c r="O148" s="6" t="s">
        <v>377</v>
      </c>
      <c r="P148" s="6" t="s">
        <v>378</v>
      </c>
      <c r="S148" s="6" t="s">
        <v>240</v>
      </c>
      <c r="T148" s="11">
        <v>671023</v>
      </c>
      <c r="U148" s="7">
        <v>3.5</v>
      </c>
      <c r="V148" s="6" t="s">
        <v>254</v>
      </c>
      <c r="W148" s="7"/>
      <c r="X148" s="6" t="s">
        <v>241</v>
      </c>
      <c r="Y148" s="7">
        <v>4.5</v>
      </c>
      <c r="AA148" s="6" t="s">
        <v>243</v>
      </c>
      <c r="AE148" s="6"/>
      <c r="AG148" s="6" t="s">
        <v>278</v>
      </c>
      <c r="AH148" s="7"/>
      <c r="AI148" s="6" t="s">
        <v>40</v>
      </c>
      <c r="AJ148" s="6" t="s">
        <v>238</v>
      </c>
      <c r="AK148" s="6" t="s">
        <v>241</v>
      </c>
      <c r="AL148" s="6" t="s">
        <v>41</v>
      </c>
      <c r="AN148" s="6" t="s">
        <v>1309</v>
      </c>
    </row>
    <row r="149" spans="1:40" hidden="1" x14ac:dyDescent="0.25">
      <c r="A149" s="4">
        <v>45784</v>
      </c>
      <c r="B149" s="6" t="s">
        <v>1106</v>
      </c>
      <c r="C149" t="str">
        <f>_xlfn.XLOOKUP(Table3[[#This Row],[station]],station_waterbody_county!A:A, station_waterbody_county!B:B)</f>
        <v>St. Margarets Bay</v>
      </c>
      <c r="D149" t="str">
        <f>_xlfn.XLOOKUP(Table3[[#This Row],[station]],station_waterbody_county!A:A, station_waterbody_county!C:C)</f>
        <v>Lunenburg</v>
      </c>
      <c r="E149" s="6"/>
      <c r="F149" s="6" t="s">
        <v>34</v>
      </c>
      <c r="G149" s="12">
        <v>45779</v>
      </c>
      <c r="H149" s="5">
        <v>0.49236111111111114</v>
      </c>
      <c r="I149" s="4"/>
      <c r="J149" s="5"/>
      <c r="K149" s="10"/>
      <c r="O149" s="6" t="s">
        <v>1245</v>
      </c>
      <c r="P149" s="6" t="s">
        <v>1246</v>
      </c>
      <c r="S149" s="6" t="s">
        <v>42</v>
      </c>
      <c r="T149" s="11">
        <v>600016</v>
      </c>
      <c r="U149" s="7">
        <v>44</v>
      </c>
      <c r="V149" s="6" t="s">
        <v>36</v>
      </c>
      <c r="W149" s="7">
        <v>47.5</v>
      </c>
      <c r="X149" s="6" t="s">
        <v>35</v>
      </c>
      <c r="Y149" s="7">
        <v>0.5</v>
      </c>
      <c r="Z149" s="7">
        <v>1</v>
      </c>
      <c r="AA149" s="6" t="s">
        <v>243</v>
      </c>
      <c r="AB149" s="6" t="s">
        <v>321</v>
      </c>
      <c r="AE149" s="6" t="s">
        <v>40</v>
      </c>
      <c r="AG149" s="6" t="s">
        <v>37</v>
      </c>
      <c r="AH149" s="7">
        <v>60</v>
      </c>
      <c r="AI149" s="6" t="s">
        <v>40</v>
      </c>
      <c r="AJ149" s="6" t="s">
        <v>238</v>
      </c>
      <c r="AL149" s="6" t="s">
        <v>41</v>
      </c>
      <c r="AN149" s="6" t="s">
        <v>1247</v>
      </c>
    </row>
    <row r="150" spans="1:40" hidden="1" x14ac:dyDescent="0.25">
      <c r="A150" s="4">
        <v>45784</v>
      </c>
      <c r="B150" s="6" t="s">
        <v>1106</v>
      </c>
      <c r="C150" t="str">
        <f>_xlfn.XLOOKUP(Table3[[#This Row],[station]],station_waterbody_county!A:A, station_waterbody_county!B:B)</f>
        <v>St. Margarets Bay</v>
      </c>
      <c r="D150" t="str">
        <f>_xlfn.XLOOKUP(Table3[[#This Row],[station]],station_waterbody_county!A:A, station_waterbody_county!C:C)</f>
        <v>Lunenburg</v>
      </c>
      <c r="E150" s="6"/>
      <c r="F150" s="6" t="s">
        <v>34</v>
      </c>
      <c r="G150" s="12">
        <v>45779</v>
      </c>
      <c r="H150" s="5">
        <v>0.49236111111111114</v>
      </c>
      <c r="I150" s="4"/>
      <c r="J150" s="5"/>
      <c r="K150" s="10"/>
      <c r="O150" s="6" t="s">
        <v>1245</v>
      </c>
      <c r="P150" s="6" t="s">
        <v>1246</v>
      </c>
      <c r="S150" s="6" t="s">
        <v>239</v>
      </c>
      <c r="T150" s="11">
        <v>22278822</v>
      </c>
      <c r="U150" s="7">
        <v>44</v>
      </c>
      <c r="V150" s="6" t="s">
        <v>36</v>
      </c>
      <c r="W150" s="7">
        <v>47.5</v>
      </c>
      <c r="X150" s="6" t="s">
        <v>35</v>
      </c>
      <c r="Y150" s="7">
        <v>0.5</v>
      </c>
      <c r="Z150" s="7">
        <v>1</v>
      </c>
      <c r="AA150" s="6" t="s">
        <v>243</v>
      </c>
      <c r="AB150" s="6" t="s">
        <v>321</v>
      </c>
      <c r="AE150" s="6" t="s">
        <v>40</v>
      </c>
      <c r="AG150" s="6" t="s">
        <v>37</v>
      </c>
      <c r="AH150" s="7">
        <v>60</v>
      </c>
      <c r="AI150" s="6" t="s">
        <v>40</v>
      </c>
      <c r="AJ150" s="6" t="s">
        <v>238</v>
      </c>
      <c r="AL150" s="6" t="s">
        <v>41</v>
      </c>
      <c r="AN150" s="6" t="s">
        <v>1247</v>
      </c>
    </row>
    <row r="151" spans="1:40" x14ac:dyDescent="0.25">
      <c r="A151" s="4">
        <v>45863</v>
      </c>
      <c r="B151" s="6" t="s">
        <v>1372</v>
      </c>
      <c r="C151" t="str">
        <f>_xlfn.XLOOKUP(Table3[[#This Row],[station]],station_waterbody_county!A:A, station_waterbody_county!B:B)</f>
        <v>East Bay</v>
      </c>
      <c r="D151" t="str">
        <f>_xlfn.XLOOKUP(Table3[[#This Row],[station]],station_waterbody_county!A:A, station_waterbody_county!C:C)</f>
        <v>Cape Breton</v>
      </c>
      <c r="E151" s="6"/>
      <c r="F151" s="6" t="s">
        <v>310</v>
      </c>
      <c r="G151" s="12">
        <v>45447</v>
      </c>
      <c r="H151" s="5">
        <v>0.80833333333333335</v>
      </c>
      <c r="I151" s="4">
        <v>45824</v>
      </c>
      <c r="J151" s="5">
        <v>0.80555555555555558</v>
      </c>
      <c r="K151" s="10"/>
      <c r="O151" s="6" t="s">
        <v>1302</v>
      </c>
      <c r="P151" s="6" t="s">
        <v>1303</v>
      </c>
      <c r="Q151" s="6" t="s">
        <v>1365</v>
      </c>
      <c r="R151" s="6" t="s">
        <v>1366</v>
      </c>
      <c r="S151" s="6" t="s">
        <v>240</v>
      </c>
      <c r="T151" s="11">
        <v>670371</v>
      </c>
      <c r="U151" s="7">
        <v>2</v>
      </c>
      <c r="V151" s="6" t="s">
        <v>36</v>
      </c>
      <c r="W151" s="7"/>
      <c r="X151" s="6" t="s">
        <v>35</v>
      </c>
      <c r="Y151" s="7">
        <v>0.4</v>
      </c>
      <c r="Z151" s="7">
        <v>0.5</v>
      </c>
      <c r="AA151" s="6" t="s">
        <v>251</v>
      </c>
      <c r="AB151" s="6" t="s">
        <v>38</v>
      </c>
      <c r="AD151" s="6" t="s">
        <v>39</v>
      </c>
      <c r="AE151" s="6" t="s">
        <v>40</v>
      </c>
      <c r="AG151" s="6" t="s">
        <v>37</v>
      </c>
      <c r="AH151" s="7">
        <v>60</v>
      </c>
      <c r="AI151" s="6" t="s">
        <v>40</v>
      </c>
      <c r="AJ151" s="6" t="s">
        <v>238</v>
      </c>
      <c r="AL151" s="6" t="s">
        <v>1301</v>
      </c>
      <c r="AM151" s="6" t="s">
        <v>1301</v>
      </c>
      <c r="AN151" s="6" t="s">
        <v>1420</v>
      </c>
    </row>
    <row r="152" spans="1:40" x14ac:dyDescent="0.25">
      <c r="A152" s="4">
        <v>45863</v>
      </c>
      <c r="B152" s="6" t="s">
        <v>1372</v>
      </c>
      <c r="C152" t="str">
        <f>_xlfn.XLOOKUP(Table3[[#This Row],[station]],station_waterbody_county!A:A, station_waterbody_county!B:B)</f>
        <v>East Bay</v>
      </c>
      <c r="D152" t="str">
        <f>_xlfn.XLOOKUP(Table3[[#This Row],[station]],station_waterbody_county!A:A, station_waterbody_county!C:C)</f>
        <v>Cape Breton</v>
      </c>
      <c r="E152" s="6"/>
      <c r="F152" s="6" t="s">
        <v>310</v>
      </c>
      <c r="G152" s="12">
        <v>45447</v>
      </c>
      <c r="H152" s="5">
        <v>0.80833333333333335</v>
      </c>
      <c r="I152" s="4">
        <v>45824</v>
      </c>
      <c r="J152" s="5">
        <v>0.80555555555555558</v>
      </c>
      <c r="K152" s="10"/>
      <c r="O152" s="6" t="s">
        <v>1302</v>
      </c>
      <c r="P152" s="6" t="s">
        <v>1303</v>
      </c>
      <c r="Q152" s="6" t="s">
        <v>1365</v>
      </c>
      <c r="R152" s="6" t="s">
        <v>1366</v>
      </c>
      <c r="S152" s="6" t="s">
        <v>239</v>
      </c>
      <c r="T152" s="11">
        <v>20291452</v>
      </c>
      <c r="U152" s="7">
        <v>5</v>
      </c>
      <c r="V152" s="6" t="s">
        <v>36</v>
      </c>
      <c r="W152" s="7"/>
      <c r="X152" s="6" t="s">
        <v>35</v>
      </c>
      <c r="Y152" s="7">
        <v>0.4</v>
      </c>
      <c r="Z152" s="7">
        <v>0.5</v>
      </c>
      <c r="AA152" s="6" t="s">
        <v>251</v>
      </c>
      <c r="AB152" s="6" t="s">
        <v>38</v>
      </c>
      <c r="AD152" s="6" t="s">
        <v>39</v>
      </c>
      <c r="AE152" s="6" t="s">
        <v>40</v>
      </c>
      <c r="AG152" s="6" t="s">
        <v>37</v>
      </c>
      <c r="AH152" s="7">
        <v>60</v>
      </c>
      <c r="AI152" s="6" t="s">
        <v>40</v>
      </c>
      <c r="AJ152" s="6" t="s">
        <v>238</v>
      </c>
      <c r="AL152" s="6" t="s">
        <v>1301</v>
      </c>
      <c r="AM152" s="6" t="s">
        <v>1301</v>
      </c>
    </row>
    <row r="153" spans="1:40" x14ac:dyDescent="0.25">
      <c r="A153" s="4">
        <v>45863</v>
      </c>
      <c r="B153" s="6" t="s">
        <v>1372</v>
      </c>
      <c r="C153" t="str">
        <f>_xlfn.XLOOKUP(Table3[[#This Row],[station]],station_waterbody_county!A:A, station_waterbody_county!B:B)</f>
        <v>East Bay</v>
      </c>
      <c r="D153" t="str">
        <f>_xlfn.XLOOKUP(Table3[[#This Row],[station]],station_waterbody_county!A:A, station_waterbody_county!C:C)</f>
        <v>Cape Breton</v>
      </c>
      <c r="E153" s="6"/>
      <c r="F153" s="6" t="s">
        <v>310</v>
      </c>
      <c r="G153" s="12">
        <v>45447</v>
      </c>
      <c r="H153" s="5">
        <v>0.80833333333333335</v>
      </c>
      <c r="I153" s="4">
        <v>45824</v>
      </c>
      <c r="J153" s="5">
        <v>0.80555555555555558</v>
      </c>
      <c r="K153" s="10"/>
      <c r="O153" s="6" t="s">
        <v>1302</v>
      </c>
      <c r="P153" s="6" t="s">
        <v>1303</v>
      </c>
      <c r="Q153" s="6" t="s">
        <v>1365</v>
      </c>
      <c r="R153" s="6" t="s">
        <v>1366</v>
      </c>
      <c r="S153" s="6" t="s">
        <v>239</v>
      </c>
      <c r="T153" s="11">
        <v>20495256</v>
      </c>
      <c r="U153" s="7">
        <v>10</v>
      </c>
      <c r="V153" s="6" t="s">
        <v>36</v>
      </c>
      <c r="W153" s="7"/>
      <c r="X153" s="6" t="s">
        <v>35</v>
      </c>
      <c r="Y153" s="7">
        <v>0.4</v>
      </c>
      <c r="Z153" s="7">
        <v>0.5</v>
      </c>
      <c r="AA153" s="6" t="s">
        <v>251</v>
      </c>
      <c r="AB153" s="6" t="s">
        <v>38</v>
      </c>
      <c r="AD153" s="6" t="s">
        <v>39</v>
      </c>
      <c r="AE153" s="6" t="s">
        <v>40</v>
      </c>
      <c r="AG153" s="6" t="s">
        <v>37</v>
      </c>
      <c r="AH153" s="7">
        <v>60</v>
      </c>
      <c r="AI153" s="6" t="s">
        <v>40</v>
      </c>
      <c r="AJ153" s="6" t="s">
        <v>238</v>
      </c>
      <c r="AL153" s="6" t="s">
        <v>1301</v>
      </c>
      <c r="AM153" s="6" t="s">
        <v>1301</v>
      </c>
    </row>
    <row r="154" spans="1:40" x14ac:dyDescent="0.25">
      <c r="A154" s="4">
        <v>45863</v>
      </c>
      <c r="B154" s="6" t="s">
        <v>1372</v>
      </c>
      <c r="C154" t="str">
        <f>_xlfn.XLOOKUP(Table3[[#This Row],[station]],station_waterbody_county!A:A, station_waterbody_county!B:B)</f>
        <v>East Bay</v>
      </c>
      <c r="D154" t="str">
        <f>_xlfn.XLOOKUP(Table3[[#This Row],[station]],station_waterbody_county!A:A, station_waterbody_county!C:C)</f>
        <v>Cape Breton</v>
      </c>
      <c r="E154" s="6"/>
      <c r="F154" s="6" t="s">
        <v>310</v>
      </c>
      <c r="G154" s="12">
        <v>45447</v>
      </c>
      <c r="H154" s="5">
        <v>0.80833333333333335</v>
      </c>
      <c r="I154" s="4">
        <v>45824</v>
      </c>
      <c r="J154" s="5">
        <v>0.80555555555555558</v>
      </c>
      <c r="K154" s="10"/>
      <c r="O154" s="6" t="s">
        <v>1302</v>
      </c>
      <c r="P154" s="6" t="s">
        <v>1303</v>
      </c>
      <c r="Q154" s="6" t="s">
        <v>1365</v>
      </c>
      <c r="R154" s="6" t="s">
        <v>1366</v>
      </c>
      <c r="S154" s="6" t="s">
        <v>239</v>
      </c>
      <c r="T154" s="11">
        <v>20291451</v>
      </c>
      <c r="U154" s="7">
        <v>15</v>
      </c>
      <c r="V154" s="6" t="s">
        <v>36</v>
      </c>
      <c r="W154" s="7"/>
      <c r="X154" s="6" t="s">
        <v>35</v>
      </c>
      <c r="Y154" s="7">
        <v>0.4</v>
      </c>
      <c r="Z154" s="7">
        <v>0.5</v>
      </c>
      <c r="AA154" s="6" t="s">
        <v>251</v>
      </c>
      <c r="AB154" s="6" t="s">
        <v>38</v>
      </c>
      <c r="AD154" s="6" t="s">
        <v>39</v>
      </c>
      <c r="AE154" s="6" t="s">
        <v>40</v>
      </c>
      <c r="AG154" s="6" t="s">
        <v>37</v>
      </c>
      <c r="AH154" s="7">
        <v>60</v>
      </c>
      <c r="AI154" s="6" t="s">
        <v>40</v>
      </c>
      <c r="AJ154" s="6" t="s">
        <v>238</v>
      </c>
      <c r="AL154" s="6" t="s">
        <v>1301</v>
      </c>
      <c r="AM154" s="6" t="s">
        <v>1301</v>
      </c>
    </row>
    <row r="155" spans="1:40" x14ac:dyDescent="0.25">
      <c r="A155" s="4">
        <v>45863</v>
      </c>
      <c r="B155" s="6" t="s">
        <v>1372</v>
      </c>
      <c r="C155" t="str">
        <f>_xlfn.XLOOKUP(Table3[[#This Row],[station]],station_waterbody_county!A:A, station_waterbody_county!B:B)</f>
        <v>East Bay</v>
      </c>
      <c r="D155" t="str">
        <f>_xlfn.XLOOKUP(Table3[[#This Row],[station]],station_waterbody_county!A:A, station_waterbody_county!C:C)</f>
        <v>Cape Breton</v>
      </c>
      <c r="E155" s="6"/>
      <c r="F155" s="6" t="s">
        <v>310</v>
      </c>
      <c r="G155" s="12">
        <v>45447</v>
      </c>
      <c r="H155" s="5">
        <v>0.80833333333333335</v>
      </c>
      <c r="I155" s="4">
        <v>45824</v>
      </c>
      <c r="J155" s="5">
        <v>0.80555555555555558</v>
      </c>
      <c r="K155" s="10"/>
      <c r="O155" s="6" t="s">
        <v>1302</v>
      </c>
      <c r="P155" s="6" t="s">
        <v>1303</v>
      </c>
      <c r="Q155" s="6" t="s">
        <v>1365</v>
      </c>
      <c r="R155" s="6" t="s">
        <v>1366</v>
      </c>
      <c r="S155" s="6" t="s">
        <v>239</v>
      </c>
      <c r="T155" s="11">
        <v>20291430</v>
      </c>
      <c r="U155" s="7">
        <v>20</v>
      </c>
      <c r="V155" s="6" t="s">
        <v>36</v>
      </c>
      <c r="W155" s="7"/>
      <c r="X155" s="6" t="s">
        <v>35</v>
      </c>
      <c r="Y155" s="7">
        <v>0.4</v>
      </c>
      <c r="Z155" s="7">
        <v>0.5</v>
      </c>
      <c r="AA155" s="6" t="s">
        <v>251</v>
      </c>
      <c r="AB155" s="6" t="s">
        <v>38</v>
      </c>
      <c r="AD155" s="6" t="s">
        <v>39</v>
      </c>
      <c r="AE155" s="6" t="s">
        <v>40</v>
      </c>
      <c r="AG155" s="6" t="s">
        <v>37</v>
      </c>
      <c r="AH155" s="7">
        <v>60</v>
      </c>
      <c r="AI155" s="6" t="s">
        <v>40</v>
      </c>
      <c r="AJ155" s="6" t="s">
        <v>238</v>
      </c>
      <c r="AL155" s="6" t="s">
        <v>1301</v>
      </c>
      <c r="AM155" s="6" t="s">
        <v>1301</v>
      </c>
    </row>
    <row r="156" spans="1:40" x14ac:dyDescent="0.25">
      <c r="A156" s="4">
        <v>45863</v>
      </c>
      <c r="B156" s="6" t="s">
        <v>1372</v>
      </c>
      <c r="C156" t="str">
        <f>_xlfn.XLOOKUP(Table3[[#This Row],[station]],station_waterbody_county!A:A, station_waterbody_county!B:B)</f>
        <v>East Bay</v>
      </c>
      <c r="D156" t="str">
        <f>_xlfn.XLOOKUP(Table3[[#This Row],[station]],station_waterbody_county!A:A, station_waterbody_county!C:C)</f>
        <v>Cape Breton</v>
      </c>
      <c r="E156" s="6"/>
      <c r="F156" s="6" t="s">
        <v>310</v>
      </c>
      <c r="G156" s="12">
        <v>45447</v>
      </c>
      <c r="H156" s="5">
        <v>0.80833333333333335</v>
      </c>
      <c r="I156" s="4">
        <v>45824</v>
      </c>
      <c r="J156" s="5">
        <v>0.80555555555555558</v>
      </c>
      <c r="K156" s="10"/>
      <c r="O156" s="6" t="s">
        <v>1302</v>
      </c>
      <c r="P156" s="6" t="s">
        <v>1303</v>
      </c>
      <c r="Q156" s="6" t="s">
        <v>1365</v>
      </c>
      <c r="R156" s="6" t="s">
        <v>1366</v>
      </c>
      <c r="S156" s="6" t="s">
        <v>239</v>
      </c>
      <c r="T156" s="11">
        <v>21927317</v>
      </c>
      <c r="U156" s="7">
        <v>25</v>
      </c>
      <c r="V156" s="6" t="s">
        <v>36</v>
      </c>
      <c r="W156" s="7"/>
      <c r="X156" s="6" t="s">
        <v>35</v>
      </c>
      <c r="Y156" s="7">
        <v>0.4</v>
      </c>
      <c r="Z156" s="7">
        <v>0.5</v>
      </c>
      <c r="AA156" s="6" t="s">
        <v>251</v>
      </c>
      <c r="AB156" s="6" t="s">
        <v>38</v>
      </c>
      <c r="AD156" s="6" t="s">
        <v>39</v>
      </c>
      <c r="AE156" s="6" t="s">
        <v>40</v>
      </c>
      <c r="AG156" s="6" t="s">
        <v>37</v>
      </c>
      <c r="AH156" s="7">
        <v>60</v>
      </c>
      <c r="AI156" s="6" t="s">
        <v>40</v>
      </c>
      <c r="AJ156" s="6" t="s">
        <v>238</v>
      </c>
      <c r="AL156" s="6" t="s">
        <v>1301</v>
      </c>
      <c r="AM156" s="6" t="s">
        <v>1301</v>
      </c>
    </row>
    <row r="157" spans="1:40" x14ac:dyDescent="0.25">
      <c r="A157" s="4">
        <v>45863</v>
      </c>
      <c r="B157" s="6" t="s">
        <v>1372</v>
      </c>
      <c r="C157" t="str">
        <f>_xlfn.XLOOKUP(Table3[[#This Row],[station]],station_waterbody_county!A:A, station_waterbody_county!B:B)</f>
        <v>East Bay</v>
      </c>
      <c r="D157" t="str">
        <f>_xlfn.XLOOKUP(Table3[[#This Row],[station]],station_waterbody_county!A:A, station_waterbody_county!C:C)</f>
        <v>Cape Breton</v>
      </c>
      <c r="E157" s="6"/>
      <c r="F157" s="6" t="s">
        <v>310</v>
      </c>
      <c r="G157" s="12">
        <v>45447</v>
      </c>
      <c r="H157" s="5">
        <v>0.80833333333333335</v>
      </c>
      <c r="I157" s="4">
        <v>45824</v>
      </c>
      <c r="J157" s="5">
        <v>0.80555555555555558</v>
      </c>
      <c r="K157" s="10"/>
      <c r="O157" s="6" t="s">
        <v>1302</v>
      </c>
      <c r="P157" s="6" t="s">
        <v>1303</v>
      </c>
      <c r="Q157" s="6" t="s">
        <v>1365</v>
      </c>
      <c r="R157" s="6" t="s">
        <v>1366</v>
      </c>
      <c r="S157" s="6" t="s">
        <v>239</v>
      </c>
      <c r="T157" s="11">
        <v>21927302</v>
      </c>
      <c r="U157" s="7">
        <v>30</v>
      </c>
      <c r="V157" s="6" t="s">
        <v>36</v>
      </c>
      <c r="W157" s="7"/>
      <c r="X157" s="6" t="s">
        <v>35</v>
      </c>
      <c r="Y157" s="7">
        <v>0.4</v>
      </c>
      <c r="Z157" s="7">
        <v>0.5</v>
      </c>
      <c r="AA157" s="6" t="s">
        <v>251</v>
      </c>
      <c r="AB157" s="6" t="s">
        <v>38</v>
      </c>
      <c r="AD157" s="6" t="s">
        <v>39</v>
      </c>
      <c r="AE157" s="6" t="s">
        <v>40</v>
      </c>
      <c r="AG157" s="6" t="s">
        <v>37</v>
      </c>
      <c r="AH157" s="7">
        <v>60</v>
      </c>
      <c r="AI157" s="6" t="s">
        <v>40</v>
      </c>
      <c r="AJ157" s="6" t="s">
        <v>238</v>
      </c>
      <c r="AL157" s="6" t="s">
        <v>1301</v>
      </c>
      <c r="AM157" s="6" t="s">
        <v>1301</v>
      </c>
    </row>
    <row r="158" spans="1:40" x14ac:dyDescent="0.25">
      <c r="A158" s="4">
        <v>45863</v>
      </c>
      <c r="B158" s="6" t="s">
        <v>1372</v>
      </c>
      <c r="C158" t="str">
        <f>_xlfn.XLOOKUP(Table3[[#This Row],[station]],station_waterbody_county!A:A, station_waterbody_county!B:B)</f>
        <v>East Bay</v>
      </c>
      <c r="D158" t="str">
        <f>_xlfn.XLOOKUP(Table3[[#This Row],[station]],station_waterbody_county!A:A, station_waterbody_county!C:C)</f>
        <v>Cape Breton</v>
      </c>
      <c r="E158" s="6"/>
      <c r="F158" s="6" t="s">
        <v>310</v>
      </c>
      <c r="G158" s="12">
        <v>45447</v>
      </c>
      <c r="H158" s="5">
        <v>0.80833333333333335</v>
      </c>
      <c r="I158" s="4">
        <v>45824</v>
      </c>
      <c r="J158" s="5">
        <v>0.80555555555555558</v>
      </c>
      <c r="K158" s="10"/>
      <c r="O158" s="6" t="s">
        <v>1302</v>
      </c>
      <c r="P158" s="6" t="s">
        <v>1303</v>
      </c>
      <c r="Q158" s="6" t="s">
        <v>1365</v>
      </c>
      <c r="R158" s="6" t="s">
        <v>1366</v>
      </c>
      <c r="S158" s="6" t="s">
        <v>42</v>
      </c>
      <c r="T158" s="11">
        <v>549339</v>
      </c>
      <c r="U158" s="7">
        <v>35</v>
      </c>
      <c r="V158" s="6" t="s">
        <v>36</v>
      </c>
      <c r="W158" s="7"/>
      <c r="X158" s="6" t="s">
        <v>35</v>
      </c>
      <c r="Y158" s="7">
        <v>0.4</v>
      </c>
      <c r="Z158" s="7">
        <v>0.5</v>
      </c>
      <c r="AA158" s="6" t="s">
        <v>251</v>
      </c>
      <c r="AB158" s="6" t="s">
        <v>38</v>
      </c>
      <c r="AD158" s="6" t="s">
        <v>39</v>
      </c>
      <c r="AE158" s="6" t="s">
        <v>40</v>
      </c>
      <c r="AG158" s="6" t="s">
        <v>37</v>
      </c>
      <c r="AH158" s="7">
        <v>60</v>
      </c>
      <c r="AI158" s="6" t="s">
        <v>40</v>
      </c>
      <c r="AJ158" s="6" t="s">
        <v>238</v>
      </c>
      <c r="AL158" s="6" t="s">
        <v>1301</v>
      </c>
      <c r="AM158" s="6" t="s">
        <v>1301</v>
      </c>
    </row>
    <row r="159" spans="1:40" hidden="1" x14ac:dyDescent="0.25">
      <c r="A159" s="4">
        <v>45863</v>
      </c>
      <c r="B159" s="6" t="s">
        <v>1372</v>
      </c>
      <c r="C159" s="6" t="str">
        <f>_xlfn.XLOOKUP(Table3[[#This Row],[station]],station_waterbody_county!A:A, station_waterbody_county!B:B)</f>
        <v>East Bay</v>
      </c>
      <c r="D159" s="3" t="str">
        <f>_xlfn.XLOOKUP(Table3[[#This Row],[station]],station_waterbody_county!A:A, station_waterbody_county!C:C)</f>
        <v>Cape Breton</v>
      </c>
      <c r="E159" s="6"/>
      <c r="F159" s="6" t="s">
        <v>34</v>
      </c>
      <c r="G159" s="12">
        <v>45824</v>
      </c>
      <c r="H159" s="5">
        <v>0.82013888888888886</v>
      </c>
      <c r="I159" s="4"/>
      <c r="J159" s="5"/>
      <c r="K159" s="10"/>
      <c r="O159" s="6" t="s">
        <v>1365</v>
      </c>
      <c r="P159" s="6" t="s">
        <v>1366</v>
      </c>
      <c r="S159" s="6" t="s">
        <v>240</v>
      </c>
      <c r="T159" s="11">
        <v>671134</v>
      </c>
      <c r="U159" s="7">
        <v>2</v>
      </c>
      <c r="V159" s="6" t="s">
        <v>36</v>
      </c>
      <c r="W159" s="7">
        <v>60</v>
      </c>
      <c r="X159" s="6" t="s">
        <v>35</v>
      </c>
      <c r="Y159" s="7"/>
      <c r="Z159" s="7">
        <v>0.5</v>
      </c>
      <c r="AA159" s="6"/>
      <c r="AB159" s="6" t="s">
        <v>38</v>
      </c>
      <c r="AD159" s="6" t="s">
        <v>39</v>
      </c>
      <c r="AE159" s="6"/>
      <c r="AG159" s="6" t="s">
        <v>37</v>
      </c>
      <c r="AH159" s="7">
        <v>60</v>
      </c>
      <c r="AI159" s="6" t="s">
        <v>40</v>
      </c>
      <c r="AJ159" s="6" t="s">
        <v>238</v>
      </c>
      <c r="AK159" s="6" t="s">
        <v>241</v>
      </c>
      <c r="AL159" s="6" t="s">
        <v>1301</v>
      </c>
    </row>
    <row r="160" spans="1:40" hidden="1" x14ac:dyDescent="0.25">
      <c r="A160" s="4">
        <v>45863</v>
      </c>
      <c r="B160" s="6" t="s">
        <v>1372</v>
      </c>
      <c r="C160" s="6" t="str">
        <f>_xlfn.XLOOKUP(Table3[[#This Row],[station]],station_waterbody_county!A:A, station_waterbody_county!B:B)</f>
        <v>East Bay</v>
      </c>
      <c r="D160" s="3" t="str">
        <f>_xlfn.XLOOKUP(Table3[[#This Row],[station]],station_waterbody_county!A:A, station_waterbody_county!C:C)</f>
        <v>Cape Breton</v>
      </c>
      <c r="E160" s="6"/>
      <c r="F160" s="6" t="s">
        <v>34</v>
      </c>
      <c r="G160" s="12">
        <v>45824</v>
      </c>
      <c r="H160" s="5">
        <v>0.82013888888888886</v>
      </c>
      <c r="I160" s="4"/>
      <c r="J160" s="5"/>
      <c r="K160" s="10"/>
      <c r="O160" s="6" t="s">
        <v>1365</v>
      </c>
      <c r="P160" s="6" t="s">
        <v>1366</v>
      </c>
      <c r="S160" s="6" t="s">
        <v>239</v>
      </c>
      <c r="T160" s="11">
        <v>21927319</v>
      </c>
      <c r="U160" s="7">
        <v>5</v>
      </c>
      <c r="V160" s="6" t="s">
        <v>36</v>
      </c>
      <c r="W160" s="7">
        <v>60</v>
      </c>
      <c r="X160" s="6" t="s">
        <v>35</v>
      </c>
      <c r="Y160" s="7"/>
      <c r="Z160" s="7">
        <v>0.5</v>
      </c>
      <c r="AA160" s="6"/>
      <c r="AB160" s="6" t="s">
        <v>38</v>
      </c>
      <c r="AD160" s="6" t="s">
        <v>39</v>
      </c>
      <c r="AE160" s="6"/>
      <c r="AG160" s="6" t="s">
        <v>37</v>
      </c>
      <c r="AH160" s="7">
        <v>60</v>
      </c>
      <c r="AI160" s="6" t="s">
        <v>40</v>
      </c>
      <c r="AJ160" s="6" t="s">
        <v>238</v>
      </c>
      <c r="AK160" s="6" t="s">
        <v>241</v>
      </c>
      <c r="AL160" s="6" t="s">
        <v>1301</v>
      </c>
    </row>
    <row r="161" spans="1:40" hidden="1" x14ac:dyDescent="0.25">
      <c r="A161" s="4">
        <v>45863</v>
      </c>
      <c r="B161" s="6" t="s">
        <v>1372</v>
      </c>
      <c r="C161" s="6" t="str">
        <f>_xlfn.XLOOKUP(Table3[[#This Row],[station]],station_waterbody_county!A:A, station_waterbody_county!B:B)</f>
        <v>East Bay</v>
      </c>
      <c r="D161" s="3" t="str">
        <f>_xlfn.XLOOKUP(Table3[[#This Row],[station]],station_waterbody_county!A:A, station_waterbody_county!C:C)</f>
        <v>Cape Breton</v>
      </c>
      <c r="E161" s="6"/>
      <c r="F161" s="6" t="s">
        <v>34</v>
      </c>
      <c r="G161" s="12">
        <v>45824</v>
      </c>
      <c r="H161" s="5">
        <v>0.82013888888888886</v>
      </c>
      <c r="I161" s="4"/>
      <c r="J161" s="5"/>
      <c r="K161" s="10"/>
      <c r="O161" s="6" t="s">
        <v>1365</v>
      </c>
      <c r="P161" s="6" t="s">
        <v>1366</v>
      </c>
      <c r="S161" s="6" t="s">
        <v>239</v>
      </c>
      <c r="T161" s="11">
        <v>21927325</v>
      </c>
      <c r="U161" s="7">
        <v>10</v>
      </c>
      <c r="V161" s="6" t="s">
        <v>36</v>
      </c>
      <c r="W161" s="7">
        <v>60</v>
      </c>
      <c r="X161" s="6" t="s">
        <v>35</v>
      </c>
      <c r="Y161" s="7"/>
      <c r="Z161" s="7">
        <v>0.5</v>
      </c>
      <c r="AA161" s="6"/>
      <c r="AB161" s="6" t="s">
        <v>38</v>
      </c>
      <c r="AD161" s="6" t="s">
        <v>39</v>
      </c>
      <c r="AE161" s="6"/>
      <c r="AG161" s="6" t="s">
        <v>37</v>
      </c>
      <c r="AH161" s="7">
        <v>60</v>
      </c>
      <c r="AI161" s="6" t="s">
        <v>40</v>
      </c>
      <c r="AJ161" s="6" t="s">
        <v>238</v>
      </c>
      <c r="AK161" s="6" t="s">
        <v>241</v>
      </c>
      <c r="AL161" s="6" t="s">
        <v>1301</v>
      </c>
    </row>
    <row r="162" spans="1:40" hidden="1" x14ac:dyDescent="0.25">
      <c r="A162" s="4">
        <v>45863</v>
      </c>
      <c r="B162" s="6" t="s">
        <v>1372</v>
      </c>
      <c r="C162" s="6" t="str">
        <f>_xlfn.XLOOKUP(Table3[[#This Row],[station]],station_waterbody_county!A:A, station_waterbody_county!B:B)</f>
        <v>East Bay</v>
      </c>
      <c r="D162" s="3" t="str">
        <f>_xlfn.XLOOKUP(Table3[[#This Row],[station]],station_waterbody_county!A:A, station_waterbody_county!C:C)</f>
        <v>Cape Breton</v>
      </c>
      <c r="E162" s="6"/>
      <c r="F162" s="6" t="s">
        <v>34</v>
      </c>
      <c r="G162" s="12">
        <v>45824</v>
      </c>
      <c r="H162" s="5">
        <v>0.82013888888888886</v>
      </c>
      <c r="I162" s="4"/>
      <c r="J162" s="5"/>
      <c r="K162" s="10"/>
      <c r="O162" s="6" t="s">
        <v>1365</v>
      </c>
      <c r="P162" s="6" t="s">
        <v>1366</v>
      </c>
      <c r="S162" s="6" t="s">
        <v>239</v>
      </c>
      <c r="T162" s="11">
        <v>21927296</v>
      </c>
      <c r="U162" s="7">
        <v>15</v>
      </c>
      <c r="V162" s="6" t="s">
        <v>36</v>
      </c>
      <c r="W162" s="7">
        <v>60</v>
      </c>
      <c r="X162" s="6" t="s">
        <v>35</v>
      </c>
      <c r="Y162" s="7"/>
      <c r="Z162" s="7">
        <v>0.5</v>
      </c>
      <c r="AA162" s="6"/>
      <c r="AB162" s="6" t="s">
        <v>38</v>
      </c>
      <c r="AD162" s="6" t="s">
        <v>39</v>
      </c>
      <c r="AE162" s="6"/>
      <c r="AG162" s="6" t="s">
        <v>37</v>
      </c>
      <c r="AH162" s="7">
        <v>60</v>
      </c>
      <c r="AI162" s="6" t="s">
        <v>40</v>
      </c>
      <c r="AJ162" s="6" t="s">
        <v>238</v>
      </c>
      <c r="AK162" s="6" t="s">
        <v>241</v>
      </c>
      <c r="AL162" s="6" t="s">
        <v>1301</v>
      </c>
    </row>
    <row r="163" spans="1:40" hidden="1" x14ac:dyDescent="0.25">
      <c r="A163" s="4">
        <v>45863</v>
      </c>
      <c r="B163" s="6" t="s">
        <v>1372</v>
      </c>
      <c r="C163" s="6" t="str">
        <f>_xlfn.XLOOKUP(Table3[[#This Row],[station]],station_waterbody_county!A:A, station_waterbody_county!B:B)</f>
        <v>East Bay</v>
      </c>
      <c r="D163" s="3" t="str">
        <f>_xlfn.XLOOKUP(Table3[[#This Row],[station]],station_waterbody_county!A:A, station_waterbody_county!C:C)</f>
        <v>Cape Breton</v>
      </c>
      <c r="E163" s="6"/>
      <c r="F163" s="6" t="s">
        <v>34</v>
      </c>
      <c r="G163" s="12">
        <v>45824</v>
      </c>
      <c r="H163" s="5">
        <v>0.82013888888888886</v>
      </c>
      <c r="I163" s="4"/>
      <c r="J163" s="5"/>
      <c r="K163" s="10"/>
      <c r="O163" s="6" t="s">
        <v>1365</v>
      </c>
      <c r="P163" s="6" t="s">
        <v>1366</v>
      </c>
      <c r="S163" s="6" t="s">
        <v>239</v>
      </c>
      <c r="T163" s="11">
        <v>21152407</v>
      </c>
      <c r="U163" s="7">
        <v>20</v>
      </c>
      <c r="V163" s="6" t="s">
        <v>36</v>
      </c>
      <c r="W163" s="7">
        <v>60</v>
      </c>
      <c r="X163" s="6" t="s">
        <v>35</v>
      </c>
      <c r="Y163" s="7"/>
      <c r="Z163" s="7">
        <v>0.5</v>
      </c>
      <c r="AA163" s="6"/>
      <c r="AB163" s="6" t="s">
        <v>38</v>
      </c>
      <c r="AD163" s="6" t="s">
        <v>39</v>
      </c>
      <c r="AE163" s="6"/>
      <c r="AG163" s="6" t="s">
        <v>37</v>
      </c>
      <c r="AH163" s="7">
        <v>60</v>
      </c>
      <c r="AI163" s="6" t="s">
        <v>40</v>
      </c>
      <c r="AJ163" s="6" t="s">
        <v>238</v>
      </c>
      <c r="AK163" s="6" t="s">
        <v>241</v>
      </c>
      <c r="AL163" s="6" t="s">
        <v>1301</v>
      </c>
    </row>
    <row r="164" spans="1:40" hidden="1" x14ac:dyDescent="0.25">
      <c r="A164" s="4">
        <v>45863</v>
      </c>
      <c r="B164" s="6" t="s">
        <v>1372</v>
      </c>
      <c r="C164" s="6" t="str">
        <f>_xlfn.XLOOKUP(Table3[[#This Row],[station]],station_waterbody_county!A:A, station_waterbody_county!B:B)</f>
        <v>East Bay</v>
      </c>
      <c r="D164" s="3" t="str">
        <f>_xlfn.XLOOKUP(Table3[[#This Row],[station]],station_waterbody_county!A:A, station_waterbody_county!C:C)</f>
        <v>Cape Breton</v>
      </c>
      <c r="E164" s="6"/>
      <c r="F164" s="6" t="s">
        <v>34</v>
      </c>
      <c r="G164" s="12">
        <v>45824</v>
      </c>
      <c r="H164" s="5">
        <v>0.82013888888888886</v>
      </c>
      <c r="I164" s="4"/>
      <c r="J164" s="5"/>
      <c r="K164" s="10"/>
      <c r="O164" s="6" t="s">
        <v>1365</v>
      </c>
      <c r="P164" s="6" t="s">
        <v>1366</v>
      </c>
      <c r="S164" s="6" t="s">
        <v>239</v>
      </c>
      <c r="T164" s="11">
        <v>21043077</v>
      </c>
      <c r="U164" s="7">
        <v>25</v>
      </c>
      <c r="V164" s="6" t="s">
        <v>36</v>
      </c>
      <c r="W164" s="7">
        <v>60</v>
      </c>
      <c r="X164" s="6" t="s">
        <v>35</v>
      </c>
      <c r="Y164" s="7"/>
      <c r="Z164" s="7">
        <v>0.5</v>
      </c>
      <c r="AA164" s="6"/>
      <c r="AB164" s="6" t="s">
        <v>38</v>
      </c>
      <c r="AD164" s="6" t="s">
        <v>39</v>
      </c>
      <c r="AE164" s="6"/>
      <c r="AG164" s="6" t="s">
        <v>37</v>
      </c>
      <c r="AH164" s="7">
        <v>60</v>
      </c>
      <c r="AI164" s="6" t="s">
        <v>40</v>
      </c>
      <c r="AJ164" s="6" t="s">
        <v>238</v>
      </c>
      <c r="AK164" s="6" t="s">
        <v>241</v>
      </c>
      <c r="AL164" s="6" t="s">
        <v>1301</v>
      </c>
    </row>
    <row r="165" spans="1:40" hidden="1" x14ac:dyDescent="0.25">
      <c r="A165" s="4">
        <v>45863</v>
      </c>
      <c r="B165" s="6" t="s">
        <v>1372</v>
      </c>
      <c r="C165" s="6" t="str">
        <f>_xlfn.XLOOKUP(Table3[[#This Row],[station]],station_waterbody_county!A:A, station_waterbody_county!B:B)</f>
        <v>East Bay</v>
      </c>
      <c r="D165" s="3" t="str">
        <f>_xlfn.XLOOKUP(Table3[[#This Row],[station]],station_waterbody_county!A:A, station_waterbody_county!C:C)</f>
        <v>Cape Breton</v>
      </c>
      <c r="E165" s="6"/>
      <c r="F165" s="6" t="s">
        <v>34</v>
      </c>
      <c r="G165" s="12">
        <v>45824</v>
      </c>
      <c r="H165" s="5">
        <v>0.82013888888888886</v>
      </c>
      <c r="I165" s="4"/>
      <c r="J165" s="5"/>
      <c r="K165" s="10"/>
      <c r="O165" s="6" t="s">
        <v>1365</v>
      </c>
      <c r="P165" s="6" t="s">
        <v>1366</v>
      </c>
      <c r="S165" s="6" t="s">
        <v>239</v>
      </c>
      <c r="T165" s="11">
        <v>22311506</v>
      </c>
      <c r="U165" s="7">
        <v>30</v>
      </c>
      <c r="V165" s="6" t="s">
        <v>36</v>
      </c>
      <c r="W165" s="7">
        <v>60</v>
      </c>
      <c r="X165" s="6" t="s">
        <v>35</v>
      </c>
      <c r="Y165" s="7"/>
      <c r="Z165" s="7">
        <v>0.5</v>
      </c>
      <c r="AA165" s="6"/>
      <c r="AB165" s="6" t="s">
        <v>38</v>
      </c>
      <c r="AD165" s="6" t="s">
        <v>39</v>
      </c>
      <c r="AE165" s="6"/>
      <c r="AG165" s="6" t="s">
        <v>37</v>
      </c>
      <c r="AH165" s="7">
        <v>60</v>
      </c>
      <c r="AI165" s="6" t="s">
        <v>40</v>
      </c>
      <c r="AJ165" s="6" t="s">
        <v>238</v>
      </c>
      <c r="AK165" s="6" t="s">
        <v>241</v>
      </c>
      <c r="AL165" s="6" t="s">
        <v>1301</v>
      </c>
    </row>
    <row r="166" spans="1:40" hidden="1" x14ac:dyDescent="0.25">
      <c r="A166" s="4">
        <v>45863</v>
      </c>
      <c r="B166" s="6" t="s">
        <v>1372</v>
      </c>
      <c r="C166" s="6" t="str">
        <f>_xlfn.XLOOKUP(Table3[[#This Row],[station]],station_waterbody_county!A:A, station_waterbody_county!B:B)</f>
        <v>East Bay</v>
      </c>
      <c r="D166" s="3" t="str">
        <f>_xlfn.XLOOKUP(Table3[[#This Row],[station]],station_waterbody_county!A:A, station_waterbody_county!C:C)</f>
        <v>Cape Breton</v>
      </c>
      <c r="E166" s="6"/>
      <c r="F166" s="6" t="s">
        <v>34</v>
      </c>
      <c r="G166" s="12">
        <v>45824</v>
      </c>
      <c r="H166" s="5">
        <v>0.82013888888888886</v>
      </c>
      <c r="I166" s="4"/>
      <c r="J166" s="5"/>
      <c r="K166" s="10"/>
      <c r="O166" s="6" t="s">
        <v>1365</v>
      </c>
      <c r="P166" s="6" t="s">
        <v>1366</v>
      </c>
      <c r="S166" s="6" t="s">
        <v>42</v>
      </c>
      <c r="T166" s="11">
        <v>547232</v>
      </c>
      <c r="U166" s="7">
        <v>35</v>
      </c>
      <c r="V166" s="6" t="s">
        <v>36</v>
      </c>
      <c r="W166" s="7">
        <v>60</v>
      </c>
      <c r="X166" s="6" t="s">
        <v>35</v>
      </c>
      <c r="Y166" s="7"/>
      <c r="Z166" s="7">
        <v>0.5</v>
      </c>
      <c r="AA166" s="6"/>
      <c r="AB166" s="6" t="s">
        <v>38</v>
      </c>
      <c r="AD166" s="6" t="s">
        <v>39</v>
      </c>
      <c r="AE166" s="6"/>
      <c r="AG166" s="6" t="s">
        <v>37</v>
      </c>
      <c r="AH166" s="7">
        <v>60</v>
      </c>
      <c r="AI166" s="6" t="s">
        <v>40</v>
      </c>
      <c r="AJ166" s="6" t="s">
        <v>238</v>
      </c>
      <c r="AK166" s="6" t="s">
        <v>241</v>
      </c>
      <c r="AL166" s="6" t="s">
        <v>1301</v>
      </c>
    </row>
    <row r="167" spans="1:40" hidden="1" x14ac:dyDescent="0.25">
      <c r="A167" s="4">
        <v>45863</v>
      </c>
      <c r="B167" s="6" t="s">
        <v>1372</v>
      </c>
      <c r="C167" s="6" t="str">
        <f>_xlfn.XLOOKUP(Table3[[#This Row],[station]],station_waterbody_county!A:A, station_waterbody_county!B:B)</f>
        <v>East Bay</v>
      </c>
      <c r="D167" s="3" t="str">
        <f>_xlfn.XLOOKUP(Table3[[#This Row],[station]],station_waterbody_county!A:A, station_waterbody_county!C:C)</f>
        <v>Cape Breton</v>
      </c>
      <c r="E167" s="6"/>
      <c r="F167" s="6" t="s">
        <v>34</v>
      </c>
      <c r="G167" s="12">
        <v>45824</v>
      </c>
      <c r="H167" s="5">
        <v>0.82013888888888886</v>
      </c>
      <c r="I167" s="4"/>
      <c r="J167" s="5"/>
      <c r="K167" s="10"/>
      <c r="O167" s="6" t="s">
        <v>1365</v>
      </c>
      <c r="P167" s="6" t="s">
        <v>1366</v>
      </c>
      <c r="S167" s="6" t="s">
        <v>239</v>
      </c>
      <c r="T167" s="11">
        <v>22278827</v>
      </c>
      <c r="U167" s="7">
        <v>35</v>
      </c>
      <c r="V167" s="6" t="s">
        <v>36</v>
      </c>
      <c r="W167" s="7">
        <v>60</v>
      </c>
      <c r="X167" s="6" t="s">
        <v>35</v>
      </c>
      <c r="Y167" s="7"/>
      <c r="Z167" s="7">
        <v>0.5</v>
      </c>
      <c r="AA167" s="6"/>
      <c r="AB167" s="6" t="s">
        <v>38</v>
      </c>
      <c r="AD167" s="6" t="s">
        <v>39</v>
      </c>
      <c r="AE167" s="6"/>
      <c r="AG167" s="6" t="s">
        <v>37</v>
      </c>
      <c r="AH167" s="7">
        <v>60</v>
      </c>
      <c r="AI167" s="6" t="s">
        <v>40</v>
      </c>
      <c r="AJ167" s="6" t="s">
        <v>238</v>
      </c>
      <c r="AK167" s="6" t="s">
        <v>241</v>
      </c>
      <c r="AL167" s="6" t="s">
        <v>1301</v>
      </c>
    </row>
    <row r="168" spans="1:40" x14ac:dyDescent="0.25">
      <c r="A168" s="4">
        <v>45596</v>
      </c>
      <c r="B168" s="6" t="s">
        <v>136</v>
      </c>
      <c r="C168" t="str">
        <f>_xlfn.XLOOKUP(Table3[[#This Row],[station]],station_waterbody_county!A:A, station_waterbody_county!B:B)</f>
        <v>Chedabucto Bay</v>
      </c>
      <c r="D168" t="str">
        <f>_xlfn.XLOOKUP(Table3[[#This Row],[station]],station_waterbody_county!A:A, station_waterbody_county!C:C)</f>
        <v>Guysborough</v>
      </c>
      <c r="E168" s="6"/>
      <c r="F168" s="6" t="s">
        <v>310</v>
      </c>
      <c r="G168" s="4">
        <v>45476</v>
      </c>
      <c r="H168" s="5">
        <v>0.5180555555555556</v>
      </c>
      <c r="I168" s="4">
        <v>45582</v>
      </c>
      <c r="J168" s="5">
        <v>0.52430555555555558</v>
      </c>
      <c r="K168" s="10"/>
      <c r="O168" s="6" t="s">
        <v>412</v>
      </c>
      <c r="P168" s="6" t="s">
        <v>413</v>
      </c>
      <c r="Q168" s="6" t="s">
        <v>497</v>
      </c>
      <c r="R168" s="6" t="s">
        <v>498</v>
      </c>
      <c r="S168" s="6" t="s">
        <v>239</v>
      </c>
      <c r="T168" s="11">
        <v>21082890</v>
      </c>
      <c r="U168" s="7">
        <v>2</v>
      </c>
      <c r="V168" s="6" t="s">
        <v>36</v>
      </c>
      <c r="W168" s="7"/>
      <c r="X168" s="6" t="s">
        <v>35</v>
      </c>
      <c r="Y168" s="7">
        <v>1</v>
      </c>
      <c r="Z168" s="7">
        <v>0.5</v>
      </c>
      <c r="AA168" s="6" t="s">
        <v>251</v>
      </c>
      <c r="AB168" s="6" t="s">
        <v>321</v>
      </c>
      <c r="AD168" s="6" t="s">
        <v>39</v>
      </c>
      <c r="AE168" s="6"/>
      <c r="AG168" s="6" t="s">
        <v>37</v>
      </c>
      <c r="AH168" s="7">
        <v>60</v>
      </c>
      <c r="AI168" s="6" t="s">
        <v>40</v>
      </c>
      <c r="AJ168" s="6" t="s">
        <v>238</v>
      </c>
      <c r="AL168" s="6" t="s">
        <v>41</v>
      </c>
      <c r="AM168" s="6" t="s">
        <v>41</v>
      </c>
    </row>
    <row r="169" spans="1:40" x14ac:dyDescent="0.25">
      <c r="A169" s="4">
        <v>45596</v>
      </c>
      <c r="B169" s="6" t="s">
        <v>136</v>
      </c>
      <c r="C169" t="str">
        <f>_xlfn.XLOOKUP(Table3[[#This Row],[station]],station_waterbody_county!A:A, station_waterbody_county!B:B)</f>
        <v>Chedabucto Bay</v>
      </c>
      <c r="D169" t="str">
        <f>_xlfn.XLOOKUP(Table3[[#This Row],[station]],station_waterbody_county!A:A, station_waterbody_county!C:C)</f>
        <v>Guysborough</v>
      </c>
      <c r="E169" s="6"/>
      <c r="F169" s="6" t="s">
        <v>310</v>
      </c>
      <c r="G169" s="4">
        <v>45476</v>
      </c>
      <c r="H169" s="5">
        <v>0.5180555555555556</v>
      </c>
      <c r="I169" s="4">
        <v>45582</v>
      </c>
      <c r="J169" s="5">
        <v>0.52430555555555558</v>
      </c>
      <c r="K169" s="10"/>
      <c r="O169" s="6" t="s">
        <v>412</v>
      </c>
      <c r="P169" s="6" t="s">
        <v>413</v>
      </c>
      <c r="Q169" s="6" t="s">
        <v>497</v>
      </c>
      <c r="R169" s="6" t="s">
        <v>498</v>
      </c>
      <c r="S169" s="6" t="s">
        <v>240</v>
      </c>
      <c r="T169" s="11">
        <v>671015</v>
      </c>
      <c r="U169" s="7">
        <v>5</v>
      </c>
      <c r="V169" s="6" t="s">
        <v>36</v>
      </c>
      <c r="W169" s="7"/>
      <c r="X169" s="6" t="s">
        <v>35</v>
      </c>
      <c r="Y169" s="7">
        <v>1</v>
      </c>
      <c r="Z169" s="7">
        <v>0.5</v>
      </c>
      <c r="AA169" s="6" t="s">
        <v>251</v>
      </c>
      <c r="AB169" s="6" t="s">
        <v>321</v>
      </c>
      <c r="AD169" s="6" t="s">
        <v>39</v>
      </c>
      <c r="AE169" s="6"/>
      <c r="AG169" s="6" t="s">
        <v>37</v>
      </c>
      <c r="AH169" s="7">
        <v>60</v>
      </c>
      <c r="AI169" s="6" t="s">
        <v>40</v>
      </c>
      <c r="AJ169" s="6" t="s">
        <v>238</v>
      </c>
      <c r="AL169" s="6" t="s">
        <v>41</v>
      </c>
      <c r="AM169" s="6" t="s">
        <v>41</v>
      </c>
      <c r="AN169" s="6" t="s">
        <v>499</v>
      </c>
    </row>
    <row r="170" spans="1:40" x14ac:dyDescent="0.25">
      <c r="A170" s="4">
        <v>45596</v>
      </c>
      <c r="B170" s="6" t="s">
        <v>136</v>
      </c>
      <c r="C170" t="str">
        <f>_xlfn.XLOOKUP(Table3[[#This Row],[station]],station_waterbody_county!A:A, station_waterbody_county!B:B)</f>
        <v>Chedabucto Bay</v>
      </c>
      <c r="D170" t="str">
        <f>_xlfn.XLOOKUP(Table3[[#This Row],[station]],station_waterbody_county!A:A, station_waterbody_county!C:C)</f>
        <v>Guysborough</v>
      </c>
      <c r="E170" s="6"/>
      <c r="F170" s="6" t="s">
        <v>310</v>
      </c>
      <c r="G170" s="4">
        <v>45476</v>
      </c>
      <c r="H170" s="5">
        <v>0.5180555555555556</v>
      </c>
      <c r="I170" s="4">
        <v>45582</v>
      </c>
      <c r="J170" s="5">
        <v>0.52430555555555558</v>
      </c>
      <c r="K170" s="10"/>
      <c r="O170" s="6" t="s">
        <v>412</v>
      </c>
      <c r="P170" s="6" t="s">
        <v>413</v>
      </c>
      <c r="Q170" s="6" t="s">
        <v>497</v>
      </c>
      <c r="R170" s="6" t="s">
        <v>498</v>
      </c>
      <c r="S170" s="6" t="s">
        <v>239</v>
      </c>
      <c r="T170" s="11">
        <v>20495251</v>
      </c>
      <c r="U170" s="7">
        <v>10</v>
      </c>
      <c r="V170" s="6" t="s">
        <v>36</v>
      </c>
      <c r="W170" s="7"/>
      <c r="X170" s="6" t="s">
        <v>35</v>
      </c>
      <c r="Y170" s="7">
        <v>1</v>
      </c>
      <c r="Z170" s="7">
        <v>0.5</v>
      </c>
      <c r="AA170" s="6" t="s">
        <v>251</v>
      </c>
      <c r="AB170" s="6" t="s">
        <v>321</v>
      </c>
      <c r="AD170" s="6" t="s">
        <v>39</v>
      </c>
      <c r="AE170" s="6"/>
      <c r="AG170" s="6" t="s">
        <v>37</v>
      </c>
      <c r="AH170" s="7">
        <v>60</v>
      </c>
      <c r="AI170" s="6" t="s">
        <v>40</v>
      </c>
      <c r="AJ170" s="6" t="s">
        <v>238</v>
      </c>
      <c r="AL170" s="6" t="s">
        <v>41</v>
      </c>
      <c r="AM170" s="6" t="s">
        <v>41</v>
      </c>
    </row>
    <row r="171" spans="1:40" x14ac:dyDescent="0.25">
      <c r="A171" s="4">
        <v>45596</v>
      </c>
      <c r="B171" s="6" t="s">
        <v>136</v>
      </c>
      <c r="C171" t="str">
        <f>_xlfn.XLOOKUP(Table3[[#This Row],[station]],station_waterbody_county!A:A, station_waterbody_county!B:B)</f>
        <v>Chedabucto Bay</v>
      </c>
      <c r="D171" t="str">
        <f>_xlfn.XLOOKUP(Table3[[#This Row],[station]],station_waterbody_county!A:A, station_waterbody_county!C:C)</f>
        <v>Guysborough</v>
      </c>
      <c r="E171" s="6"/>
      <c r="F171" s="6" t="s">
        <v>310</v>
      </c>
      <c r="G171" s="4">
        <v>45476</v>
      </c>
      <c r="H171" s="5">
        <v>0.5180555555555556</v>
      </c>
      <c r="I171" s="4">
        <v>45582</v>
      </c>
      <c r="J171" s="5">
        <v>0.52430555555555558</v>
      </c>
      <c r="K171" s="10"/>
      <c r="O171" s="6" t="s">
        <v>412</v>
      </c>
      <c r="P171" s="6" t="s">
        <v>413</v>
      </c>
      <c r="Q171" s="6" t="s">
        <v>497</v>
      </c>
      <c r="R171" s="6" t="s">
        <v>498</v>
      </c>
      <c r="S171" s="6" t="s">
        <v>239</v>
      </c>
      <c r="T171" s="11">
        <v>20495249</v>
      </c>
      <c r="U171" s="7">
        <v>15</v>
      </c>
      <c r="V171" s="6" t="s">
        <v>36</v>
      </c>
      <c r="W171" s="7"/>
      <c r="X171" s="6" t="s">
        <v>35</v>
      </c>
      <c r="Y171" s="7">
        <v>1</v>
      </c>
      <c r="Z171" s="7">
        <v>0.5</v>
      </c>
      <c r="AA171" s="6" t="s">
        <v>251</v>
      </c>
      <c r="AB171" s="6" t="s">
        <v>321</v>
      </c>
      <c r="AD171" s="6" t="s">
        <v>39</v>
      </c>
      <c r="AE171" s="6"/>
      <c r="AG171" s="6" t="s">
        <v>37</v>
      </c>
      <c r="AH171" s="7">
        <v>60</v>
      </c>
      <c r="AI171" s="6" t="s">
        <v>40</v>
      </c>
      <c r="AJ171" s="6" t="s">
        <v>238</v>
      </c>
      <c r="AL171" s="6" t="s">
        <v>41</v>
      </c>
      <c r="AM171" s="6" t="s">
        <v>41</v>
      </c>
    </row>
    <row r="172" spans="1:40" x14ac:dyDescent="0.25">
      <c r="A172" s="4">
        <v>45596</v>
      </c>
      <c r="B172" s="6" t="s">
        <v>136</v>
      </c>
      <c r="C172" t="str">
        <f>_xlfn.XLOOKUP(Table3[[#This Row],[station]],station_waterbody_county!A:A, station_waterbody_county!B:B)</f>
        <v>Chedabucto Bay</v>
      </c>
      <c r="D172" t="str">
        <f>_xlfn.XLOOKUP(Table3[[#This Row],[station]],station_waterbody_county!A:A, station_waterbody_county!C:C)</f>
        <v>Guysborough</v>
      </c>
      <c r="E172" s="6"/>
      <c r="F172" s="6" t="s">
        <v>310</v>
      </c>
      <c r="G172" s="4">
        <v>45476</v>
      </c>
      <c r="H172" s="5">
        <v>0.5180555555555556</v>
      </c>
      <c r="I172" s="4">
        <v>45582</v>
      </c>
      <c r="J172" s="5">
        <v>0.52430555555555558</v>
      </c>
      <c r="K172" s="10"/>
      <c r="O172" s="6" t="s">
        <v>412</v>
      </c>
      <c r="P172" s="6" t="s">
        <v>413</v>
      </c>
      <c r="Q172" s="6" t="s">
        <v>497</v>
      </c>
      <c r="R172" s="6" t="s">
        <v>498</v>
      </c>
      <c r="S172" s="6" t="s">
        <v>239</v>
      </c>
      <c r="T172" s="11">
        <v>21927294</v>
      </c>
      <c r="U172" s="7">
        <v>20</v>
      </c>
      <c r="V172" s="6" t="s">
        <v>36</v>
      </c>
      <c r="W172" s="7"/>
      <c r="X172" s="6" t="s">
        <v>35</v>
      </c>
      <c r="Y172" s="7">
        <v>1</v>
      </c>
      <c r="Z172" s="7">
        <v>0.5</v>
      </c>
      <c r="AA172" s="6" t="s">
        <v>251</v>
      </c>
      <c r="AB172" s="6" t="s">
        <v>321</v>
      </c>
      <c r="AD172" s="6" t="s">
        <v>39</v>
      </c>
      <c r="AE172" s="6"/>
      <c r="AG172" s="6" t="s">
        <v>37</v>
      </c>
      <c r="AH172" s="7">
        <v>60</v>
      </c>
      <c r="AI172" s="6" t="s">
        <v>40</v>
      </c>
      <c r="AJ172" s="6" t="s">
        <v>238</v>
      </c>
      <c r="AL172" s="6" t="s">
        <v>41</v>
      </c>
      <c r="AM172" s="6" t="s">
        <v>41</v>
      </c>
    </row>
    <row r="173" spans="1:40" x14ac:dyDescent="0.25">
      <c r="A173" s="4">
        <v>45596</v>
      </c>
      <c r="B173" s="6" t="s">
        <v>136</v>
      </c>
      <c r="C173" t="str">
        <f>_xlfn.XLOOKUP(Table3[[#This Row],[station]],station_waterbody_county!A:A, station_waterbody_county!B:B)</f>
        <v>Chedabucto Bay</v>
      </c>
      <c r="D173" t="str">
        <f>_xlfn.XLOOKUP(Table3[[#This Row],[station]],station_waterbody_county!A:A, station_waterbody_county!C:C)</f>
        <v>Guysborough</v>
      </c>
      <c r="E173" s="6"/>
      <c r="F173" s="6" t="s">
        <v>310</v>
      </c>
      <c r="G173" s="4">
        <v>45476</v>
      </c>
      <c r="H173" s="5">
        <v>0.5180555555555556</v>
      </c>
      <c r="I173" s="4">
        <v>45582</v>
      </c>
      <c r="J173" s="5">
        <v>0.52430555555555558</v>
      </c>
      <c r="K173" s="10"/>
      <c r="O173" s="6" t="s">
        <v>412</v>
      </c>
      <c r="P173" s="6" t="s">
        <v>413</v>
      </c>
      <c r="Q173" s="6" t="s">
        <v>497</v>
      </c>
      <c r="R173" s="6" t="s">
        <v>498</v>
      </c>
      <c r="S173" s="6" t="s">
        <v>42</v>
      </c>
      <c r="T173" s="11">
        <v>548600</v>
      </c>
      <c r="U173" s="7">
        <v>26</v>
      </c>
      <c r="V173" s="6" t="s">
        <v>36</v>
      </c>
      <c r="W173" s="7"/>
      <c r="X173" s="6" t="s">
        <v>35</v>
      </c>
      <c r="Y173" s="7">
        <v>1</v>
      </c>
      <c r="Z173" s="7">
        <v>0.5</v>
      </c>
      <c r="AA173" s="6" t="s">
        <v>251</v>
      </c>
      <c r="AB173" s="6" t="s">
        <v>321</v>
      </c>
      <c r="AD173" s="6" t="s">
        <v>39</v>
      </c>
      <c r="AE173" s="6"/>
      <c r="AG173" s="6" t="s">
        <v>37</v>
      </c>
      <c r="AH173" s="7">
        <v>60</v>
      </c>
      <c r="AI173" s="6" t="s">
        <v>40</v>
      </c>
      <c r="AJ173" s="6" t="s">
        <v>238</v>
      </c>
      <c r="AL173" s="6" t="s">
        <v>41</v>
      </c>
      <c r="AM173" s="6" t="s">
        <v>41</v>
      </c>
    </row>
    <row r="174" spans="1:40" hidden="1" x14ac:dyDescent="0.25">
      <c r="A174" s="12">
        <v>45677</v>
      </c>
      <c r="B174" s="6" t="s">
        <v>136</v>
      </c>
      <c r="C174" t="str">
        <f>_xlfn.XLOOKUP(Table3[[#This Row],[station]],station_waterbody_county!A:A, station_waterbody_county!B:B)</f>
        <v>Chedabucto Bay</v>
      </c>
      <c r="D174" t="str">
        <f>_xlfn.XLOOKUP(Table3[[#This Row],[station]],station_waterbody_county!A:A, station_waterbody_county!C:C)</f>
        <v>Guysborough</v>
      </c>
      <c r="E174" s="6"/>
      <c r="F174" s="6" t="s">
        <v>310</v>
      </c>
      <c r="G174" s="12">
        <v>45112</v>
      </c>
      <c r="H174" s="5"/>
      <c r="I174" s="4">
        <v>45476</v>
      </c>
      <c r="J174" s="5">
        <v>0.49930555555555556</v>
      </c>
      <c r="K174" s="10">
        <v>45.360849999999999</v>
      </c>
      <c r="L174" s="10">
        <v>-61.406782999999997</v>
      </c>
      <c r="O174" s="6" t="s">
        <v>410</v>
      </c>
      <c r="P174" s="6" t="s">
        <v>411</v>
      </c>
      <c r="Q174" s="6" t="s">
        <v>410</v>
      </c>
      <c r="R174" s="6" t="s">
        <v>411</v>
      </c>
      <c r="S174" s="6" t="s">
        <v>239</v>
      </c>
      <c r="T174" s="11">
        <v>20820322</v>
      </c>
      <c r="U174" s="7">
        <v>2</v>
      </c>
      <c r="V174" s="6" t="s">
        <v>36</v>
      </c>
      <c r="W174" s="7">
        <v>31</v>
      </c>
      <c r="X174" s="6" t="s">
        <v>35</v>
      </c>
      <c r="Y174" s="7">
        <v>0.4</v>
      </c>
      <c r="Z174" s="7">
        <v>1.7</v>
      </c>
      <c r="AA174" s="6" t="s">
        <v>251</v>
      </c>
      <c r="AB174" s="6" t="s">
        <v>321</v>
      </c>
      <c r="AD174" s="6" t="s">
        <v>39</v>
      </c>
      <c r="AE174" s="6"/>
      <c r="AG174" s="6" t="s">
        <v>37</v>
      </c>
      <c r="AH174" s="7"/>
      <c r="AI174" s="6" t="s">
        <v>40</v>
      </c>
      <c r="AJ174" s="6" t="s">
        <v>238</v>
      </c>
      <c r="AK174" s="6" t="s">
        <v>35</v>
      </c>
      <c r="AL174" s="6" t="s">
        <v>275</v>
      </c>
      <c r="AN174" s="6" t="s">
        <v>252</v>
      </c>
    </row>
    <row r="175" spans="1:40" hidden="1" x14ac:dyDescent="0.25">
      <c r="A175" s="12">
        <v>45677</v>
      </c>
      <c r="B175" s="6" t="s">
        <v>136</v>
      </c>
      <c r="C175" t="str">
        <f>_xlfn.XLOOKUP(Table3[[#This Row],[station]],station_waterbody_county!A:A, station_waterbody_county!B:B)</f>
        <v>Chedabucto Bay</v>
      </c>
      <c r="D175" t="str">
        <f>_xlfn.XLOOKUP(Table3[[#This Row],[station]],station_waterbody_county!A:A, station_waterbody_county!C:C)</f>
        <v>Guysborough</v>
      </c>
      <c r="E175" s="6"/>
      <c r="F175" s="6" t="s">
        <v>310</v>
      </c>
      <c r="G175" s="12">
        <v>45112</v>
      </c>
      <c r="H175" s="5"/>
      <c r="I175" s="4">
        <v>45476</v>
      </c>
      <c r="J175" s="5">
        <v>0.49930555555555556</v>
      </c>
      <c r="K175" s="10">
        <v>45.360849999999999</v>
      </c>
      <c r="L175" s="10">
        <v>-61.406782999999997</v>
      </c>
      <c r="O175" s="6" t="s">
        <v>410</v>
      </c>
      <c r="P175" s="6" t="s">
        <v>411</v>
      </c>
      <c r="Q175" s="6" t="s">
        <v>410</v>
      </c>
      <c r="R175" s="6" t="s">
        <v>411</v>
      </c>
      <c r="S175" s="6" t="s">
        <v>240</v>
      </c>
      <c r="T175" s="11">
        <v>675286</v>
      </c>
      <c r="U175" s="7">
        <v>5</v>
      </c>
      <c r="V175" s="6" t="s">
        <v>36</v>
      </c>
      <c r="W175" s="7">
        <v>31</v>
      </c>
      <c r="X175" s="6" t="s">
        <v>35</v>
      </c>
      <c r="Y175" s="7">
        <v>0.4</v>
      </c>
      <c r="Z175" s="7">
        <v>1.7</v>
      </c>
      <c r="AA175" s="6" t="s">
        <v>251</v>
      </c>
      <c r="AB175" s="6" t="s">
        <v>321</v>
      </c>
      <c r="AD175" s="6" t="s">
        <v>39</v>
      </c>
      <c r="AE175" s="6"/>
      <c r="AG175" s="6" t="s">
        <v>37</v>
      </c>
      <c r="AH175" s="7"/>
      <c r="AI175" s="6" t="s">
        <v>40</v>
      </c>
      <c r="AJ175" s="6" t="s">
        <v>238</v>
      </c>
      <c r="AK175" s="6" t="s">
        <v>35</v>
      </c>
      <c r="AL175" s="6" t="s">
        <v>275</v>
      </c>
      <c r="AN175" s="6" t="s">
        <v>252</v>
      </c>
    </row>
    <row r="176" spans="1:40" hidden="1" x14ac:dyDescent="0.25">
      <c r="A176" s="12">
        <v>45677</v>
      </c>
      <c r="B176" s="6" t="s">
        <v>136</v>
      </c>
      <c r="C176" t="str">
        <f>_xlfn.XLOOKUP(Table3[[#This Row],[station]],station_waterbody_county!A:A, station_waterbody_county!B:B)</f>
        <v>Chedabucto Bay</v>
      </c>
      <c r="D176" t="str">
        <f>_xlfn.XLOOKUP(Table3[[#This Row],[station]],station_waterbody_county!A:A, station_waterbody_county!C:C)</f>
        <v>Guysborough</v>
      </c>
      <c r="E176" s="6"/>
      <c r="F176" s="6" t="s">
        <v>310</v>
      </c>
      <c r="G176" s="12">
        <v>45112</v>
      </c>
      <c r="H176" s="5"/>
      <c r="I176" s="4">
        <v>45476</v>
      </c>
      <c r="J176" s="5">
        <v>0.49930555555555556</v>
      </c>
      <c r="K176" s="10">
        <v>45.360849999999999</v>
      </c>
      <c r="L176" s="10">
        <v>-61.406782999999997</v>
      </c>
      <c r="O176" s="6" t="s">
        <v>410</v>
      </c>
      <c r="P176" s="6" t="s">
        <v>411</v>
      </c>
      <c r="Q176" s="6" t="s">
        <v>410</v>
      </c>
      <c r="R176" s="6" t="s">
        <v>411</v>
      </c>
      <c r="S176" s="6" t="s">
        <v>239</v>
      </c>
      <c r="T176" s="11">
        <v>21043075</v>
      </c>
      <c r="U176" s="7">
        <v>10</v>
      </c>
      <c r="V176" s="6" t="s">
        <v>36</v>
      </c>
      <c r="W176" s="7">
        <v>31</v>
      </c>
      <c r="X176" s="6" t="s">
        <v>35</v>
      </c>
      <c r="Y176" s="7">
        <v>0.4</v>
      </c>
      <c r="Z176" s="7">
        <v>1.7</v>
      </c>
      <c r="AA176" s="6" t="s">
        <v>251</v>
      </c>
      <c r="AB176" s="6" t="s">
        <v>321</v>
      </c>
      <c r="AD176" s="6" t="s">
        <v>39</v>
      </c>
      <c r="AE176" s="6"/>
      <c r="AG176" s="6" t="s">
        <v>37</v>
      </c>
      <c r="AH176" s="7"/>
      <c r="AI176" s="6" t="s">
        <v>40</v>
      </c>
      <c r="AJ176" s="6" t="s">
        <v>238</v>
      </c>
      <c r="AK176" s="6" t="s">
        <v>35</v>
      </c>
      <c r="AL176" s="6" t="s">
        <v>275</v>
      </c>
      <c r="AN176" s="6" t="s">
        <v>252</v>
      </c>
    </row>
    <row r="177" spans="1:40" hidden="1" x14ac:dyDescent="0.25">
      <c r="A177" s="12">
        <v>45677</v>
      </c>
      <c r="B177" s="6" t="s">
        <v>136</v>
      </c>
      <c r="C177" t="str">
        <f>_xlfn.XLOOKUP(Table3[[#This Row],[station]],station_waterbody_county!A:A, station_waterbody_county!B:B)</f>
        <v>Chedabucto Bay</v>
      </c>
      <c r="D177" t="str">
        <f>_xlfn.XLOOKUP(Table3[[#This Row],[station]],station_waterbody_county!A:A, station_waterbody_county!C:C)</f>
        <v>Guysborough</v>
      </c>
      <c r="E177" s="6"/>
      <c r="F177" s="6" t="s">
        <v>310</v>
      </c>
      <c r="G177" s="12">
        <v>45112</v>
      </c>
      <c r="H177" s="5"/>
      <c r="I177" s="4">
        <v>45476</v>
      </c>
      <c r="J177" s="5">
        <v>0.49930555555555556</v>
      </c>
      <c r="K177" s="10">
        <v>45.360849999999999</v>
      </c>
      <c r="L177" s="10">
        <v>-61.406782999999997</v>
      </c>
      <c r="O177" s="6" t="s">
        <v>410</v>
      </c>
      <c r="P177" s="6" t="s">
        <v>411</v>
      </c>
      <c r="Q177" s="6" t="s">
        <v>410</v>
      </c>
      <c r="R177" s="6" t="s">
        <v>411</v>
      </c>
      <c r="S177" s="6" t="s">
        <v>239</v>
      </c>
      <c r="T177" s="11">
        <v>21488192</v>
      </c>
      <c r="U177" s="7">
        <v>15</v>
      </c>
      <c r="V177" s="6" t="s">
        <v>36</v>
      </c>
      <c r="W177" s="7">
        <v>31</v>
      </c>
      <c r="X177" s="6" t="s">
        <v>35</v>
      </c>
      <c r="Y177" s="7">
        <v>0.4</v>
      </c>
      <c r="Z177" s="7">
        <v>1.7</v>
      </c>
      <c r="AA177" s="6" t="s">
        <v>251</v>
      </c>
      <c r="AB177" s="6" t="s">
        <v>321</v>
      </c>
      <c r="AD177" s="6" t="s">
        <v>39</v>
      </c>
      <c r="AE177" s="6"/>
      <c r="AG177" s="6" t="s">
        <v>37</v>
      </c>
      <c r="AH177" s="7"/>
      <c r="AI177" s="6" t="s">
        <v>40</v>
      </c>
      <c r="AJ177" s="6" t="s">
        <v>238</v>
      </c>
      <c r="AK177" s="6" t="s">
        <v>35</v>
      </c>
      <c r="AL177" s="6" t="s">
        <v>275</v>
      </c>
      <c r="AN177" s="6" t="s">
        <v>252</v>
      </c>
    </row>
    <row r="178" spans="1:40" hidden="1" x14ac:dyDescent="0.25">
      <c r="A178" s="12">
        <v>45677</v>
      </c>
      <c r="B178" s="6" t="s">
        <v>136</v>
      </c>
      <c r="C178" t="str">
        <f>_xlfn.XLOOKUP(Table3[[#This Row],[station]],station_waterbody_county!A:A, station_waterbody_county!B:B)</f>
        <v>Chedabucto Bay</v>
      </c>
      <c r="D178" t="str">
        <f>_xlfn.XLOOKUP(Table3[[#This Row],[station]],station_waterbody_county!A:A, station_waterbody_county!C:C)</f>
        <v>Guysborough</v>
      </c>
      <c r="E178" s="6"/>
      <c r="F178" s="6" t="s">
        <v>310</v>
      </c>
      <c r="G178" s="12">
        <v>45112</v>
      </c>
      <c r="H178" s="5"/>
      <c r="I178" s="4">
        <v>45476</v>
      </c>
      <c r="J178" s="5">
        <v>0.49930555555555556</v>
      </c>
      <c r="K178" s="10">
        <v>45.360849999999999</v>
      </c>
      <c r="L178" s="10">
        <v>-61.406782999999997</v>
      </c>
      <c r="O178" s="6" t="s">
        <v>410</v>
      </c>
      <c r="P178" s="6" t="s">
        <v>411</v>
      </c>
      <c r="Q178" s="6" t="s">
        <v>410</v>
      </c>
      <c r="R178" s="6" t="s">
        <v>411</v>
      </c>
      <c r="S178" s="6" t="s">
        <v>239</v>
      </c>
      <c r="T178" s="11">
        <v>20900985</v>
      </c>
      <c r="U178" s="7">
        <v>20</v>
      </c>
      <c r="V178" s="6" t="s">
        <v>36</v>
      </c>
      <c r="W178" s="7">
        <v>31</v>
      </c>
      <c r="X178" s="6" t="s">
        <v>35</v>
      </c>
      <c r="Y178" s="7">
        <v>0.4</v>
      </c>
      <c r="Z178" s="7">
        <v>1.7</v>
      </c>
      <c r="AA178" s="6" t="s">
        <v>251</v>
      </c>
      <c r="AB178" s="6" t="s">
        <v>321</v>
      </c>
      <c r="AD178" s="6" t="s">
        <v>39</v>
      </c>
      <c r="AE178" s="6"/>
      <c r="AG178" s="6" t="s">
        <v>37</v>
      </c>
      <c r="AH178" s="7"/>
      <c r="AI178" s="6" t="s">
        <v>40</v>
      </c>
      <c r="AJ178" s="6" t="s">
        <v>238</v>
      </c>
      <c r="AK178" s="6" t="s">
        <v>35</v>
      </c>
      <c r="AL178" s="6" t="s">
        <v>275</v>
      </c>
      <c r="AN178" s="6" t="s">
        <v>252</v>
      </c>
    </row>
    <row r="179" spans="1:40" hidden="1" x14ac:dyDescent="0.25">
      <c r="A179" s="12">
        <v>45677</v>
      </c>
      <c r="B179" s="6" t="s">
        <v>136</v>
      </c>
      <c r="C179" t="str">
        <f>_xlfn.XLOOKUP(Table3[[#This Row],[station]],station_waterbody_county!A:A, station_waterbody_county!B:B)</f>
        <v>Chedabucto Bay</v>
      </c>
      <c r="D179" t="str">
        <f>_xlfn.XLOOKUP(Table3[[#This Row],[station]],station_waterbody_county!A:A, station_waterbody_county!C:C)</f>
        <v>Guysborough</v>
      </c>
      <c r="E179" s="6"/>
      <c r="F179" s="6" t="s">
        <v>310</v>
      </c>
      <c r="G179" s="12">
        <v>45112</v>
      </c>
      <c r="H179" s="5"/>
      <c r="I179" s="4">
        <v>45476</v>
      </c>
      <c r="J179" s="5">
        <v>0.49930555555555556</v>
      </c>
      <c r="K179" s="10">
        <v>45.360849999999999</v>
      </c>
      <c r="L179" s="10">
        <v>-61.406782999999997</v>
      </c>
      <c r="O179" s="6" t="s">
        <v>410</v>
      </c>
      <c r="P179" s="6" t="s">
        <v>411</v>
      </c>
      <c r="Q179" s="6" t="s">
        <v>410</v>
      </c>
      <c r="R179" s="6" t="s">
        <v>411</v>
      </c>
      <c r="S179" s="6" t="s">
        <v>42</v>
      </c>
      <c r="T179" s="11">
        <v>548042</v>
      </c>
      <c r="U179" s="7">
        <v>26</v>
      </c>
      <c r="V179" s="6" t="s">
        <v>36</v>
      </c>
      <c r="W179" s="7">
        <v>31</v>
      </c>
      <c r="X179" s="6" t="s">
        <v>35</v>
      </c>
      <c r="Y179" s="7">
        <v>0.4</v>
      </c>
      <c r="Z179" s="7">
        <v>1.7</v>
      </c>
      <c r="AA179" s="6" t="s">
        <v>251</v>
      </c>
      <c r="AB179" s="6" t="s">
        <v>321</v>
      </c>
      <c r="AD179" s="6" t="s">
        <v>39</v>
      </c>
      <c r="AE179" s="6"/>
      <c r="AG179" s="6" t="s">
        <v>37</v>
      </c>
      <c r="AH179" s="7"/>
      <c r="AI179" s="6" t="s">
        <v>40</v>
      </c>
      <c r="AJ179" s="6" t="s">
        <v>238</v>
      </c>
      <c r="AK179" s="6" t="s">
        <v>35</v>
      </c>
      <c r="AL179" s="6" t="s">
        <v>275</v>
      </c>
      <c r="AN179" s="6" t="s">
        <v>252</v>
      </c>
    </row>
    <row r="180" spans="1:40" x14ac:dyDescent="0.25">
      <c r="A180" s="4">
        <v>45798</v>
      </c>
      <c r="B180" s="6" t="s">
        <v>136</v>
      </c>
      <c r="C180" t="str">
        <f>_xlfn.XLOOKUP(Table3[[#This Row],[station]],station_waterbody_county!A:A, station_waterbody_county!B:B)</f>
        <v>Chedabucto Bay</v>
      </c>
      <c r="D180" t="str">
        <f>_xlfn.XLOOKUP(Table3[[#This Row],[station]],station_waterbody_county!A:A, station_waterbody_county!C:C)</f>
        <v>Guysborough</v>
      </c>
      <c r="E180" s="6"/>
      <c r="F180" s="6" t="s">
        <v>310</v>
      </c>
      <c r="G180" s="4">
        <v>45582</v>
      </c>
      <c r="H180" s="5">
        <v>0.53888888888888886</v>
      </c>
      <c r="I180" s="4">
        <v>45791</v>
      </c>
      <c r="J180" s="5">
        <v>0.62361111111111112</v>
      </c>
      <c r="K180" s="10"/>
      <c r="O180" s="6" t="s">
        <v>500</v>
      </c>
      <c r="P180" s="6" t="s">
        <v>501</v>
      </c>
      <c r="Q180" s="6" t="s">
        <v>1267</v>
      </c>
      <c r="R180" s="6" t="s">
        <v>1268</v>
      </c>
      <c r="S180" s="6" t="s">
        <v>239</v>
      </c>
      <c r="T180" s="11">
        <v>21488197</v>
      </c>
      <c r="U180" s="7">
        <v>2</v>
      </c>
      <c r="V180" s="6" t="s">
        <v>36</v>
      </c>
      <c r="W180" s="7">
        <v>18</v>
      </c>
      <c r="X180" s="6" t="s">
        <v>35</v>
      </c>
      <c r="Y180" s="7">
        <v>1.5</v>
      </c>
      <c r="Z180" s="7">
        <v>1.5</v>
      </c>
      <c r="AA180" s="6" t="s">
        <v>251</v>
      </c>
      <c r="AB180" s="6" t="s">
        <v>38</v>
      </c>
      <c r="AD180" s="6" t="s">
        <v>39</v>
      </c>
      <c r="AE180" s="6"/>
      <c r="AG180" s="6" t="s">
        <v>37</v>
      </c>
      <c r="AH180" s="7">
        <v>60</v>
      </c>
      <c r="AI180" s="6" t="s">
        <v>40</v>
      </c>
      <c r="AJ180" s="6" t="s">
        <v>238</v>
      </c>
      <c r="AL180" s="6" t="s">
        <v>41</v>
      </c>
      <c r="AM180" s="6" t="s">
        <v>41</v>
      </c>
    </row>
    <row r="181" spans="1:40" x14ac:dyDescent="0.25">
      <c r="A181" s="4">
        <v>45798</v>
      </c>
      <c r="B181" s="6" t="s">
        <v>136</v>
      </c>
      <c r="C181" t="str">
        <f>_xlfn.XLOOKUP(Table3[[#This Row],[station]],station_waterbody_county!A:A, station_waterbody_county!B:B)</f>
        <v>Chedabucto Bay</v>
      </c>
      <c r="D181" t="str">
        <f>_xlfn.XLOOKUP(Table3[[#This Row],[station]],station_waterbody_county!A:A, station_waterbody_county!C:C)</f>
        <v>Guysborough</v>
      </c>
      <c r="E181" s="6"/>
      <c r="F181" s="6" t="s">
        <v>310</v>
      </c>
      <c r="G181" s="4">
        <v>45582</v>
      </c>
      <c r="H181" s="5">
        <v>0.53888888888888886</v>
      </c>
      <c r="I181" s="4">
        <v>45791</v>
      </c>
      <c r="J181" s="5">
        <v>0.62361111111111112</v>
      </c>
      <c r="K181" s="10"/>
      <c r="O181" s="6" t="s">
        <v>500</v>
      </c>
      <c r="P181" s="6" t="s">
        <v>501</v>
      </c>
      <c r="Q181" s="6" t="s">
        <v>1267</v>
      </c>
      <c r="R181" s="6" t="s">
        <v>1268</v>
      </c>
      <c r="S181" s="6" t="s">
        <v>240</v>
      </c>
      <c r="T181" s="11">
        <v>670356</v>
      </c>
      <c r="U181" s="7">
        <v>5</v>
      </c>
      <c r="V181" s="6" t="s">
        <v>36</v>
      </c>
      <c r="W181" s="7">
        <v>18</v>
      </c>
      <c r="X181" s="6" t="s">
        <v>35</v>
      </c>
      <c r="Y181" s="7">
        <v>1.5</v>
      </c>
      <c r="Z181" s="7">
        <v>1.5</v>
      </c>
      <c r="AA181" s="6" t="s">
        <v>251</v>
      </c>
      <c r="AB181" s="6" t="s">
        <v>38</v>
      </c>
      <c r="AD181" s="6" t="s">
        <v>39</v>
      </c>
      <c r="AE181" s="6"/>
      <c r="AG181" s="6" t="s">
        <v>37</v>
      </c>
      <c r="AH181" s="7">
        <v>60</v>
      </c>
      <c r="AI181" s="6" t="s">
        <v>40</v>
      </c>
      <c r="AJ181" s="6" t="s">
        <v>238</v>
      </c>
      <c r="AL181" s="6" t="s">
        <v>41</v>
      </c>
      <c r="AM181" s="6" t="s">
        <v>41</v>
      </c>
    </row>
    <row r="182" spans="1:40" x14ac:dyDescent="0.25">
      <c r="A182" s="4">
        <v>45798</v>
      </c>
      <c r="B182" s="6" t="s">
        <v>136</v>
      </c>
      <c r="C182" t="str">
        <f>_xlfn.XLOOKUP(Table3[[#This Row],[station]],station_waterbody_county!A:A, station_waterbody_county!B:B)</f>
        <v>Chedabucto Bay</v>
      </c>
      <c r="D182" t="str">
        <f>_xlfn.XLOOKUP(Table3[[#This Row],[station]],station_waterbody_county!A:A, station_waterbody_county!C:C)</f>
        <v>Guysborough</v>
      </c>
      <c r="E182" s="6"/>
      <c r="F182" s="6" t="s">
        <v>310</v>
      </c>
      <c r="G182" s="4">
        <v>45582</v>
      </c>
      <c r="H182" s="5">
        <v>0.53888888888888886</v>
      </c>
      <c r="I182" s="4">
        <v>45791</v>
      </c>
      <c r="J182" s="5">
        <v>0.62361111111111112</v>
      </c>
      <c r="K182" s="10"/>
      <c r="O182" s="6" t="s">
        <v>500</v>
      </c>
      <c r="P182" s="6" t="s">
        <v>501</v>
      </c>
      <c r="Q182" s="6" t="s">
        <v>1267</v>
      </c>
      <c r="R182" s="6" t="s">
        <v>1268</v>
      </c>
      <c r="S182" s="6" t="s">
        <v>239</v>
      </c>
      <c r="T182" s="11">
        <v>21082880</v>
      </c>
      <c r="U182" s="7">
        <v>10</v>
      </c>
      <c r="V182" s="6" t="s">
        <v>36</v>
      </c>
      <c r="W182" s="7">
        <v>18</v>
      </c>
      <c r="X182" s="6" t="s">
        <v>35</v>
      </c>
      <c r="Y182" s="7">
        <v>1.5</v>
      </c>
      <c r="Z182" s="7">
        <v>1.5</v>
      </c>
      <c r="AA182" s="6" t="s">
        <v>251</v>
      </c>
      <c r="AB182" s="6" t="s">
        <v>38</v>
      </c>
      <c r="AD182" s="6" t="s">
        <v>39</v>
      </c>
      <c r="AE182" s="6"/>
      <c r="AG182" s="6" t="s">
        <v>37</v>
      </c>
      <c r="AH182" s="7">
        <v>60</v>
      </c>
      <c r="AI182" s="6" t="s">
        <v>40</v>
      </c>
      <c r="AJ182" s="6" t="s">
        <v>238</v>
      </c>
      <c r="AL182" s="6" t="s">
        <v>41</v>
      </c>
      <c r="AM182" s="6" t="s">
        <v>41</v>
      </c>
    </row>
    <row r="183" spans="1:40" x14ac:dyDescent="0.25">
      <c r="A183" s="4">
        <v>45798</v>
      </c>
      <c r="B183" s="6" t="s">
        <v>136</v>
      </c>
      <c r="C183" t="str">
        <f>_xlfn.XLOOKUP(Table3[[#This Row],[station]],station_waterbody_county!A:A, station_waterbody_county!B:B)</f>
        <v>Chedabucto Bay</v>
      </c>
      <c r="D183" t="str">
        <f>_xlfn.XLOOKUP(Table3[[#This Row],[station]],station_waterbody_county!A:A, station_waterbody_county!C:C)</f>
        <v>Guysborough</v>
      </c>
      <c r="E183" s="6"/>
      <c r="F183" s="6" t="s">
        <v>310</v>
      </c>
      <c r="G183" s="4">
        <v>45582</v>
      </c>
      <c r="H183" s="5">
        <v>0.53888888888888886</v>
      </c>
      <c r="I183" s="4">
        <v>45791</v>
      </c>
      <c r="J183" s="5">
        <v>0.62361111111111112</v>
      </c>
      <c r="K183" s="10"/>
      <c r="O183" s="6" t="s">
        <v>500</v>
      </c>
      <c r="P183" s="6" t="s">
        <v>501</v>
      </c>
      <c r="Q183" s="6" t="s">
        <v>1267</v>
      </c>
      <c r="R183" s="6" t="s">
        <v>1268</v>
      </c>
      <c r="S183" s="6" t="s">
        <v>239</v>
      </c>
      <c r="T183" s="11">
        <v>21927296</v>
      </c>
      <c r="U183" s="7">
        <v>15</v>
      </c>
      <c r="V183" s="6" t="s">
        <v>36</v>
      </c>
      <c r="W183" s="7">
        <v>18</v>
      </c>
      <c r="X183" s="6" t="s">
        <v>35</v>
      </c>
      <c r="Y183" s="7">
        <v>1.5</v>
      </c>
      <c r="Z183" s="7">
        <v>1.5</v>
      </c>
      <c r="AA183" s="6" t="s">
        <v>251</v>
      </c>
      <c r="AB183" s="6" t="s">
        <v>38</v>
      </c>
      <c r="AD183" s="6" t="s">
        <v>39</v>
      </c>
      <c r="AE183" s="6"/>
      <c r="AG183" s="6" t="s">
        <v>37</v>
      </c>
      <c r="AH183" s="7">
        <v>60</v>
      </c>
      <c r="AI183" s="6" t="s">
        <v>40</v>
      </c>
      <c r="AJ183" s="6" t="s">
        <v>238</v>
      </c>
      <c r="AL183" s="6" t="s">
        <v>41</v>
      </c>
      <c r="AM183" s="6" t="s">
        <v>41</v>
      </c>
    </row>
    <row r="184" spans="1:40" x14ac:dyDescent="0.25">
      <c r="A184" s="4">
        <v>45798</v>
      </c>
      <c r="B184" s="6" t="s">
        <v>136</v>
      </c>
      <c r="C184" t="str">
        <f>_xlfn.XLOOKUP(Table3[[#This Row],[station]],station_waterbody_county!A:A, station_waterbody_county!B:B)</f>
        <v>Chedabucto Bay</v>
      </c>
      <c r="D184" t="str">
        <f>_xlfn.XLOOKUP(Table3[[#This Row],[station]],station_waterbody_county!A:A, station_waterbody_county!C:C)</f>
        <v>Guysborough</v>
      </c>
      <c r="E184" s="6"/>
      <c r="F184" s="6" t="s">
        <v>310</v>
      </c>
      <c r="G184" s="4">
        <v>45582</v>
      </c>
      <c r="H184" s="5">
        <v>0.53888888888888886</v>
      </c>
      <c r="I184" s="4">
        <v>45791</v>
      </c>
      <c r="J184" s="5">
        <v>0.62361111111111112</v>
      </c>
      <c r="K184" s="10"/>
      <c r="O184" s="6" t="s">
        <v>500</v>
      </c>
      <c r="P184" s="6" t="s">
        <v>501</v>
      </c>
      <c r="Q184" s="6" t="s">
        <v>1267</v>
      </c>
      <c r="R184" s="6" t="s">
        <v>1268</v>
      </c>
      <c r="S184" s="6" t="s">
        <v>239</v>
      </c>
      <c r="T184" s="11">
        <v>20820380</v>
      </c>
      <c r="U184" s="7">
        <v>20</v>
      </c>
      <c r="V184" s="6" t="s">
        <v>36</v>
      </c>
      <c r="W184" s="7">
        <v>18</v>
      </c>
      <c r="X184" s="6" t="s">
        <v>35</v>
      </c>
      <c r="Y184" s="7">
        <v>1.5</v>
      </c>
      <c r="Z184" s="7">
        <v>1.5</v>
      </c>
      <c r="AA184" s="6" t="s">
        <v>251</v>
      </c>
      <c r="AB184" s="6" t="s">
        <v>38</v>
      </c>
      <c r="AD184" s="6" t="s">
        <v>39</v>
      </c>
      <c r="AE184" s="6"/>
      <c r="AG184" s="6" t="s">
        <v>37</v>
      </c>
      <c r="AH184" s="7">
        <v>60</v>
      </c>
      <c r="AI184" s="6" t="s">
        <v>40</v>
      </c>
      <c r="AJ184" s="6" t="s">
        <v>238</v>
      </c>
      <c r="AL184" s="6" t="s">
        <v>41</v>
      </c>
      <c r="AM184" s="6" t="s">
        <v>41</v>
      </c>
    </row>
    <row r="185" spans="1:40" x14ac:dyDescent="0.25">
      <c r="A185" s="4">
        <v>45798</v>
      </c>
      <c r="B185" s="6" t="s">
        <v>136</v>
      </c>
      <c r="C185" t="str">
        <f>_xlfn.XLOOKUP(Table3[[#This Row],[station]],station_waterbody_county!A:A, station_waterbody_county!B:B)</f>
        <v>Chedabucto Bay</v>
      </c>
      <c r="D185" t="str">
        <f>_xlfn.XLOOKUP(Table3[[#This Row],[station]],station_waterbody_county!A:A, station_waterbody_county!C:C)</f>
        <v>Guysborough</v>
      </c>
      <c r="E185" s="6"/>
      <c r="F185" s="6" t="s">
        <v>310</v>
      </c>
      <c r="G185" s="4">
        <v>45582</v>
      </c>
      <c r="H185" s="5">
        <v>0.53888888888888886</v>
      </c>
      <c r="I185" s="4">
        <v>45791</v>
      </c>
      <c r="J185" s="5">
        <v>0.62361111111111112</v>
      </c>
      <c r="K185" s="10"/>
      <c r="O185" s="6" t="s">
        <v>500</v>
      </c>
      <c r="P185" s="6" t="s">
        <v>501</v>
      </c>
      <c r="Q185" s="6" t="s">
        <v>1267</v>
      </c>
      <c r="R185" s="6" t="s">
        <v>1268</v>
      </c>
      <c r="S185" s="6" t="s">
        <v>42</v>
      </c>
      <c r="T185" s="11">
        <v>548591</v>
      </c>
      <c r="U185" s="7">
        <v>26</v>
      </c>
      <c r="V185" s="6" t="s">
        <v>36</v>
      </c>
      <c r="W185" s="7">
        <v>18</v>
      </c>
      <c r="X185" s="6" t="s">
        <v>35</v>
      </c>
      <c r="Y185" s="7">
        <v>1.5</v>
      </c>
      <c r="Z185" s="7">
        <v>1.5</v>
      </c>
      <c r="AA185" s="6" t="s">
        <v>251</v>
      </c>
      <c r="AB185" s="6" t="s">
        <v>38</v>
      </c>
      <c r="AD185" s="6" t="s">
        <v>39</v>
      </c>
      <c r="AE185" s="6"/>
      <c r="AG185" s="6" t="s">
        <v>37</v>
      </c>
      <c r="AH185" s="7">
        <v>60</v>
      </c>
      <c r="AI185" s="6" t="s">
        <v>40</v>
      </c>
      <c r="AJ185" s="6" t="s">
        <v>238</v>
      </c>
      <c r="AL185" s="6" t="s">
        <v>41</v>
      </c>
      <c r="AM185" s="6" t="s">
        <v>41</v>
      </c>
    </row>
    <row r="186" spans="1:40" x14ac:dyDescent="0.25">
      <c r="A186" s="4">
        <v>45798</v>
      </c>
      <c r="B186" s="6" t="s">
        <v>136</v>
      </c>
      <c r="C186" t="str">
        <f>_xlfn.XLOOKUP(Table3[[#This Row],[station]],station_waterbody_county!A:A, station_waterbody_county!B:B)</f>
        <v>Chedabucto Bay</v>
      </c>
      <c r="D186" t="str">
        <f>_xlfn.XLOOKUP(Table3[[#This Row],[station]],station_waterbody_county!A:A, station_waterbody_county!C:C)</f>
        <v>Guysborough</v>
      </c>
      <c r="E186" s="6"/>
      <c r="F186" s="6" t="s">
        <v>310</v>
      </c>
      <c r="G186" s="4">
        <v>45582</v>
      </c>
      <c r="H186" s="5">
        <v>0.53888888888888886</v>
      </c>
      <c r="I186" s="4">
        <v>45791</v>
      </c>
      <c r="J186" s="5">
        <v>0.62361111111111112</v>
      </c>
      <c r="K186" s="10"/>
      <c r="O186" s="6" t="s">
        <v>500</v>
      </c>
      <c r="P186" s="6" t="s">
        <v>501</v>
      </c>
      <c r="Q186" s="6" t="s">
        <v>1267</v>
      </c>
      <c r="R186" s="6" t="s">
        <v>1268</v>
      </c>
      <c r="S186" s="6" t="s">
        <v>239</v>
      </c>
      <c r="T186" s="11">
        <v>21650145</v>
      </c>
      <c r="U186" s="7">
        <v>26</v>
      </c>
      <c r="V186" s="6" t="s">
        <v>36</v>
      </c>
      <c r="W186" s="7">
        <v>18</v>
      </c>
      <c r="X186" s="6" t="s">
        <v>35</v>
      </c>
      <c r="Y186" s="7">
        <v>1.5</v>
      </c>
      <c r="Z186" s="7">
        <v>1.5</v>
      </c>
      <c r="AA186" s="6" t="s">
        <v>251</v>
      </c>
      <c r="AB186" s="6" t="s">
        <v>38</v>
      </c>
      <c r="AD186" s="6" t="s">
        <v>39</v>
      </c>
      <c r="AE186" s="6"/>
      <c r="AG186" s="6" t="s">
        <v>37</v>
      </c>
      <c r="AH186" s="7">
        <v>60</v>
      </c>
      <c r="AI186" s="6" t="s">
        <v>40</v>
      </c>
      <c r="AJ186" s="6" t="s">
        <v>238</v>
      </c>
      <c r="AL186" s="6" t="s">
        <v>41</v>
      </c>
      <c r="AM186" s="6" t="s">
        <v>41</v>
      </c>
    </row>
    <row r="187" spans="1:40" hidden="1" x14ac:dyDescent="0.25">
      <c r="A187" s="4">
        <v>45798</v>
      </c>
      <c r="B187" s="6" t="s">
        <v>136</v>
      </c>
      <c r="C187" t="str">
        <f>_xlfn.XLOOKUP(Table3[[#This Row],[station]],station_waterbody_county!A:A, station_waterbody_county!B:B)</f>
        <v>Chedabucto Bay</v>
      </c>
      <c r="D187" t="str">
        <f>_xlfn.XLOOKUP(Table3[[#This Row],[station]],station_waterbody_county!A:A, station_waterbody_county!C:C)</f>
        <v>Guysborough</v>
      </c>
      <c r="E187" s="6"/>
      <c r="F187" s="6" t="s">
        <v>34</v>
      </c>
      <c r="G187" s="12">
        <v>45791</v>
      </c>
      <c r="H187" s="5">
        <v>0.63680555555555551</v>
      </c>
      <c r="I187" s="4"/>
      <c r="J187" s="5"/>
      <c r="K187" s="10"/>
      <c r="O187" s="6" t="s">
        <v>1269</v>
      </c>
      <c r="P187" s="6" t="s">
        <v>1268</v>
      </c>
      <c r="S187" s="6" t="s">
        <v>239</v>
      </c>
      <c r="T187" s="11">
        <v>20495242</v>
      </c>
      <c r="U187" s="7">
        <v>2</v>
      </c>
      <c r="V187" s="6" t="s">
        <v>36</v>
      </c>
      <c r="W187" s="7">
        <v>32.9</v>
      </c>
      <c r="X187" s="6" t="s">
        <v>35</v>
      </c>
      <c r="Y187" s="7">
        <v>1.1000000000000001</v>
      </c>
      <c r="Z187" s="7">
        <v>1.5</v>
      </c>
      <c r="AA187" s="6" t="s">
        <v>251</v>
      </c>
      <c r="AB187" s="6" t="s">
        <v>38</v>
      </c>
      <c r="AD187" s="6" t="s">
        <v>39</v>
      </c>
      <c r="AE187" s="6" t="s">
        <v>40</v>
      </c>
      <c r="AG187" s="6" t="s">
        <v>37</v>
      </c>
      <c r="AH187" s="7">
        <v>60</v>
      </c>
      <c r="AI187" s="6" t="s">
        <v>40</v>
      </c>
      <c r="AJ187" s="6" t="s">
        <v>238</v>
      </c>
      <c r="AL187" s="6" t="s">
        <v>41</v>
      </c>
    </row>
    <row r="188" spans="1:40" hidden="1" x14ac:dyDescent="0.25">
      <c r="A188" s="4">
        <v>45798</v>
      </c>
      <c r="B188" s="6" t="s">
        <v>136</v>
      </c>
      <c r="C188" t="str">
        <f>_xlfn.XLOOKUP(Table3[[#This Row],[station]],station_waterbody_county!A:A, station_waterbody_county!B:B)</f>
        <v>Chedabucto Bay</v>
      </c>
      <c r="D188" t="str">
        <f>_xlfn.XLOOKUP(Table3[[#This Row],[station]],station_waterbody_county!A:A, station_waterbody_county!C:C)</f>
        <v>Guysborough</v>
      </c>
      <c r="E188" s="6"/>
      <c r="F188" s="6" t="s">
        <v>34</v>
      </c>
      <c r="G188" s="12">
        <v>45791</v>
      </c>
      <c r="H188" s="5">
        <v>0.63680555555555551</v>
      </c>
      <c r="I188" s="4"/>
      <c r="J188" s="5"/>
      <c r="K188" s="10"/>
      <c r="O188" s="6" t="s">
        <v>1269</v>
      </c>
      <c r="P188" s="6" t="s">
        <v>1268</v>
      </c>
      <c r="S188" s="6" t="s">
        <v>239</v>
      </c>
      <c r="T188" s="11">
        <v>22278837</v>
      </c>
      <c r="U188" s="7">
        <v>5</v>
      </c>
      <c r="V188" s="6" t="s">
        <v>36</v>
      </c>
      <c r="W188" s="7">
        <v>32.9</v>
      </c>
      <c r="X188" s="6" t="s">
        <v>35</v>
      </c>
      <c r="Y188" s="7">
        <v>1.1000000000000001</v>
      </c>
      <c r="Z188" s="7">
        <v>1.5</v>
      </c>
      <c r="AA188" s="6" t="s">
        <v>251</v>
      </c>
      <c r="AB188" s="6" t="s">
        <v>38</v>
      </c>
      <c r="AD188" s="6" t="s">
        <v>39</v>
      </c>
      <c r="AE188" s="6" t="s">
        <v>40</v>
      </c>
      <c r="AG188" s="6" t="s">
        <v>37</v>
      </c>
      <c r="AH188" s="7">
        <v>60</v>
      </c>
      <c r="AI188" s="6" t="s">
        <v>40</v>
      </c>
      <c r="AJ188" s="6" t="s">
        <v>238</v>
      </c>
      <c r="AL188" s="6" t="s">
        <v>41</v>
      </c>
    </row>
    <row r="189" spans="1:40" hidden="1" x14ac:dyDescent="0.25">
      <c r="A189" s="4">
        <v>45798</v>
      </c>
      <c r="B189" s="6" t="s">
        <v>136</v>
      </c>
      <c r="C189" t="str">
        <f>_xlfn.XLOOKUP(Table3[[#This Row],[station]],station_waterbody_county!A:A, station_waterbody_county!B:B)</f>
        <v>Chedabucto Bay</v>
      </c>
      <c r="D189" t="str">
        <f>_xlfn.XLOOKUP(Table3[[#This Row],[station]],station_waterbody_county!A:A, station_waterbody_county!C:C)</f>
        <v>Guysborough</v>
      </c>
      <c r="E189" s="6"/>
      <c r="F189" s="6" t="s">
        <v>34</v>
      </c>
      <c r="G189" s="12">
        <v>45791</v>
      </c>
      <c r="H189" s="5">
        <v>0.63680555555555551</v>
      </c>
      <c r="I189" s="4"/>
      <c r="J189" s="5"/>
      <c r="K189" s="10"/>
      <c r="O189" s="6" t="s">
        <v>1269</v>
      </c>
      <c r="P189" s="6" t="s">
        <v>1268</v>
      </c>
      <c r="S189" s="6" t="s">
        <v>239</v>
      </c>
      <c r="T189" s="11">
        <v>22278838</v>
      </c>
      <c r="U189" s="7">
        <v>10</v>
      </c>
      <c r="V189" s="6" t="s">
        <v>36</v>
      </c>
      <c r="W189" s="7">
        <v>32.9</v>
      </c>
      <c r="X189" s="6" t="s">
        <v>35</v>
      </c>
      <c r="Y189" s="7">
        <v>1.1000000000000001</v>
      </c>
      <c r="Z189" s="7">
        <v>1.5</v>
      </c>
      <c r="AA189" s="6" t="s">
        <v>251</v>
      </c>
      <c r="AB189" s="6" t="s">
        <v>38</v>
      </c>
      <c r="AD189" s="6" t="s">
        <v>39</v>
      </c>
      <c r="AE189" s="6" t="s">
        <v>40</v>
      </c>
      <c r="AG189" s="6" t="s">
        <v>37</v>
      </c>
      <c r="AH189" s="7">
        <v>60</v>
      </c>
      <c r="AI189" s="6" t="s">
        <v>40</v>
      </c>
      <c r="AJ189" s="6" t="s">
        <v>238</v>
      </c>
      <c r="AL189" s="6" t="s">
        <v>41</v>
      </c>
    </row>
    <row r="190" spans="1:40" hidden="1" x14ac:dyDescent="0.25">
      <c r="A190" s="4">
        <v>45798</v>
      </c>
      <c r="B190" s="6" t="s">
        <v>136</v>
      </c>
      <c r="C190" t="str">
        <f>_xlfn.XLOOKUP(Table3[[#This Row],[station]],station_waterbody_county!A:A, station_waterbody_county!B:B)</f>
        <v>Chedabucto Bay</v>
      </c>
      <c r="D190" t="str">
        <f>_xlfn.XLOOKUP(Table3[[#This Row],[station]],station_waterbody_county!A:A, station_waterbody_county!C:C)</f>
        <v>Guysborough</v>
      </c>
      <c r="E190" s="6"/>
      <c r="F190" s="6" t="s">
        <v>34</v>
      </c>
      <c r="G190" s="12">
        <v>45791</v>
      </c>
      <c r="H190" s="5">
        <v>0.63680555555555551</v>
      </c>
      <c r="I190" s="4"/>
      <c r="J190" s="5"/>
      <c r="K190" s="10"/>
      <c r="O190" s="6" t="s">
        <v>1269</v>
      </c>
      <c r="P190" s="6" t="s">
        <v>1268</v>
      </c>
      <c r="S190" s="6" t="s">
        <v>239</v>
      </c>
      <c r="T190" s="11">
        <v>22249022</v>
      </c>
      <c r="U190" s="7">
        <v>15</v>
      </c>
      <c r="V190" s="6" t="s">
        <v>36</v>
      </c>
      <c r="W190" s="7">
        <v>32.9</v>
      </c>
      <c r="X190" s="6" t="s">
        <v>35</v>
      </c>
      <c r="Y190" s="7">
        <v>1.1000000000000001</v>
      </c>
      <c r="Z190" s="7">
        <v>1.5</v>
      </c>
      <c r="AA190" s="6" t="s">
        <v>251</v>
      </c>
      <c r="AB190" s="6" t="s">
        <v>38</v>
      </c>
      <c r="AD190" s="6" t="s">
        <v>39</v>
      </c>
      <c r="AE190" s="6" t="s">
        <v>40</v>
      </c>
      <c r="AG190" s="6" t="s">
        <v>37</v>
      </c>
      <c r="AH190" s="7">
        <v>60</v>
      </c>
      <c r="AI190" s="6" t="s">
        <v>40</v>
      </c>
      <c r="AJ190" s="6" t="s">
        <v>238</v>
      </c>
      <c r="AL190" s="6" t="s">
        <v>41</v>
      </c>
    </row>
    <row r="191" spans="1:40" hidden="1" x14ac:dyDescent="0.25">
      <c r="A191" s="4">
        <v>45798</v>
      </c>
      <c r="B191" s="6" t="s">
        <v>136</v>
      </c>
      <c r="C191" t="str">
        <f>_xlfn.XLOOKUP(Table3[[#This Row],[station]],station_waterbody_county!A:A, station_waterbody_county!B:B)</f>
        <v>Chedabucto Bay</v>
      </c>
      <c r="D191" t="str">
        <f>_xlfn.XLOOKUP(Table3[[#This Row],[station]],station_waterbody_county!A:A, station_waterbody_county!C:C)</f>
        <v>Guysborough</v>
      </c>
      <c r="E191" s="6"/>
      <c r="F191" s="6" t="s">
        <v>34</v>
      </c>
      <c r="G191" s="12">
        <v>45791</v>
      </c>
      <c r="H191" s="5">
        <v>0.63680555555555551</v>
      </c>
      <c r="I191" s="4"/>
      <c r="J191" s="5"/>
      <c r="K191" s="10"/>
      <c r="O191" s="6" t="s">
        <v>1269</v>
      </c>
      <c r="P191" s="6" t="s">
        <v>1268</v>
      </c>
      <c r="S191" s="6" t="s">
        <v>239</v>
      </c>
      <c r="T191" s="11">
        <v>22278871</v>
      </c>
      <c r="U191" s="7">
        <v>20</v>
      </c>
      <c r="V191" s="6" t="s">
        <v>36</v>
      </c>
      <c r="W191" s="7">
        <v>32.9</v>
      </c>
      <c r="X191" s="6" t="s">
        <v>35</v>
      </c>
      <c r="Y191" s="7">
        <v>1.1000000000000001</v>
      </c>
      <c r="Z191" s="7">
        <v>1.5</v>
      </c>
      <c r="AA191" s="6" t="s">
        <v>251</v>
      </c>
      <c r="AB191" s="6" t="s">
        <v>38</v>
      </c>
      <c r="AD191" s="6" t="s">
        <v>39</v>
      </c>
      <c r="AE191" s="6" t="s">
        <v>40</v>
      </c>
      <c r="AG191" s="6" t="s">
        <v>37</v>
      </c>
      <c r="AH191" s="7">
        <v>60</v>
      </c>
      <c r="AI191" s="6" t="s">
        <v>40</v>
      </c>
      <c r="AJ191" s="6" t="s">
        <v>238</v>
      </c>
      <c r="AL191" s="6" t="s">
        <v>41</v>
      </c>
    </row>
    <row r="192" spans="1:40" hidden="1" x14ac:dyDescent="0.25">
      <c r="A192" s="4">
        <v>45798</v>
      </c>
      <c r="B192" s="6" t="s">
        <v>136</v>
      </c>
      <c r="C192" t="str">
        <f>_xlfn.XLOOKUP(Table3[[#This Row],[station]],station_waterbody_county!A:A, station_waterbody_county!B:B)</f>
        <v>Chedabucto Bay</v>
      </c>
      <c r="D192" t="str">
        <f>_xlfn.XLOOKUP(Table3[[#This Row],[station]],station_waterbody_county!A:A, station_waterbody_county!C:C)</f>
        <v>Guysborough</v>
      </c>
      <c r="E192" s="6"/>
      <c r="F192" s="6" t="s">
        <v>34</v>
      </c>
      <c r="G192" s="12">
        <v>45791</v>
      </c>
      <c r="H192" s="5">
        <v>0.63680555555555551</v>
      </c>
      <c r="I192" s="4"/>
      <c r="J192" s="5"/>
      <c r="K192" s="10"/>
      <c r="O192" s="6" t="s">
        <v>1269</v>
      </c>
      <c r="P192" s="6" t="s">
        <v>1268</v>
      </c>
      <c r="S192" s="6" t="s">
        <v>42</v>
      </c>
      <c r="T192" s="11">
        <v>548579</v>
      </c>
      <c r="U192" s="7">
        <v>26</v>
      </c>
      <c r="V192" s="6" t="s">
        <v>36</v>
      </c>
      <c r="W192" s="7">
        <v>32.9</v>
      </c>
      <c r="X192" s="6" t="s">
        <v>35</v>
      </c>
      <c r="Y192" s="7">
        <v>1.1000000000000001</v>
      </c>
      <c r="Z192" s="7">
        <v>1.5</v>
      </c>
      <c r="AA192" s="6" t="s">
        <v>251</v>
      </c>
      <c r="AB192" s="6" t="s">
        <v>38</v>
      </c>
      <c r="AD192" s="6" t="s">
        <v>39</v>
      </c>
      <c r="AE192" s="6" t="s">
        <v>40</v>
      </c>
      <c r="AG192" s="6" t="s">
        <v>37</v>
      </c>
      <c r="AH192" s="7">
        <v>60</v>
      </c>
      <c r="AI192" s="6" t="s">
        <v>40</v>
      </c>
      <c r="AJ192" s="6" t="s">
        <v>238</v>
      </c>
      <c r="AL192" s="6" t="s">
        <v>41</v>
      </c>
    </row>
    <row r="193" spans="1:40" hidden="1" x14ac:dyDescent="0.25">
      <c r="A193" s="4">
        <v>45798</v>
      </c>
      <c r="B193" s="6" t="s">
        <v>136</v>
      </c>
      <c r="C193" t="str">
        <f>_xlfn.XLOOKUP(Table3[[#This Row],[station]],station_waterbody_county!A:A, station_waterbody_county!B:B)</f>
        <v>Chedabucto Bay</v>
      </c>
      <c r="D193" t="str">
        <f>_xlfn.XLOOKUP(Table3[[#This Row],[station]],station_waterbody_county!A:A, station_waterbody_county!C:C)</f>
        <v>Guysborough</v>
      </c>
      <c r="E193" s="6"/>
      <c r="F193" s="6" t="s">
        <v>34</v>
      </c>
      <c r="G193" s="12">
        <v>45791</v>
      </c>
      <c r="H193" s="5">
        <v>0.63680555555555551</v>
      </c>
      <c r="I193" s="4"/>
      <c r="J193" s="5"/>
      <c r="K193" s="10"/>
      <c r="O193" s="6" t="s">
        <v>1269</v>
      </c>
      <c r="P193" s="6" t="s">
        <v>1268</v>
      </c>
      <c r="S193" s="6" t="s">
        <v>239</v>
      </c>
      <c r="T193" s="11">
        <v>20308048</v>
      </c>
      <c r="U193" s="7">
        <v>26</v>
      </c>
      <c r="V193" s="6" t="s">
        <v>36</v>
      </c>
      <c r="W193" s="7">
        <v>32.9</v>
      </c>
      <c r="X193" s="6" t="s">
        <v>35</v>
      </c>
      <c r="Y193" s="7">
        <v>1.1000000000000001</v>
      </c>
      <c r="Z193" s="7">
        <v>1.5</v>
      </c>
      <c r="AA193" s="6" t="s">
        <v>251</v>
      </c>
      <c r="AB193" s="6" t="s">
        <v>38</v>
      </c>
      <c r="AD193" s="6" t="s">
        <v>39</v>
      </c>
      <c r="AE193" s="6" t="s">
        <v>40</v>
      </c>
      <c r="AG193" s="6" t="s">
        <v>37</v>
      </c>
      <c r="AH193" s="7">
        <v>60</v>
      </c>
      <c r="AI193" s="6" t="s">
        <v>40</v>
      </c>
      <c r="AJ193" s="6" t="s">
        <v>238</v>
      </c>
      <c r="AL193" s="6" t="s">
        <v>41</v>
      </c>
    </row>
    <row r="194" spans="1:40" hidden="1" x14ac:dyDescent="0.25">
      <c r="A194" s="4">
        <v>45888</v>
      </c>
      <c r="B194" s="6" t="s">
        <v>1401</v>
      </c>
      <c r="C194" s="6" t="str">
        <f>_xlfn.XLOOKUP(Table3[[#This Row],[station]],station_waterbody_county!A:A, station_waterbody_county!B:B)</f>
        <v>East River Bay</v>
      </c>
      <c r="D194" s="3" t="str">
        <f>_xlfn.XLOOKUP(Table3[[#This Row],[station]],station_waterbody_county!A:A, station_waterbody_county!C:C)</f>
        <v>Lunenburg</v>
      </c>
      <c r="E194" s="6"/>
      <c r="F194" s="6" t="s">
        <v>310</v>
      </c>
      <c r="G194" s="12">
        <v>45867</v>
      </c>
      <c r="H194" s="5">
        <v>0.64583333333333337</v>
      </c>
      <c r="I194" s="4">
        <v>45888</v>
      </c>
      <c r="J194" s="5">
        <v>0.60416666666666663</v>
      </c>
      <c r="K194" s="10"/>
      <c r="O194" s="6" t="s">
        <v>1405</v>
      </c>
      <c r="P194" s="6" t="s">
        <v>1406</v>
      </c>
      <c r="S194" s="6" t="s">
        <v>253</v>
      </c>
      <c r="T194" s="11">
        <v>686012</v>
      </c>
      <c r="U194" s="7">
        <v>2.5</v>
      </c>
      <c r="V194" s="6" t="s">
        <v>254</v>
      </c>
      <c r="W194" s="7">
        <v>5</v>
      </c>
      <c r="X194" s="6" t="s">
        <v>241</v>
      </c>
      <c r="Y194" s="7"/>
      <c r="AA194" s="6" t="s">
        <v>314</v>
      </c>
      <c r="AE194" s="6" t="s">
        <v>40</v>
      </c>
      <c r="AG194" s="6" t="s">
        <v>1399</v>
      </c>
      <c r="AH194" s="7">
        <v>145</v>
      </c>
      <c r="AI194" s="6" t="s">
        <v>40</v>
      </c>
      <c r="AJ194" s="6" t="s">
        <v>238</v>
      </c>
      <c r="AK194" s="6" t="s">
        <v>35</v>
      </c>
      <c r="AL194" s="6" t="s">
        <v>1400</v>
      </c>
      <c r="AM194" s="6" t="s">
        <v>1400</v>
      </c>
      <c r="AN194" s="6" t="s">
        <v>1407</v>
      </c>
    </row>
    <row r="195" spans="1:40" x14ac:dyDescent="0.25">
      <c r="A195" s="4">
        <v>45931</v>
      </c>
      <c r="B195" s="6" t="s">
        <v>141</v>
      </c>
      <c r="C195" t="str">
        <f>_xlfn.XLOOKUP(Table3[[#This Row],[station]],station_waterbody_county!A:A, station_waterbody_county!B:B)</f>
        <v>Whitehead Harbour</v>
      </c>
      <c r="D195" t="str">
        <f>_xlfn.XLOOKUP(Table3[[#This Row],[station]],station_waterbody_county!A:A, station_waterbody_county!C:C)</f>
        <v>Guysborough</v>
      </c>
      <c r="E195" s="6" t="s">
        <v>279</v>
      </c>
      <c r="F195" s="6" t="s">
        <v>310</v>
      </c>
      <c r="G195" s="4">
        <v>45600</v>
      </c>
      <c r="H195" s="5">
        <v>0.57638888888888884</v>
      </c>
      <c r="I195" s="4">
        <v>45919</v>
      </c>
      <c r="J195" s="5">
        <v>0.4284722222222222</v>
      </c>
      <c r="K195" s="10"/>
      <c r="O195" s="6" t="s">
        <v>549</v>
      </c>
      <c r="P195" s="6" t="s">
        <v>553</v>
      </c>
      <c r="Q195" s="6" t="s">
        <v>1431</v>
      </c>
      <c r="R195" s="6" t="s">
        <v>1432</v>
      </c>
      <c r="S195" s="6" t="s">
        <v>253</v>
      </c>
      <c r="T195" s="11">
        <v>686256</v>
      </c>
      <c r="U195" s="7">
        <v>2</v>
      </c>
      <c r="V195" s="6" t="s">
        <v>36</v>
      </c>
      <c r="W195" s="7"/>
      <c r="X195" s="6" t="s">
        <v>35</v>
      </c>
      <c r="Y195" s="7"/>
      <c r="Z195" s="7">
        <v>1.7</v>
      </c>
      <c r="AA195" s="6" t="s">
        <v>251</v>
      </c>
      <c r="AB195" s="6" t="s">
        <v>321</v>
      </c>
      <c r="AC195" s="6" t="s">
        <v>321</v>
      </c>
      <c r="AD195" s="6" t="s">
        <v>39</v>
      </c>
      <c r="AE195" s="6" t="s">
        <v>40</v>
      </c>
      <c r="AG195" s="6" t="s">
        <v>37</v>
      </c>
      <c r="AH195" s="7">
        <v>60</v>
      </c>
      <c r="AI195" s="6" t="s">
        <v>40</v>
      </c>
      <c r="AJ195" s="6" t="s">
        <v>238</v>
      </c>
      <c r="AK195" s="6" t="s">
        <v>241</v>
      </c>
      <c r="AL195" s="6" t="s">
        <v>536</v>
      </c>
      <c r="AM195" s="6" t="s">
        <v>1424</v>
      </c>
    </row>
    <row r="196" spans="1:40" x14ac:dyDescent="0.25">
      <c r="A196" s="4">
        <v>45931</v>
      </c>
      <c r="B196" s="6" t="s">
        <v>141</v>
      </c>
      <c r="C196" t="str">
        <f>_xlfn.XLOOKUP(Table3[[#This Row],[station]],station_waterbody_county!A:A, station_waterbody_county!B:B)</f>
        <v>Whitehead Harbour</v>
      </c>
      <c r="D196" t="str">
        <f>_xlfn.XLOOKUP(Table3[[#This Row],[station]],station_waterbody_county!A:A, station_waterbody_county!C:C)</f>
        <v>Guysborough</v>
      </c>
      <c r="E196" s="6" t="s">
        <v>279</v>
      </c>
      <c r="F196" s="6" t="s">
        <v>310</v>
      </c>
      <c r="G196" s="4">
        <v>45600</v>
      </c>
      <c r="H196" s="5">
        <v>0.57638888888888884</v>
      </c>
      <c r="I196" s="4">
        <v>45919</v>
      </c>
      <c r="J196" s="5">
        <v>0.4284722222222222</v>
      </c>
      <c r="K196" s="10"/>
      <c r="O196" s="6" t="s">
        <v>549</v>
      </c>
      <c r="P196" s="6" t="s">
        <v>553</v>
      </c>
      <c r="Q196" s="6" t="s">
        <v>1431</v>
      </c>
      <c r="R196" s="6" t="s">
        <v>1432</v>
      </c>
      <c r="S196" s="6" t="s">
        <v>240</v>
      </c>
      <c r="T196" s="11">
        <v>678291</v>
      </c>
      <c r="U196" s="7">
        <v>5</v>
      </c>
      <c r="V196" s="6" t="s">
        <v>36</v>
      </c>
      <c r="W196" s="7"/>
      <c r="X196" s="6" t="s">
        <v>35</v>
      </c>
      <c r="Y196" s="7"/>
      <c r="Z196" s="7">
        <v>1.7</v>
      </c>
      <c r="AA196" s="6" t="s">
        <v>251</v>
      </c>
      <c r="AB196" s="6" t="s">
        <v>321</v>
      </c>
      <c r="AC196" s="6" t="s">
        <v>321</v>
      </c>
      <c r="AD196" s="6" t="s">
        <v>39</v>
      </c>
      <c r="AE196" s="6" t="s">
        <v>40</v>
      </c>
      <c r="AG196" s="6" t="s">
        <v>37</v>
      </c>
      <c r="AH196" s="7">
        <v>60</v>
      </c>
      <c r="AI196" s="6" t="s">
        <v>40</v>
      </c>
      <c r="AJ196" s="6" t="s">
        <v>238</v>
      </c>
      <c r="AK196" s="6" t="s">
        <v>241</v>
      </c>
      <c r="AL196" s="6" t="s">
        <v>536</v>
      </c>
      <c r="AM196" s="6" t="s">
        <v>1424</v>
      </c>
      <c r="AN196" s="6" t="s">
        <v>554</v>
      </c>
    </row>
    <row r="197" spans="1:40" x14ac:dyDescent="0.25">
      <c r="A197" s="4">
        <v>45931</v>
      </c>
      <c r="B197" s="6" t="s">
        <v>141</v>
      </c>
      <c r="C197" t="str">
        <f>_xlfn.XLOOKUP(Table3[[#This Row],[station]],station_waterbody_county!A:A, station_waterbody_county!B:B)</f>
        <v>Whitehead Harbour</v>
      </c>
      <c r="D197" t="str">
        <f>_xlfn.XLOOKUP(Table3[[#This Row],[station]],station_waterbody_county!A:A, station_waterbody_county!C:C)</f>
        <v>Guysborough</v>
      </c>
      <c r="E197" s="6" t="s">
        <v>279</v>
      </c>
      <c r="F197" s="6" t="s">
        <v>310</v>
      </c>
      <c r="G197" s="4">
        <v>45600</v>
      </c>
      <c r="H197" s="5">
        <v>0.57638888888888884</v>
      </c>
      <c r="I197" s="4">
        <v>45919</v>
      </c>
      <c r="J197" s="5">
        <v>0.4284722222222222</v>
      </c>
      <c r="K197" s="10"/>
      <c r="O197" s="6" t="s">
        <v>549</v>
      </c>
      <c r="P197" s="6" t="s">
        <v>553</v>
      </c>
      <c r="Q197" s="6" t="s">
        <v>1431</v>
      </c>
      <c r="R197" s="6" t="s">
        <v>1432</v>
      </c>
      <c r="S197" s="6" t="s">
        <v>239</v>
      </c>
      <c r="T197" s="11">
        <v>22055895</v>
      </c>
      <c r="U197" s="7">
        <v>10</v>
      </c>
      <c r="V197" s="6" t="s">
        <v>36</v>
      </c>
      <c r="W197" s="7"/>
      <c r="X197" s="6" t="s">
        <v>35</v>
      </c>
      <c r="Y197" s="7"/>
      <c r="Z197" s="7">
        <v>1.7</v>
      </c>
      <c r="AA197" s="6" t="s">
        <v>251</v>
      </c>
      <c r="AB197" s="6" t="s">
        <v>321</v>
      </c>
      <c r="AC197" s="6" t="s">
        <v>321</v>
      </c>
      <c r="AD197" s="6" t="s">
        <v>39</v>
      </c>
      <c r="AE197" s="6" t="s">
        <v>40</v>
      </c>
      <c r="AG197" s="6" t="s">
        <v>37</v>
      </c>
      <c r="AH197" s="7">
        <v>60</v>
      </c>
      <c r="AI197" s="6" t="s">
        <v>40</v>
      </c>
      <c r="AJ197" s="6" t="s">
        <v>238</v>
      </c>
      <c r="AK197" s="6" t="s">
        <v>241</v>
      </c>
      <c r="AL197" s="6" t="s">
        <v>536</v>
      </c>
      <c r="AM197" s="6" t="s">
        <v>1424</v>
      </c>
    </row>
    <row r="198" spans="1:40" x14ac:dyDescent="0.25">
      <c r="A198" s="4">
        <v>45931</v>
      </c>
      <c r="B198" s="6" t="s">
        <v>141</v>
      </c>
      <c r="C198" t="str">
        <f>_xlfn.XLOOKUP(Table3[[#This Row],[station]],station_waterbody_county!A:A, station_waterbody_county!B:B)</f>
        <v>Whitehead Harbour</v>
      </c>
      <c r="D198" t="str">
        <f>_xlfn.XLOOKUP(Table3[[#This Row],[station]],station_waterbody_county!A:A, station_waterbody_county!C:C)</f>
        <v>Guysborough</v>
      </c>
      <c r="E198" s="6" t="s">
        <v>279</v>
      </c>
      <c r="F198" s="6" t="s">
        <v>310</v>
      </c>
      <c r="G198" s="4">
        <v>45600</v>
      </c>
      <c r="H198" s="5">
        <v>0.57638888888888884</v>
      </c>
      <c r="I198" s="4">
        <v>45919</v>
      </c>
      <c r="J198" s="5">
        <v>0.4284722222222222</v>
      </c>
      <c r="K198" s="10"/>
      <c r="O198" s="6" t="s">
        <v>549</v>
      </c>
      <c r="P198" s="6" t="s">
        <v>553</v>
      </c>
      <c r="Q198" s="6" t="s">
        <v>1431</v>
      </c>
      <c r="R198" s="6" t="s">
        <v>1432</v>
      </c>
      <c r="S198" s="6" t="s">
        <v>239</v>
      </c>
      <c r="T198" s="11">
        <v>22048600</v>
      </c>
      <c r="U198" s="7">
        <v>20</v>
      </c>
      <c r="V198" s="6" t="s">
        <v>36</v>
      </c>
      <c r="W198" s="7"/>
      <c r="X198" s="6" t="s">
        <v>35</v>
      </c>
      <c r="Y198" s="7"/>
      <c r="Z198" s="7">
        <v>1.7</v>
      </c>
      <c r="AA198" s="6" t="s">
        <v>251</v>
      </c>
      <c r="AB198" s="6" t="s">
        <v>321</v>
      </c>
      <c r="AC198" s="6" t="s">
        <v>321</v>
      </c>
      <c r="AD198" s="6" t="s">
        <v>39</v>
      </c>
      <c r="AE198" s="6" t="s">
        <v>40</v>
      </c>
      <c r="AG198" s="6" t="s">
        <v>37</v>
      </c>
      <c r="AH198" s="7">
        <v>60</v>
      </c>
      <c r="AI198" s="6" t="s">
        <v>40</v>
      </c>
      <c r="AJ198" s="6" t="s">
        <v>238</v>
      </c>
      <c r="AK198" s="6" t="s">
        <v>241</v>
      </c>
      <c r="AL198" s="6" t="s">
        <v>536</v>
      </c>
      <c r="AM198" s="6" t="s">
        <v>1424</v>
      </c>
    </row>
    <row r="199" spans="1:40" x14ac:dyDescent="0.25">
      <c r="A199" s="4">
        <v>45931</v>
      </c>
      <c r="B199" s="6" t="s">
        <v>141</v>
      </c>
      <c r="C199" t="str">
        <f>_xlfn.XLOOKUP(Table3[[#This Row],[station]],station_waterbody_county!A:A, station_waterbody_county!B:B)</f>
        <v>Whitehead Harbour</v>
      </c>
      <c r="D199" t="str">
        <f>_xlfn.XLOOKUP(Table3[[#This Row],[station]],station_waterbody_county!A:A, station_waterbody_county!C:C)</f>
        <v>Guysborough</v>
      </c>
      <c r="E199" s="6" t="s">
        <v>279</v>
      </c>
      <c r="F199" s="6" t="s">
        <v>311</v>
      </c>
      <c r="G199" s="4">
        <v>45600</v>
      </c>
      <c r="H199" s="5">
        <v>0.57638888888888884</v>
      </c>
      <c r="I199" s="4">
        <v>45919</v>
      </c>
      <c r="J199" s="5">
        <v>0.4284722222222222</v>
      </c>
      <c r="K199" s="10"/>
      <c r="O199" s="6" t="s">
        <v>549</v>
      </c>
      <c r="P199" s="6" t="s">
        <v>553</v>
      </c>
      <c r="Q199" s="6" t="s">
        <v>1431</v>
      </c>
      <c r="R199" s="6" t="s">
        <v>1432</v>
      </c>
      <c r="S199" s="6" t="s">
        <v>239</v>
      </c>
      <c r="T199" s="11">
        <v>22055884</v>
      </c>
      <c r="U199" s="7">
        <v>30</v>
      </c>
      <c r="V199" s="6" t="s">
        <v>36</v>
      </c>
      <c r="W199" s="7"/>
      <c r="X199" s="6" t="s">
        <v>35</v>
      </c>
      <c r="Y199" s="7"/>
      <c r="Z199" s="7">
        <v>1.7</v>
      </c>
      <c r="AA199" s="6" t="s">
        <v>251</v>
      </c>
      <c r="AB199" s="6" t="s">
        <v>321</v>
      </c>
      <c r="AC199" s="6" t="s">
        <v>321</v>
      </c>
      <c r="AD199" s="6" t="s">
        <v>39</v>
      </c>
      <c r="AE199" s="6" t="s">
        <v>40</v>
      </c>
      <c r="AG199" s="6" t="s">
        <v>37</v>
      </c>
      <c r="AH199" s="7">
        <v>60</v>
      </c>
      <c r="AI199" s="6" t="s">
        <v>40</v>
      </c>
      <c r="AJ199" s="6" t="s">
        <v>238</v>
      </c>
      <c r="AK199" s="6" t="s">
        <v>241</v>
      </c>
      <c r="AL199" s="6" t="s">
        <v>536</v>
      </c>
      <c r="AM199" s="6" t="s">
        <v>1424</v>
      </c>
    </row>
    <row r="200" spans="1:40" x14ac:dyDescent="0.25">
      <c r="A200" s="4">
        <v>45931</v>
      </c>
      <c r="B200" s="6" t="s">
        <v>141</v>
      </c>
      <c r="C200" t="str">
        <f>_xlfn.XLOOKUP(Table3[[#This Row],[station]],station_waterbody_county!A:A, station_waterbody_county!B:B)</f>
        <v>Whitehead Harbour</v>
      </c>
      <c r="D200" t="str">
        <f>_xlfn.XLOOKUP(Table3[[#This Row],[station]],station_waterbody_county!A:A, station_waterbody_county!C:C)</f>
        <v>Guysborough</v>
      </c>
      <c r="E200" s="6" t="s">
        <v>279</v>
      </c>
      <c r="F200" s="6" t="s">
        <v>310</v>
      </c>
      <c r="G200" s="4">
        <v>45600</v>
      </c>
      <c r="H200" s="5">
        <v>0.57638888888888884</v>
      </c>
      <c r="I200" s="4">
        <v>45919</v>
      </c>
      <c r="J200" s="5">
        <v>0.4284722222222222</v>
      </c>
      <c r="K200" s="10"/>
      <c r="O200" s="6" t="s">
        <v>549</v>
      </c>
      <c r="P200" s="6" t="s">
        <v>553</v>
      </c>
      <c r="Q200" s="6" t="s">
        <v>1431</v>
      </c>
      <c r="R200" s="6" t="s">
        <v>1432</v>
      </c>
      <c r="S200" s="6" t="s">
        <v>239</v>
      </c>
      <c r="T200" s="11">
        <v>22055898</v>
      </c>
      <c r="U200" s="7">
        <v>40</v>
      </c>
      <c r="V200" s="6" t="s">
        <v>36</v>
      </c>
      <c r="W200" s="7"/>
      <c r="X200" s="6" t="s">
        <v>35</v>
      </c>
      <c r="Y200" s="7"/>
      <c r="Z200" s="7">
        <v>1.7</v>
      </c>
      <c r="AA200" s="6" t="s">
        <v>251</v>
      </c>
      <c r="AB200" s="6" t="s">
        <v>321</v>
      </c>
      <c r="AC200" s="6" t="s">
        <v>321</v>
      </c>
      <c r="AD200" s="6" t="s">
        <v>39</v>
      </c>
      <c r="AE200" s="6" t="s">
        <v>40</v>
      </c>
      <c r="AG200" s="6" t="s">
        <v>37</v>
      </c>
      <c r="AH200" s="7">
        <v>60</v>
      </c>
      <c r="AI200" s="6" t="s">
        <v>40</v>
      </c>
      <c r="AJ200" s="6" t="s">
        <v>238</v>
      </c>
      <c r="AK200" s="6" t="s">
        <v>241</v>
      </c>
      <c r="AL200" s="6" t="s">
        <v>536</v>
      </c>
      <c r="AM200" s="6" t="s">
        <v>1424</v>
      </c>
    </row>
    <row r="201" spans="1:40" x14ac:dyDescent="0.25">
      <c r="A201" s="4">
        <v>45931</v>
      </c>
      <c r="B201" s="6" t="s">
        <v>141</v>
      </c>
      <c r="C201" t="str">
        <f>_xlfn.XLOOKUP(Table3[[#This Row],[station]],station_waterbody_county!A:A, station_waterbody_county!B:B)</f>
        <v>Whitehead Harbour</v>
      </c>
      <c r="D201" t="str">
        <f>_xlfn.XLOOKUP(Table3[[#This Row],[station]],station_waterbody_county!A:A, station_waterbody_county!C:C)</f>
        <v>Guysborough</v>
      </c>
      <c r="E201" s="6" t="s">
        <v>279</v>
      </c>
      <c r="F201" s="6" t="s">
        <v>310</v>
      </c>
      <c r="G201" s="4">
        <v>45600</v>
      </c>
      <c r="H201" s="5">
        <v>0.57638888888888884</v>
      </c>
      <c r="I201" s="4">
        <v>45919</v>
      </c>
      <c r="J201" s="5">
        <v>0.4284722222222222</v>
      </c>
      <c r="K201" s="10"/>
      <c r="O201" s="6" t="s">
        <v>549</v>
      </c>
      <c r="P201" s="6" t="s">
        <v>553</v>
      </c>
      <c r="Q201" s="6" t="s">
        <v>1431</v>
      </c>
      <c r="R201" s="6" t="s">
        <v>1432</v>
      </c>
      <c r="S201" s="6" t="s">
        <v>42</v>
      </c>
      <c r="T201" s="11">
        <v>548587</v>
      </c>
      <c r="U201" s="7">
        <v>44</v>
      </c>
      <c r="V201" s="6" t="s">
        <v>36</v>
      </c>
      <c r="W201" s="7"/>
      <c r="X201" s="6" t="s">
        <v>35</v>
      </c>
      <c r="Y201" s="7"/>
      <c r="Z201" s="7">
        <v>1.7</v>
      </c>
      <c r="AA201" s="6" t="s">
        <v>251</v>
      </c>
      <c r="AB201" s="6" t="s">
        <v>321</v>
      </c>
      <c r="AC201" s="6" t="s">
        <v>321</v>
      </c>
      <c r="AD201" s="6" t="s">
        <v>39</v>
      </c>
      <c r="AE201" s="6" t="s">
        <v>40</v>
      </c>
      <c r="AG201" s="6" t="s">
        <v>37</v>
      </c>
      <c r="AH201" s="7">
        <v>60</v>
      </c>
      <c r="AI201" s="6" t="s">
        <v>40</v>
      </c>
      <c r="AJ201" s="6" t="s">
        <v>238</v>
      </c>
      <c r="AK201" s="6" t="s">
        <v>241</v>
      </c>
      <c r="AL201" s="6" t="s">
        <v>536</v>
      </c>
      <c r="AM201" s="6" t="s">
        <v>1424</v>
      </c>
    </row>
    <row r="202" spans="1:40" x14ac:dyDescent="0.25">
      <c r="A202" s="4">
        <v>45931</v>
      </c>
      <c r="B202" s="6" t="s">
        <v>141</v>
      </c>
      <c r="C202" t="str">
        <f>_xlfn.XLOOKUP(Table3[[#This Row],[station]],station_waterbody_county!A:A, station_waterbody_county!B:B)</f>
        <v>Whitehead Harbour</v>
      </c>
      <c r="D202" t="str">
        <f>_xlfn.XLOOKUP(Table3[[#This Row],[station]],station_waterbody_county!A:A, station_waterbody_county!C:C)</f>
        <v>Guysborough</v>
      </c>
      <c r="E202" s="6" t="s">
        <v>279</v>
      </c>
      <c r="F202" s="6" t="s">
        <v>310</v>
      </c>
      <c r="G202" s="4">
        <v>45600</v>
      </c>
      <c r="H202" s="5">
        <v>0.57638888888888884</v>
      </c>
      <c r="I202" s="4">
        <v>45919</v>
      </c>
      <c r="J202" s="5">
        <v>0.4284722222222222</v>
      </c>
      <c r="K202" s="10"/>
      <c r="O202" s="6" t="s">
        <v>549</v>
      </c>
      <c r="P202" s="6" t="s">
        <v>553</v>
      </c>
      <c r="Q202" s="6" t="s">
        <v>1431</v>
      </c>
      <c r="R202" s="6" t="s">
        <v>1432</v>
      </c>
      <c r="S202" s="6" t="s">
        <v>239</v>
      </c>
      <c r="T202" s="11">
        <v>22055881</v>
      </c>
      <c r="U202" s="7">
        <v>44</v>
      </c>
      <c r="V202" s="6" t="s">
        <v>36</v>
      </c>
      <c r="W202" s="7"/>
      <c r="X202" s="6" t="s">
        <v>35</v>
      </c>
      <c r="Y202" s="7"/>
      <c r="Z202" s="7">
        <v>1.7</v>
      </c>
      <c r="AA202" s="6" t="s">
        <v>251</v>
      </c>
      <c r="AB202" s="6" t="s">
        <v>321</v>
      </c>
      <c r="AC202" s="6" t="s">
        <v>321</v>
      </c>
      <c r="AD202" s="6" t="s">
        <v>39</v>
      </c>
      <c r="AE202" s="6" t="s">
        <v>40</v>
      </c>
      <c r="AG202" s="6" t="s">
        <v>37</v>
      </c>
      <c r="AH202" s="7">
        <v>60</v>
      </c>
      <c r="AI202" s="6" t="s">
        <v>40</v>
      </c>
      <c r="AJ202" s="6" t="s">
        <v>238</v>
      </c>
      <c r="AK202" s="6" t="s">
        <v>241</v>
      </c>
      <c r="AL202" s="6" t="s">
        <v>536</v>
      </c>
      <c r="AM202" s="6" t="s">
        <v>1424</v>
      </c>
    </row>
    <row r="203" spans="1:40" hidden="1" x14ac:dyDescent="0.25">
      <c r="A203" s="12">
        <v>45608</v>
      </c>
      <c r="B203" s="6" t="s">
        <v>141</v>
      </c>
      <c r="C203" t="str">
        <f>_xlfn.XLOOKUP(Table3[[#This Row],[station]],station_waterbody_county!A:A, station_waterbody_county!B:B)</f>
        <v>Whitehead Harbour</v>
      </c>
      <c r="D203" t="str">
        <f>_xlfn.XLOOKUP(Table3[[#This Row],[station]],station_waterbody_county!A:A, station_waterbody_county!C:C)</f>
        <v>Guysborough</v>
      </c>
      <c r="E203" s="6" t="s">
        <v>279</v>
      </c>
      <c r="F203" s="6" t="s">
        <v>310</v>
      </c>
      <c r="G203" s="12">
        <v>45244</v>
      </c>
      <c r="H203" s="5"/>
      <c r="I203" s="4">
        <v>45600</v>
      </c>
      <c r="J203" s="5">
        <v>0.47916666666666669</v>
      </c>
      <c r="K203" s="10">
        <v>45.239807999999996</v>
      </c>
      <c r="L203" s="10">
        <v>-61.168380999999997</v>
      </c>
      <c r="O203" s="6"/>
      <c r="Q203" s="6" t="s">
        <v>550</v>
      </c>
      <c r="R203" s="6" t="s">
        <v>551</v>
      </c>
      <c r="S203" s="6" t="s">
        <v>253</v>
      </c>
      <c r="T203" s="11">
        <v>680251</v>
      </c>
      <c r="U203" s="7">
        <v>2</v>
      </c>
      <c r="V203" s="6" t="s">
        <v>254</v>
      </c>
      <c r="W203" s="7">
        <v>43</v>
      </c>
      <c r="X203" s="6" t="s">
        <v>35</v>
      </c>
      <c r="Y203" s="7">
        <v>1.5</v>
      </c>
      <c r="Z203" s="7">
        <v>1.7</v>
      </c>
      <c r="AA203" s="6" t="s">
        <v>251</v>
      </c>
      <c r="AE203" s="6"/>
      <c r="AG203" s="6" t="s">
        <v>256</v>
      </c>
      <c r="AH203" s="7"/>
      <c r="AI203" s="6" t="s">
        <v>40</v>
      </c>
      <c r="AJ203" s="6" t="s">
        <v>238</v>
      </c>
      <c r="AK203" s="6" t="s">
        <v>35</v>
      </c>
      <c r="AL203" s="6" t="s">
        <v>274</v>
      </c>
      <c r="AM203" s="6" t="s">
        <v>536</v>
      </c>
      <c r="AN203" s="6" t="s">
        <v>552</v>
      </c>
    </row>
    <row r="204" spans="1:40" hidden="1" x14ac:dyDescent="0.25">
      <c r="A204" s="12">
        <v>45608</v>
      </c>
      <c r="B204" s="6" t="s">
        <v>141</v>
      </c>
      <c r="C204" t="str">
        <f>_xlfn.XLOOKUP(Table3[[#This Row],[station]],station_waterbody_county!A:A, station_waterbody_county!B:B)</f>
        <v>Whitehead Harbour</v>
      </c>
      <c r="D204" t="str">
        <f>_xlfn.XLOOKUP(Table3[[#This Row],[station]],station_waterbody_county!A:A, station_waterbody_county!C:C)</f>
        <v>Guysborough</v>
      </c>
      <c r="E204" s="6" t="s">
        <v>279</v>
      </c>
      <c r="F204" s="6" t="s">
        <v>310</v>
      </c>
      <c r="G204" s="12">
        <v>45244</v>
      </c>
      <c r="H204" s="5"/>
      <c r="I204" s="4">
        <v>45600</v>
      </c>
      <c r="J204" s="5">
        <v>0.47916666666666669</v>
      </c>
      <c r="K204" s="10">
        <v>45.239807999999996</v>
      </c>
      <c r="L204" s="10">
        <v>-61.168380999999997</v>
      </c>
      <c r="O204" s="6"/>
      <c r="Q204" s="6" t="s">
        <v>550</v>
      </c>
      <c r="R204" s="6" t="s">
        <v>551</v>
      </c>
      <c r="S204" s="6" t="s">
        <v>240</v>
      </c>
      <c r="T204" s="11">
        <v>671312</v>
      </c>
      <c r="U204" s="7">
        <v>5</v>
      </c>
      <c r="V204" s="6" t="s">
        <v>254</v>
      </c>
      <c r="W204" s="7">
        <v>43</v>
      </c>
      <c r="X204" s="6" t="s">
        <v>35</v>
      </c>
      <c r="Y204" s="7">
        <v>1.5</v>
      </c>
      <c r="Z204" s="7">
        <v>1.7</v>
      </c>
      <c r="AA204" s="6" t="s">
        <v>251</v>
      </c>
      <c r="AE204" s="6"/>
      <c r="AG204" s="6" t="s">
        <v>256</v>
      </c>
      <c r="AH204" s="7"/>
      <c r="AI204" s="6" t="s">
        <v>40</v>
      </c>
      <c r="AJ204" s="6" t="s">
        <v>238</v>
      </c>
      <c r="AK204" s="6" t="s">
        <v>35</v>
      </c>
      <c r="AL204" s="6" t="s">
        <v>274</v>
      </c>
      <c r="AM204" s="6" t="s">
        <v>536</v>
      </c>
      <c r="AN204" s="6" t="s">
        <v>552</v>
      </c>
    </row>
    <row r="205" spans="1:40" hidden="1" x14ac:dyDescent="0.25">
      <c r="A205" s="12">
        <v>45608</v>
      </c>
      <c r="B205" s="6" t="s">
        <v>141</v>
      </c>
      <c r="C205" t="str">
        <f>_xlfn.XLOOKUP(Table3[[#This Row],[station]],station_waterbody_county!A:A, station_waterbody_county!B:B)</f>
        <v>Whitehead Harbour</v>
      </c>
      <c r="D205" t="str">
        <f>_xlfn.XLOOKUP(Table3[[#This Row],[station]],station_waterbody_county!A:A, station_waterbody_county!C:C)</f>
        <v>Guysborough</v>
      </c>
      <c r="E205" s="6" t="s">
        <v>279</v>
      </c>
      <c r="F205" s="6" t="s">
        <v>310</v>
      </c>
      <c r="G205" s="12">
        <v>45244</v>
      </c>
      <c r="H205" s="5"/>
      <c r="I205" s="4">
        <v>45600</v>
      </c>
      <c r="J205" s="5">
        <v>0.47916666666666669</v>
      </c>
      <c r="K205" s="10">
        <v>45.239807999999996</v>
      </c>
      <c r="L205" s="10">
        <v>-61.168380999999997</v>
      </c>
      <c r="O205" s="6"/>
      <c r="Q205" s="6" t="s">
        <v>550</v>
      </c>
      <c r="R205" s="6" t="s">
        <v>551</v>
      </c>
      <c r="S205" s="6" t="s">
        <v>239</v>
      </c>
      <c r="T205" s="11">
        <v>20291440</v>
      </c>
      <c r="U205" s="7">
        <v>10</v>
      </c>
      <c r="V205" s="6" t="s">
        <v>254</v>
      </c>
      <c r="W205" s="7">
        <v>43</v>
      </c>
      <c r="X205" s="6" t="s">
        <v>35</v>
      </c>
      <c r="Y205" s="7">
        <v>1.5</v>
      </c>
      <c r="Z205" s="7">
        <v>1.7</v>
      </c>
      <c r="AA205" s="6" t="s">
        <v>251</v>
      </c>
      <c r="AE205" s="6"/>
      <c r="AG205" s="6" t="s">
        <v>256</v>
      </c>
      <c r="AH205" s="7"/>
      <c r="AI205" s="6" t="s">
        <v>40</v>
      </c>
      <c r="AJ205" s="6" t="s">
        <v>238</v>
      </c>
      <c r="AK205" s="6" t="s">
        <v>35</v>
      </c>
      <c r="AL205" s="6" t="s">
        <v>274</v>
      </c>
      <c r="AM205" s="6" t="s">
        <v>536</v>
      </c>
      <c r="AN205" s="6" t="s">
        <v>552</v>
      </c>
    </row>
    <row r="206" spans="1:40" hidden="1" x14ac:dyDescent="0.25">
      <c r="A206" s="12">
        <v>45608</v>
      </c>
      <c r="B206" s="6" t="s">
        <v>141</v>
      </c>
      <c r="C206" t="str">
        <f>_xlfn.XLOOKUP(Table3[[#This Row],[station]],station_waterbody_county!A:A, station_waterbody_county!B:B)</f>
        <v>Whitehead Harbour</v>
      </c>
      <c r="D206" t="str">
        <f>_xlfn.XLOOKUP(Table3[[#This Row],[station]],station_waterbody_county!A:A, station_waterbody_county!C:C)</f>
        <v>Guysborough</v>
      </c>
      <c r="E206" s="6" t="s">
        <v>279</v>
      </c>
      <c r="F206" s="6" t="s">
        <v>310</v>
      </c>
      <c r="G206" s="12">
        <v>45244</v>
      </c>
      <c r="H206" s="5"/>
      <c r="I206" s="4">
        <v>45600</v>
      </c>
      <c r="J206" s="5">
        <v>0.47916666666666669</v>
      </c>
      <c r="K206" s="10">
        <v>45.239807999999996</v>
      </c>
      <c r="L206" s="10">
        <v>-61.168380999999997</v>
      </c>
      <c r="O206" s="6"/>
      <c r="Q206" s="6" t="s">
        <v>550</v>
      </c>
      <c r="R206" s="6" t="s">
        <v>551</v>
      </c>
      <c r="S206" s="6" t="s">
        <v>239</v>
      </c>
      <c r="T206" s="11">
        <v>21414898</v>
      </c>
      <c r="U206" s="7">
        <v>20</v>
      </c>
      <c r="V206" s="6" t="s">
        <v>254</v>
      </c>
      <c r="W206" s="7">
        <v>43</v>
      </c>
      <c r="X206" s="6" t="s">
        <v>35</v>
      </c>
      <c r="Y206" s="7">
        <v>1.5</v>
      </c>
      <c r="Z206" s="7">
        <v>1.7</v>
      </c>
      <c r="AA206" s="6" t="s">
        <v>251</v>
      </c>
      <c r="AE206" s="6"/>
      <c r="AG206" s="6" t="s">
        <v>256</v>
      </c>
      <c r="AH206" s="7"/>
      <c r="AI206" s="6" t="s">
        <v>40</v>
      </c>
      <c r="AJ206" s="6" t="s">
        <v>238</v>
      </c>
      <c r="AK206" s="6" t="s">
        <v>35</v>
      </c>
      <c r="AL206" s="6" t="s">
        <v>274</v>
      </c>
      <c r="AM206" s="6" t="s">
        <v>536</v>
      </c>
      <c r="AN206" s="6" t="s">
        <v>552</v>
      </c>
    </row>
    <row r="207" spans="1:40" hidden="1" x14ac:dyDescent="0.25">
      <c r="A207" s="12">
        <v>45608</v>
      </c>
      <c r="B207" s="6" t="s">
        <v>141</v>
      </c>
      <c r="C207" t="str">
        <f>_xlfn.XLOOKUP(Table3[[#This Row],[station]],station_waterbody_county!A:A, station_waterbody_county!B:B)</f>
        <v>Whitehead Harbour</v>
      </c>
      <c r="D207" t="str">
        <f>_xlfn.XLOOKUP(Table3[[#This Row],[station]],station_waterbody_county!A:A, station_waterbody_county!C:C)</f>
        <v>Guysborough</v>
      </c>
      <c r="E207" s="6" t="s">
        <v>279</v>
      </c>
      <c r="F207" s="6" t="s">
        <v>310</v>
      </c>
      <c r="G207" s="12">
        <v>45244</v>
      </c>
      <c r="H207" s="5"/>
      <c r="I207" s="4">
        <v>45600</v>
      </c>
      <c r="J207" s="5">
        <v>0.47916666666666669</v>
      </c>
      <c r="K207" s="10">
        <v>45.239807999999996</v>
      </c>
      <c r="L207" s="10">
        <v>-61.168380999999997</v>
      </c>
      <c r="O207" s="6"/>
      <c r="Q207" s="6" t="s">
        <v>550</v>
      </c>
      <c r="R207" s="6" t="s">
        <v>551</v>
      </c>
      <c r="S207" s="6" t="s">
        <v>239</v>
      </c>
      <c r="T207" s="11">
        <v>21082891</v>
      </c>
      <c r="U207" s="7">
        <v>30</v>
      </c>
      <c r="V207" s="6" t="s">
        <v>254</v>
      </c>
      <c r="W207" s="7">
        <v>43</v>
      </c>
      <c r="X207" s="6" t="s">
        <v>35</v>
      </c>
      <c r="Y207" s="7">
        <v>1.5</v>
      </c>
      <c r="Z207" s="7">
        <v>1.7</v>
      </c>
      <c r="AA207" s="6" t="s">
        <v>251</v>
      </c>
      <c r="AE207" s="6"/>
      <c r="AG207" s="6" t="s">
        <v>256</v>
      </c>
      <c r="AH207" s="7"/>
      <c r="AI207" s="6" t="s">
        <v>40</v>
      </c>
      <c r="AJ207" s="6" t="s">
        <v>238</v>
      </c>
      <c r="AK207" s="6" t="s">
        <v>35</v>
      </c>
      <c r="AL207" s="6" t="s">
        <v>274</v>
      </c>
      <c r="AM207" s="6" t="s">
        <v>536</v>
      </c>
      <c r="AN207" s="6" t="s">
        <v>552</v>
      </c>
    </row>
    <row r="208" spans="1:40" hidden="1" x14ac:dyDescent="0.25">
      <c r="A208" s="12">
        <v>45608</v>
      </c>
      <c r="B208" s="6" t="s">
        <v>141</v>
      </c>
      <c r="C208" t="str">
        <f>_xlfn.XLOOKUP(Table3[[#This Row],[station]],station_waterbody_county!A:A, station_waterbody_county!B:B)</f>
        <v>Whitehead Harbour</v>
      </c>
      <c r="D208" t="str">
        <f>_xlfn.XLOOKUP(Table3[[#This Row],[station]],station_waterbody_county!A:A, station_waterbody_county!C:C)</f>
        <v>Guysborough</v>
      </c>
      <c r="E208" s="6" t="s">
        <v>279</v>
      </c>
      <c r="F208" s="6" t="s">
        <v>310</v>
      </c>
      <c r="G208" s="12">
        <v>45244</v>
      </c>
      <c r="H208" s="5"/>
      <c r="I208" s="4">
        <v>45600</v>
      </c>
      <c r="J208" s="5">
        <v>0.47916666666666669</v>
      </c>
      <c r="K208" s="10">
        <v>45.239807999999996</v>
      </c>
      <c r="L208" s="10">
        <v>-61.168380999999997</v>
      </c>
      <c r="O208" s="6"/>
      <c r="Q208" s="6" t="s">
        <v>550</v>
      </c>
      <c r="R208" s="6" t="s">
        <v>551</v>
      </c>
      <c r="S208" s="6" t="s">
        <v>239</v>
      </c>
      <c r="T208" s="11">
        <v>20291482</v>
      </c>
      <c r="U208" s="7">
        <v>40</v>
      </c>
      <c r="V208" s="6" t="s">
        <v>254</v>
      </c>
      <c r="W208" s="7">
        <v>43</v>
      </c>
      <c r="X208" s="6" t="s">
        <v>35</v>
      </c>
      <c r="Y208" s="7">
        <v>1.5</v>
      </c>
      <c r="Z208" s="7">
        <v>1.7</v>
      </c>
      <c r="AA208" s="6" t="s">
        <v>251</v>
      </c>
      <c r="AE208" s="6"/>
      <c r="AG208" s="6" t="s">
        <v>256</v>
      </c>
      <c r="AH208" s="7"/>
      <c r="AI208" s="6" t="s">
        <v>40</v>
      </c>
      <c r="AJ208" s="6" t="s">
        <v>238</v>
      </c>
      <c r="AK208" s="6" t="s">
        <v>35</v>
      </c>
      <c r="AL208" s="6" t="s">
        <v>274</v>
      </c>
      <c r="AM208" s="6" t="s">
        <v>536</v>
      </c>
      <c r="AN208" s="6" t="s">
        <v>552</v>
      </c>
    </row>
    <row r="209" spans="1:40" hidden="1" x14ac:dyDescent="0.25">
      <c r="A209" s="12">
        <v>45608</v>
      </c>
      <c r="B209" s="6" t="s">
        <v>141</v>
      </c>
      <c r="C209" t="str">
        <f>_xlfn.XLOOKUP(Table3[[#This Row],[station]],station_waterbody_county!A:A, station_waterbody_county!B:B)</f>
        <v>Whitehead Harbour</v>
      </c>
      <c r="D209" t="str">
        <f>_xlfn.XLOOKUP(Table3[[#This Row],[station]],station_waterbody_county!A:A, station_waterbody_county!C:C)</f>
        <v>Guysborough</v>
      </c>
      <c r="E209" s="6" t="s">
        <v>279</v>
      </c>
      <c r="F209" s="6" t="s">
        <v>310</v>
      </c>
      <c r="G209" s="12">
        <v>45244</v>
      </c>
      <c r="H209" s="5"/>
      <c r="I209" s="4">
        <v>45600</v>
      </c>
      <c r="J209" s="5">
        <v>0.47916666666666669</v>
      </c>
      <c r="K209" s="10">
        <v>45.239807999999996</v>
      </c>
      <c r="L209" s="10">
        <v>-61.168380999999997</v>
      </c>
      <c r="O209" s="6"/>
      <c r="Q209" s="6" t="s">
        <v>550</v>
      </c>
      <c r="R209" s="6" t="s">
        <v>551</v>
      </c>
      <c r="S209" s="6" t="s">
        <v>42</v>
      </c>
      <c r="T209" s="11">
        <v>550757</v>
      </c>
      <c r="U209" s="7">
        <v>44</v>
      </c>
      <c r="V209" s="6" t="s">
        <v>254</v>
      </c>
      <c r="W209" s="7">
        <v>43</v>
      </c>
      <c r="X209" s="6" t="s">
        <v>35</v>
      </c>
      <c r="Y209" s="7">
        <v>1.5</v>
      </c>
      <c r="Z209" s="7">
        <v>1.7</v>
      </c>
      <c r="AA209" s="6" t="s">
        <v>251</v>
      </c>
      <c r="AE209" s="6"/>
      <c r="AG209" s="6" t="s">
        <v>256</v>
      </c>
      <c r="AH209" s="7"/>
      <c r="AI209" s="6" t="s">
        <v>40</v>
      </c>
      <c r="AJ209" s="6" t="s">
        <v>238</v>
      </c>
      <c r="AK209" s="6" t="s">
        <v>35</v>
      </c>
      <c r="AL209" s="6" t="s">
        <v>274</v>
      </c>
      <c r="AM209" s="6" t="s">
        <v>536</v>
      </c>
      <c r="AN209" s="6" t="s">
        <v>552</v>
      </c>
    </row>
    <row r="210" spans="1:40" x14ac:dyDescent="0.25">
      <c r="A210" s="4">
        <v>45623</v>
      </c>
      <c r="B210" s="6" t="s">
        <v>142</v>
      </c>
      <c r="C210" t="str">
        <f>_xlfn.XLOOKUP(Table3[[#This Row],[station]],station_waterbody_county!A:A, station_waterbody_county!B:B)</f>
        <v>Mahone Bay</v>
      </c>
      <c r="D210" t="str">
        <f>_xlfn.XLOOKUP(Table3[[#This Row],[station]],station_waterbody_county!A:A, station_waterbody_county!C:C)</f>
        <v>Lunenburg</v>
      </c>
      <c r="E210" s="6"/>
      <c r="F210" s="6" t="s">
        <v>310</v>
      </c>
      <c r="G210" s="4">
        <v>45414</v>
      </c>
      <c r="H210" s="5">
        <v>0.56388888888888888</v>
      </c>
      <c r="I210" s="4">
        <v>45617</v>
      </c>
      <c r="J210" s="5">
        <v>0.59305555555555556</v>
      </c>
      <c r="K210" s="10">
        <v>44.433399999999999</v>
      </c>
      <c r="L210" s="10">
        <v>-64.131516000000005</v>
      </c>
      <c r="O210" s="6" t="s">
        <v>351</v>
      </c>
      <c r="P210" s="6" t="s">
        <v>352</v>
      </c>
      <c r="Q210" s="6" t="s">
        <v>590</v>
      </c>
      <c r="R210" s="6" t="s">
        <v>591</v>
      </c>
      <c r="S210" s="6" t="s">
        <v>244</v>
      </c>
      <c r="T210" s="11">
        <v>21155090</v>
      </c>
      <c r="U210" s="7">
        <v>5</v>
      </c>
      <c r="V210" s="6" t="s">
        <v>36</v>
      </c>
      <c r="W210" s="7">
        <v>27.2</v>
      </c>
      <c r="X210" s="6" t="s">
        <v>35</v>
      </c>
      <c r="Y210" s="7">
        <v>1.6</v>
      </c>
      <c r="Z210" s="7">
        <v>1</v>
      </c>
      <c r="AA210" s="6" t="s">
        <v>243</v>
      </c>
      <c r="AB210" s="6" t="s">
        <v>39</v>
      </c>
      <c r="AC210" s="6" t="s">
        <v>39</v>
      </c>
      <c r="AD210" s="6" t="s">
        <v>39</v>
      </c>
      <c r="AE210" s="6"/>
      <c r="AG210" s="6" t="s">
        <v>37</v>
      </c>
      <c r="AH210" s="7">
        <v>60</v>
      </c>
      <c r="AI210" s="6" t="s">
        <v>40</v>
      </c>
      <c r="AJ210" s="6" t="s">
        <v>238</v>
      </c>
      <c r="AK210" s="6" t="s">
        <v>241</v>
      </c>
      <c r="AL210" s="6" t="s">
        <v>41</v>
      </c>
      <c r="AM210" s="6" t="s">
        <v>41</v>
      </c>
      <c r="AN210" s="6" t="s">
        <v>349</v>
      </c>
    </row>
    <row r="211" spans="1:40" x14ac:dyDescent="0.25">
      <c r="A211" s="4">
        <v>45623</v>
      </c>
      <c r="B211" s="6" t="s">
        <v>142</v>
      </c>
      <c r="C211" t="str">
        <f>_xlfn.XLOOKUP(Table3[[#This Row],[station]],station_waterbody_county!A:A, station_waterbody_county!B:B)</f>
        <v>Mahone Bay</v>
      </c>
      <c r="D211" t="str">
        <f>_xlfn.XLOOKUP(Table3[[#This Row],[station]],station_waterbody_county!A:A, station_waterbody_county!C:C)</f>
        <v>Lunenburg</v>
      </c>
      <c r="E211" s="6"/>
      <c r="F211" s="6" t="s">
        <v>310</v>
      </c>
      <c r="G211" s="4">
        <v>45414</v>
      </c>
      <c r="H211" s="5">
        <v>0.56388888888888888</v>
      </c>
      <c r="I211" s="4">
        <v>45617</v>
      </c>
      <c r="J211" s="5">
        <v>0.59305555555555556</v>
      </c>
      <c r="K211" s="10">
        <v>44.433399999999999</v>
      </c>
      <c r="L211" s="10">
        <v>-64.131516000000005</v>
      </c>
      <c r="O211" s="6" t="s">
        <v>351</v>
      </c>
      <c r="P211" s="6" t="s">
        <v>352</v>
      </c>
      <c r="Q211" s="6" t="s">
        <v>590</v>
      </c>
      <c r="R211" s="6" t="s">
        <v>591</v>
      </c>
      <c r="S211" s="6" t="s">
        <v>239</v>
      </c>
      <c r="T211" s="11">
        <v>21043068</v>
      </c>
      <c r="U211" s="7">
        <v>10</v>
      </c>
      <c r="V211" s="6" t="s">
        <v>36</v>
      </c>
      <c r="W211" s="7">
        <v>27.2</v>
      </c>
      <c r="X211" s="6" t="s">
        <v>35</v>
      </c>
      <c r="Y211" s="7">
        <v>1.6</v>
      </c>
      <c r="Z211" s="7">
        <v>1</v>
      </c>
      <c r="AA211" s="6" t="s">
        <v>243</v>
      </c>
      <c r="AB211" s="6" t="s">
        <v>39</v>
      </c>
      <c r="AC211" s="6" t="s">
        <v>39</v>
      </c>
      <c r="AD211" s="6" t="s">
        <v>39</v>
      </c>
      <c r="AE211" s="6"/>
      <c r="AG211" s="6" t="s">
        <v>37</v>
      </c>
      <c r="AH211" s="7">
        <v>60</v>
      </c>
      <c r="AI211" s="6" t="s">
        <v>40</v>
      </c>
      <c r="AJ211" s="6" t="s">
        <v>238</v>
      </c>
      <c r="AK211" s="6" t="s">
        <v>241</v>
      </c>
      <c r="AL211" s="6" t="s">
        <v>41</v>
      </c>
      <c r="AM211" s="6" t="s">
        <v>41</v>
      </c>
      <c r="AN211" s="6" t="s">
        <v>349</v>
      </c>
    </row>
    <row r="212" spans="1:40" x14ac:dyDescent="0.25">
      <c r="A212" s="4">
        <v>45623</v>
      </c>
      <c r="B212" s="6" t="s">
        <v>142</v>
      </c>
      <c r="C212" t="str">
        <f>_xlfn.XLOOKUP(Table3[[#This Row],[station]],station_waterbody_county!A:A, station_waterbody_county!B:B)</f>
        <v>Mahone Bay</v>
      </c>
      <c r="D212" t="str">
        <f>_xlfn.XLOOKUP(Table3[[#This Row],[station]],station_waterbody_county!A:A, station_waterbody_county!C:C)</f>
        <v>Lunenburg</v>
      </c>
      <c r="E212" s="6"/>
      <c r="F212" s="6" t="s">
        <v>310</v>
      </c>
      <c r="G212" s="4">
        <v>45414</v>
      </c>
      <c r="H212" s="5">
        <v>0.56388888888888888</v>
      </c>
      <c r="I212" s="4">
        <v>45617</v>
      </c>
      <c r="J212" s="5">
        <v>0.59305555555555556</v>
      </c>
      <c r="K212" s="10">
        <v>44.433399999999999</v>
      </c>
      <c r="L212" s="10">
        <v>-64.131516000000005</v>
      </c>
      <c r="O212" s="6" t="s">
        <v>351</v>
      </c>
      <c r="P212" s="6" t="s">
        <v>352</v>
      </c>
      <c r="Q212" s="6" t="s">
        <v>590</v>
      </c>
      <c r="R212" s="6" t="s">
        <v>591</v>
      </c>
      <c r="S212" s="6" t="s">
        <v>239</v>
      </c>
      <c r="T212" s="11">
        <v>21465794</v>
      </c>
      <c r="U212" s="7">
        <v>15</v>
      </c>
      <c r="V212" s="6" t="s">
        <v>36</v>
      </c>
      <c r="W212" s="7">
        <v>27.2</v>
      </c>
      <c r="X212" s="6" t="s">
        <v>35</v>
      </c>
      <c r="Y212" s="7">
        <v>1.6</v>
      </c>
      <c r="Z212" s="7">
        <v>1</v>
      </c>
      <c r="AA212" s="6" t="s">
        <v>243</v>
      </c>
      <c r="AB212" s="6" t="s">
        <v>39</v>
      </c>
      <c r="AC212" s="6" t="s">
        <v>39</v>
      </c>
      <c r="AD212" s="6" t="s">
        <v>39</v>
      </c>
      <c r="AE212" s="6"/>
      <c r="AG212" s="6" t="s">
        <v>37</v>
      </c>
      <c r="AH212" s="7">
        <v>60</v>
      </c>
      <c r="AI212" s="6" t="s">
        <v>40</v>
      </c>
      <c r="AJ212" s="6" t="s">
        <v>238</v>
      </c>
      <c r="AK212" s="6" t="s">
        <v>241</v>
      </c>
      <c r="AL212" s="6" t="s">
        <v>41</v>
      </c>
      <c r="AM212" s="6" t="s">
        <v>41</v>
      </c>
      <c r="AN212" s="6" t="s">
        <v>349</v>
      </c>
    </row>
    <row r="213" spans="1:40" x14ac:dyDescent="0.25">
      <c r="A213" s="4">
        <v>45623</v>
      </c>
      <c r="B213" s="6" t="s">
        <v>142</v>
      </c>
      <c r="C213" t="str">
        <f>_xlfn.XLOOKUP(Table3[[#This Row],[station]],station_waterbody_county!A:A, station_waterbody_county!B:B)</f>
        <v>Mahone Bay</v>
      </c>
      <c r="D213" t="str">
        <f>_xlfn.XLOOKUP(Table3[[#This Row],[station]],station_waterbody_county!A:A, station_waterbody_county!C:C)</f>
        <v>Lunenburg</v>
      </c>
      <c r="E213" s="6"/>
      <c r="F213" s="6" t="s">
        <v>310</v>
      </c>
      <c r="G213" s="4">
        <v>45414</v>
      </c>
      <c r="H213" s="5">
        <v>0.56388888888888888</v>
      </c>
      <c r="I213" s="4">
        <v>45617</v>
      </c>
      <c r="J213" s="5">
        <v>0.59305555555555556</v>
      </c>
      <c r="K213" s="10">
        <v>44.433399999999999</v>
      </c>
      <c r="L213" s="10">
        <v>-64.131516000000005</v>
      </c>
      <c r="O213" s="6" t="s">
        <v>351</v>
      </c>
      <c r="P213" s="6" t="s">
        <v>352</v>
      </c>
      <c r="Q213" s="6" t="s">
        <v>590</v>
      </c>
      <c r="R213" s="6" t="s">
        <v>591</v>
      </c>
      <c r="S213" s="6" t="s">
        <v>42</v>
      </c>
      <c r="T213" s="11">
        <v>549347</v>
      </c>
      <c r="U213" s="7">
        <v>20</v>
      </c>
      <c r="V213" s="6" t="s">
        <v>36</v>
      </c>
      <c r="W213" s="7">
        <v>27.2</v>
      </c>
      <c r="X213" s="6" t="s">
        <v>35</v>
      </c>
      <c r="Y213" s="7">
        <v>1.6</v>
      </c>
      <c r="Z213" s="7">
        <v>1</v>
      </c>
      <c r="AA213" s="6" t="s">
        <v>243</v>
      </c>
      <c r="AB213" s="6" t="s">
        <v>39</v>
      </c>
      <c r="AC213" s="6" t="s">
        <v>39</v>
      </c>
      <c r="AD213" s="6" t="s">
        <v>39</v>
      </c>
      <c r="AE213" s="6"/>
      <c r="AG213" s="6" t="s">
        <v>37</v>
      </c>
      <c r="AH213" s="7">
        <v>60</v>
      </c>
      <c r="AI213" s="6" t="s">
        <v>40</v>
      </c>
      <c r="AJ213" s="6" t="s">
        <v>238</v>
      </c>
      <c r="AK213" s="6" t="s">
        <v>241</v>
      </c>
      <c r="AL213" s="6" t="s">
        <v>41</v>
      </c>
      <c r="AM213" s="6" t="s">
        <v>41</v>
      </c>
      <c r="AN213" s="6" t="s">
        <v>350</v>
      </c>
    </row>
    <row r="214" spans="1:40" x14ac:dyDescent="0.25">
      <c r="A214" s="4">
        <v>45625</v>
      </c>
      <c r="B214" s="6" t="s">
        <v>142</v>
      </c>
      <c r="C214" t="str">
        <f>_xlfn.XLOOKUP(Table3[[#This Row],[station]],station_waterbody_county!A:A, station_waterbody_county!B:B)</f>
        <v>Mahone Bay</v>
      </c>
      <c r="D214" t="str">
        <f>_xlfn.XLOOKUP(Table3[[#This Row],[station]],station_waterbody_county!A:A, station_waterbody_county!C:C)</f>
        <v>Lunenburg</v>
      </c>
      <c r="E214" s="6"/>
      <c r="F214" s="6" t="s">
        <v>310</v>
      </c>
      <c r="G214" s="4">
        <v>45414</v>
      </c>
      <c r="H214" s="5">
        <v>0.56388888888888888</v>
      </c>
      <c r="I214" s="4">
        <v>45617</v>
      </c>
      <c r="J214" s="5">
        <v>0.59305555555555556</v>
      </c>
      <c r="K214" s="10">
        <v>44.433399999999999</v>
      </c>
      <c r="L214" s="10">
        <v>-64.131516000000005</v>
      </c>
      <c r="O214" s="6" t="s">
        <v>351</v>
      </c>
      <c r="P214" s="6" t="s">
        <v>352</v>
      </c>
      <c r="Q214" s="6" t="s">
        <v>590</v>
      </c>
      <c r="R214" s="6" t="s">
        <v>591</v>
      </c>
      <c r="S214" s="6" t="s">
        <v>239</v>
      </c>
      <c r="T214" s="11">
        <v>21488196</v>
      </c>
      <c r="U214" s="7">
        <v>2</v>
      </c>
      <c r="V214" s="6" t="s">
        <v>36</v>
      </c>
      <c r="W214" s="7">
        <v>27.2</v>
      </c>
      <c r="X214" s="6" t="s">
        <v>35</v>
      </c>
      <c r="Y214" s="7">
        <v>1.6</v>
      </c>
      <c r="Z214" s="7">
        <v>1</v>
      </c>
      <c r="AA214" s="6" t="s">
        <v>243</v>
      </c>
      <c r="AB214" s="6" t="s">
        <v>39</v>
      </c>
      <c r="AC214" s="6" t="s">
        <v>39</v>
      </c>
      <c r="AD214" s="6" t="s">
        <v>39</v>
      </c>
      <c r="AE214" s="6"/>
      <c r="AG214" s="6" t="s">
        <v>37</v>
      </c>
      <c r="AH214" s="7">
        <v>60</v>
      </c>
      <c r="AI214" s="6" t="s">
        <v>40</v>
      </c>
      <c r="AJ214" s="6" t="s">
        <v>238</v>
      </c>
      <c r="AK214" s="6" t="s">
        <v>241</v>
      </c>
      <c r="AL214" s="6" t="s">
        <v>41</v>
      </c>
      <c r="AM214" s="6" t="s">
        <v>41</v>
      </c>
      <c r="AN214" s="6" t="s">
        <v>607</v>
      </c>
    </row>
    <row r="215" spans="1:40" hidden="1" x14ac:dyDescent="0.25">
      <c r="A215" s="4">
        <v>45678</v>
      </c>
      <c r="B215" s="6" t="s">
        <v>142</v>
      </c>
      <c r="C215" t="str">
        <f>_xlfn.XLOOKUP(Table3[[#This Row],[station]],station_waterbody_county!A:A, station_waterbody_county!B:B)</f>
        <v>Mahone Bay</v>
      </c>
      <c r="D215" t="str">
        <f>_xlfn.XLOOKUP(Table3[[#This Row],[station]],station_waterbody_county!A:A, station_waterbody_county!C:C)</f>
        <v>Lunenburg</v>
      </c>
      <c r="E215" s="6"/>
      <c r="F215" s="6" t="s">
        <v>310</v>
      </c>
      <c r="G215" s="12">
        <v>45239</v>
      </c>
      <c r="H215" s="5"/>
      <c r="I215" s="4">
        <v>45414</v>
      </c>
      <c r="J215" s="5">
        <v>0.53541666666666665</v>
      </c>
      <c r="K215" s="10">
        <v>44.433636</v>
      </c>
      <c r="L215" s="10">
        <v>-64.134101000000001</v>
      </c>
      <c r="O215" s="6"/>
      <c r="Q215" s="6" t="s">
        <v>347</v>
      </c>
      <c r="R215" s="6" t="s">
        <v>348</v>
      </c>
      <c r="S215" s="6" t="s">
        <v>239</v>
      </c>
      <c r="T215" s="11">
        <v>20308045</v>
      </c>
      <c r="U215" s="7">
        <v>2</v>
      </c>
      <c r="V215" s="6" t="s">
        <v>36</v>
      </c>
      <c r="W215" s="7">
        <v>27</v>
      </c>
      <c r="X215" s="6" t="s">
        <v>35</v>
      </c>
      <c r="Y215" s="7">
        <v>0.6</v>
      </c>
      <c r="Z215" s="7">
        <v>1.5</v>
      </c>
      <c r="AA215" s="6"/>
      <c r="AB215" s="6" t="s">
        <v>39</v>
      </c>
      <c r="AC215" s="6" t="s">
        <v>39</v>
      </c>
      <c r="AD215" s="6" t="s">
        <v>39</v>
      </c>
      <c r="AE215" s="6"/>
      <c r="AG215" s="6" t="s">
        <v>256</v>
      </c>
      <c r="AH215" s="7"/>
      <c r="AI215" s="6" t="s">
        <v>40</v>
      </c>
      <c r="AJ215" s="6" t="s">
        <v>238</v>
      </c>
      <c r="AK215" s="6" t="s">
        <v>35</v>
      </c>
      <c r="AL215" s="6" t="s">
        <v>271</v>
      </c>
      <c r="AM215" s="6" t="s">
        <v>41</v>
      </c>
    </row>
    <row r="216" spans="1:40" hidden="1" x14ac:dyDescent="0.25">
      <c r="A216" s="4">
        <v>45678</v>
      </c>
      <c r="B216" s="6" t="s">
        <v>142</v>
      </c>
      <c r="C216" t="str">
        <f>_xlfn.XLOOKUP(Table3[[#This Row],[station]],station_waterbody_county!A:A, station_waterbody_county!B:B)</f>
        <v>Mahone Bay</v>
      </c>
      <c r="D216" t="str">
        <f>_xlfn.XLOOKUP(Table3[[#This Row],[station]],station_waterbody_county!A:A, station_waterbody_county!C:C)</f>
        <v>Lunenburg</v>
      </c>
      <c r="E216" s="6"/>
      <c r="F216" s="6" t="s">
        <v>310</v>
      </c>
      <c r="G216" s="12">
        <v>45239</v>
      </c>
      <c r="H216" s="5"/>
      <c r="I216" s="4">
        <v>45414</v>
      </c>
      <c r="J216" s="5">
        <v>0.53541666666666665</v>
      </c>
      <c r="K216" s="10">
        <v>44.433636</v>
      </c>
      <c r="L216" s="10">
        <v>-64.134101000000001</v>
      </c>
      <c r="O216" s="6"/>
      <c r="Q216" s="6" t="s">
        <v>347</v>
      </c>
      <c r="R216" s="6" t="s">
        <v>348</v>
      </c>
      <c r="S216" s="6" t="s">
        <v>244</v>
      </c>
      <c r="T216" s="11">
        <v>20834030</v>
      </c>
      <c r="U216" s="7">
        <v>5</v>
      </c>
      <c r="V216" s="6" t="s">
        <v>36</v>
      </c>
      <c r="W216" s="7">
        <v>27</v>
      </c>
      <c r="X216" s="6" t="s">
        <v>35</v>
      </c>
      <c r="Y216" s="7">
        <v>0.6</v>
      </c>
      <c r="Z216" s="7">
        <v>1.5</v>
      </c>
      <c r="AA216" s="6"/>
      <c r="AB216" s="6" t="s">
        <v>39</v>
      </c>
      <c r="AC216" s="6" t="s">
        <v>39</v>
      </c>
      <c r="AD216" s="6" t="s">
        <v>39</v>
      </c>
      <c r="AE216" s="6"/>
      <c r="AG216" s="6" t="s">
        <v>256</v>
      </c>
      <c r="AH216" s="7"/>
      <c r="AI216" s="6" t="s">
        <v>40</v>
      </c>
      <c r="AJ216" s="6" t="s">
        <v>238</v>
      </c>
      <c r="AK216" s="6" t="s">
        <v>35</v>
      </c>
      <c r="AL216" s="6" t="s">
        <v>271</v>
      </c>
      <c r="AM216" s="6" t="s">
        <v>41</v>
      </c>
    </row>
    <row r="217" spans="1:40" hidden="1" x14ac:dyDescent="0.25">
      <c r="A217" s="4">
        <v>45678</v>
      </c>
      <c r="B217" s="6" t="s">
        <v>142</v>
      </c>
      <c r="C217" t="str">
        <f>_xlfn.XLOOKUP(Table3[[#This Row],[station]],station_waterbody_county!A:A, station_waterbody_county!B:B)</f>
        <v>Mahone Bay</v>
      </c>
      <c r="D217" t="str">
        <f>_xlfn.XLOOKUP(Table3[[#This Row],[station]],station_waterbody_county!A:A, station_waterbody_county!C:C)</f>
        <v>Lunenburg</v>
      </c>
      <c r="E217" s="6"/>
      <c r="F217" s="6" t="s">
        <v>310</v>
      </c>
      <c r="G217" s="12">
        <v>45239</v>
      </c>
      <c r="H217" s="5"/>
      <c r="I217" s="4">
        <v>45414</v>
      </c>
      <c r="J217" s="5">
        <v>0.53541666666666665</v>
      </c>
      <c r="K217" s="10">
        <v>44.433636</v>
      </c>
      <c r="L217" s="10">
        <v>-64.134101000000001</v>
      </c>
      <c r="O217" s="6"/>
      <c r="Q217" s="6" t="s">
        <v>347</v>
      </c>
      <c r="R217" s="6" t="s">
        <v>348</v>
      </c>
      <c r="S217" s="6" t="s">
        <v>239</v>
      </c>
      <c r="T217" s="11">
        <v>21082890</v>
      </c>
      <c r="U217" s="7">
        <v>10</v>
      </c>
      <c r="V217" s="6" t="s">
        <v>36</v>
      </c>
      <c r="W217" s="7">
        <v>27</v>
      </c>
      <c r="X217" s="6" t="s">
        <v>35</v>
      </c>
      <c r="Y217" s="7">
        <v>0.6</v>
      </c>
      <c r="Z217" s="7">
        <v>1.5</v>
      </c>
      <c r="AA217" s="6"/>
      <c r="AB217" s="6" t="s">
        <v>39</v>
      </c>
      <c r="AC217" s="6" t="s">
        <v>39</v>
      </c>
      <c r="AD217" s="6" t="s">
        <v>39</v>
      </c>
      <c r="AE217" s="6"/>
      <c r="AG217" s="6" t="s">
        <v>256</v>
      </c>
      <c r="AH217" s="7"/>
      <c r="AI217" s="6" t="s">
        <v>40</v>
      </c>
      <c r="AJ217" s="6" t="s">
        <v>238</v>
      </c>
      <c r="AK217" s="6" t="s">
        <v>35</v>
      </c>
      <c r="AL217" s="6" t="s">
        <v>271</v>
      </c>
      <c r="AM217" s="6" t="s">
        <v>41</v>
      </c>
    </row>
    <row r="218" spans="1:40" hidden="1" x14ac:dyDescent="0.25">
      <c r="A218" s="4">
        <v>45678</v>
      </c>
      <c r="B218" s="6" t="s">
        <v>142</v>
      </c>
      <c r="C218" t="str">
        <f>_xlfn.XLOOKUP(Table3[[#This Row],[station]],station_waterbody_county!A:A, station_waterbody_county!B:B)</f>
        <v>Mahone Bay</v>
      </c>
      <c r="D218" t="str">
        <f>_xlfn.XLOOKUP(Table3[[#This Row],[station]],station_waterbody_county!A:A, station_waterbody_county!C:C)</f>
        <v>Lunenburg</v>
      </c>
      <c r="E218" s="6"/>
      <c r="F218" s="6" t="s">
        <v>310</v>
      </c>
      <c r="G218" s="12">
        <v>45239</v>
      </c>
      <c r="H218" s="5"/>
      <c r="I218" s="4">
        <v>45414</v>
      </c>
      <c r="J218" s="5">
        <v>0.53541666666666665</v>
      </c>
      <c r="K218" s="10">
        <v>44.433636</v>
      </c>
      <c r="L218" s="10">
        <v>-64.134101000000001</v>
      </c>
      <c r="O218" s="6"/>
      <c r="Q218" s="6" t="s">
        <v>347</v>
      </c>
      <c r="R218" s="6" t="s">
        <v>348</v>
      </c>
      <c r="S218" s="6" t="s">
        <v>239</v>
      </c>
      <c r="T218" s="11">
        <v>20820329</v>
      </c>
      <c r="U218" s="7">
        <v>15</v>
      </c>
      <c r="V218" s="6" t="s">
        <v>36</v>
      </c>
      <c r="W218" s="7">
        <v>27</v>
      </c>
      <c r="X218" s="6" t="s">
        <v>35</v>
      </c>
      <c r="Y218" s="7">
        <v>0.6</v>
      </c>
      <c r="Z218" s="7">
        <v>1.5</v>
      </c>
      <c r="AA218" s="6"/>
      <c r="AB218" s="6" t="s">
        <v>39</v>
      </c>
      <c r="AC218" s="6" t="s">
        <v>39</v>
      </c>
      <c r="AD218" s="6" t="s">
        <v>39</v>
      </c>
      <c r="AE218" s="6"/>
      <c r="AG218" s="6" t="s">
        <v>256</v>
      </c>
      <c r="AH218" s="7"/>
      <c r="AI218" s="6" t="s">
        <v>40</v>
      </c>
      <c r="AJ218" s="6" t="s">
        <v>238</v>
      </c>
      <c r="AK218" s="6" t="s">
        <v>35</v>
      </c>
      <c r="AL218" s="6" t="s">
        <v>271</v>
      </c>
      <c r="AM218" s="6" t="s">
        <v>41</v>
      </c>
    </row>
    <row r="219" spans="1:40" hidden="1" x14ac:dyDescent="0.25">
      <c r="A219" s="4">
        <v>45678</v>
      </c>
      <c r="B219" s="6" t="s">
        <v>142</v>
      </c>
      <c r="C219" t="str">
        <f>_xlfn.XLOOKUP(Table3[[#This Row],[station]],station_waterbody_county!A:A, station_waterbody_county!B:B)</f>
        <v>Mahone Bay</v>
      </c>
      <c r="D219" t="str">
        <f>_xlfn.XLOOKUP(Table3[[#This Row],[station]],station_waterbody_county!A:A, station_waterbody_county!C:C)</f>
        <v>Lunenburg</v>
      </c>
      <c r="E219" s="6"/>
      <c r="F219" s="6" t="s">
        <v>310</v>
      </c>
      <c r="G219" s="12">
        <v>45239</v>
      </c>
      <c r="H219" s="5"/>
      <c r="I219" s="4">
        <v>45414</v>
      </c>
      <c r="J219" s="5">
        <v>0.53541666666666665</v>
      </c>
      <c r="K219" s="10">
        <v>44.433636</v>
      </c>
      <c r="L219" s="10">
        <v>-64.134101000000001</v>
      </c>
      <c r="O219" s="6"/>
      <c r="Q219" s="6" t="s">
        <v>347</v>
      </c>
      <c r="R219" s="6" t="s">
        <v>348</v>
      </c>
      <c r="S219" s="6" t="s">
        <v>42</v>
      </c>
      <c r="T219" s="11">
        <v>548562</v>
      </c>
      <c r="U219" s="7">
        <v>20</v>
      </c>
      <c r="V219" s="6" t="s">
        <v>36</v>
      </c>
      <c r="W219" s="7">
        <v>27</v>
      </c>
      <c r="X219" s="6" t="s">
        <v>35</v>
      </c>
      <c r="Y219" s="7">
        <v>0.6</v>
      </c>
      <c r="Z219" s="7">
        <v>1.5</v>
      </c>
      <c r="AA219" s="6"/>
      <c r="AB219" s="6" t="s">
        <v>39</v>
      </c>
      <c r="AC219" s="6" t="s">
        <v>39</v>
      </c>
      <c r="AD219" s="6" t="s">
        <v>39</v>
      </c>
      <c r="AE219" s="6"/>
      <c r="AG219" s="6" t="s">
        <v>256</v>
      </c>
      <c r="AH219" s="7"/>
      <c r="AI219" s="6" t="s">
        <v>40</v>
      </c>
      <c r="AJ219" s="6" t="s">
        <v>238</v>
      </c>
      <c r="AK219" s="6" t="s">
        <v>35</v>
      </c>
      <c r="AL219" s="6" t="s">
        <v>271</v>
      </c>
      <c r="AM219" s="6" t="s">
        <v>41</v>
      </c>
    </row>
    <row r="220" spans="1:40" x14ac:dyDescent="0.25">
      <c r="A220" s="4">
        <v>45784</v>
      </c>
      <c r="B220" s="6" t="s">
        <v>142</v>
      </c>
      <c r="C220" t="str">
        <f>_xlfn.XLOOKUP(Table3[[#This Row],[station]],station_waterbody_county!A:A, station_waterbody_county!B:B)</f>
        <v>Mahone Bay</v>
      </c>
      <c r="D220" t="str">
        <f>_xlfn.XLOOKUP(Table3[[#This Row],[station]],station_waterbody_county!A:A, station_waterbody_county!C:C)</f>
        <v>Lunenburg</v>
      </c>
      <c r="E220" s="6"/>
      <c r="F220" s="6" t="s">
        <v>310</v>
      </c>
      <c r="G220" s="4">
        <v>45617</v>
      </c>
      <c r="H220" s="5">
        <v>0.60763888888888884</v>
      </c>
      <c r="I220" s="4">
        <v>45779</v>
      </c>
      <c r="J220" s="5">
        <v>0.45763888888888887</v>
      </c>
      <c r="K220" s="10"/>
      <c r="O220" s="6" t="s">
        <v>592</v>
      </c>
      <c r="P220" s="6" t="s">
        <v>593</v>
      </c>
      <c r="Q220" s="6" t="s">
        <v>1227</v>
      </c>
      <c r="R220" s="6" t="s">
        <v>1228</v>
      </c>
      <c r="S220" s="6" t="s">
        <v>239</v>
      </c>
      <c r="T220" s="11">
        <v>20820350</v>
      </c>
      <c r="U220" s="7">
        <v>2</v>
      </c>
      <c r="V220" s="6" t="s">
        <v>36</v>
      </c>
      <c r="W220" s="7">
        <v>25.9</v>
      </c>
      <c r="X220" s="6" t="s">
        <v>35</v>
      </c>
      <c r="Y220" s="7">
        <v>1.5</v>
      </c>
      <c r="Z220" s="7">
        <v>1.5</v>
      </c>
      <c r="AA220" s="6" t="s">
        <v>243</v>
      </c>
      <c r="AB220" s="6" t="s">
        <v>39</v>
      </c>
      <c r="AC220" s="6" t="s">
        <v>39</v>
      </c>
      <c r="AD220" s="6" t="s">
        <v>39</v>
      </c>
      <c r="AE220" s="6"/>
      <c r="AG220" s="6" t="s">
        <v>37</v>
      </c>
      <c r="AH220" s="7">
        <v>60</v>
      </c>
      <c r="AI220" s="6" t="s">
        <v>40</v>
      </c>
      <c r="AJ220" s="6" t="s">
        <v>238</v>
      </c>
      <c r="AK220" s="6" t="s">
        <v>35</v>
      </c>
      <c r="AL220" s="6" t="s">
        <v>41</v>
      </c>
      <c r="AM220" s="6" t="s">
        <v>41</v>
      </c>
    </row>
    <row r="221" spans="1:40" x14ac:dyDescent="0.25">
      <c r="A221" s="4">
        <v>45784</v>
      </c>
      <c r="B221" s="6" t="s">
        <v>142</v>
      </c>
      <c r="C221" t="str">
        <f>_xlfn.XLOOKUP(Table3[[#This Row],[station]],station_waterbody_county!A:A, station_waterbody_county!B:B)</f>
        <v>Mahone Bay</v>
      </c>
      <c r="D221" t="str">
        <f>_xlfn.XLOOKUP(Table3[[#This Row],[station]],station_waterbody_county!A:A, station_waterbody_county!C:C)</f>
        <v>Lunenburg</v>
      </c>
      <c r="E221" s="6"/>
      <c r="F221" s="6" t="s">
        <v>310</v>
      </c>
      <c r="G221" s="4">
        <v>45617</v>
      </c>
      <c r="H221" s="5">
        <v>0.60763888888888884</v>
      </c>
      <c r="I221" s="4">
        <v>45779</v>
      </c>
      <c r="J221" s="5">
        <v>0.45763888888888887</v>
      </c>
      <c r="K221" s="10"/>
      <c r="O221" s="6" t="s">
        <v>592</v>
      </c>
      <c r="P221" s="6" t="s">
        <v>593</v>
      </c>
      <c r="Q221" s="6" t="s">
        <v>1227</v>
      </c>
      <c r="R221" s="6" t="s">
        <v>1228</v>
      </c>
      <c r="S221" s="6" t="s">
        <v>244</v>
      </c>
      <c r="T221" s="11">
        <v>21452302</v>
      </c>
      <c r="U221" s="7">
        <v>5</v>
      </c>
      <c r="V221" s="6" t="s">
        <v>36</v>
      </c>
      <c r="W221" s="7">
        <v>25.9</v>
      </c>
      <c r="X221" s="6" t="s">
        <v>35</v>
      </c>
      <c r="Y221" s="7">
        <v>1.5</v>
      </c>
      <c r="Z221" s="7">
        <v>1.5</v>
      </c>
      <c r="AA221" s="6" t="s">
        <v>243</v>
      </c>
      <c r="AB221" s="6" t="s">
        <v>39</v>
      </c>
      <c r="AC221" s="6" t="s">
        <v>39</v>
      </c>
      <c r="AD221" s="6" t="s">
        <v>39</v>
      </c>
      <c r="AE221" s="6"/>
      <c r="AG221" s="6" t="s">
        <v>37</v>
      </c>
      <c r="AH221" s="7">
        <v>60</v>
      </c>
      <c r="AI221" s="6" t="s">
        <v>40</v>
      </c>
      <c r="AJ221" s="6" t="s">
        <v>238</v>
      </c>
      <c r="AK221" s="6" t="s">
        <v>35</v>
      </c>
      <c r="AL221" s="6" t="s">
        <v>41</v>
      </c>
      <c r="AM221" s="6" t="s">
        <v>41</v>
      </c>
    </row>
    <row r="222" spans="1:40" x14ac:dyDescent="0.25">
      <c r="A222" s="4">
        <v>45784</v>
      </c>
      <c r="B222" s="6" t="s">
        <v>142</v>
      </c>
      <c r="C222" t="str">
        <f>_xlfn.XLOOKUP(Table3[[#This Row],[station]],station_waterbody_county!A:A, station_waterbody_county!B:B)</f>
        <v>Mahone Bay</v>
      </c>
      <c r="D222" t="str">
        <f>_xlfn.XLOOKUP(Table3[[#This Row],[station]],station_waterbody_county!A:A, station_waterbody_county!C:C)</f>
        <v>Lunenburg</v>
      </c>
      <c r="E222" s="6"/>
      <c r="F222" s="6" t="s">
        <v>310</v>
      </c>
      <c r="G222" s="4">
        <v>45617</v>
      </c>
      <c r="H222" s="5">
        <v>0.60763888888888884</v>
      </c>
      <c r="I222" s="4">
        <v>45779</v>
      </c>
      <c r="J222" s="5">
        <v>0.45763888888888887</v>
      </c>
      <c r="K222" s="10"/>
      <c r="O222" s="6" t="s">
        <v>592</v>
      </c>
      <c r="P222" s="6" t="s">
        <v>593</v>
      </c>
      <c r="Q222" s="6" t="s">
        <v>1227</v>
      </c>
      <c r="R222" s="6" t="s">
        <v>1228</v>
      </c>
      <c r="S222" s="6" t="s">
        <v>239</v>
      </c>
      <c r="T222" s="11">
        <v>21465797</v>
      </c>
      <c r="U222" s="7">
        <v>10</v>
      </c>
      <c r="V222" s="6" t="s">
        <v>36</v>
      </c>
      <c r="W222" s="7">
        <v>25.9</v>
      </c>
      <c r="X222" s="6" t="s">
        <v>35</v>
      </c>
      <c r="Y222" s="7">
        <v>1.5</v>
      </c>
      <c r="Z222" s="7">
        <v>1.5</v>
      </c>
      <c r="AA222" s="6" t="s">
        <v>243</v>
      </c>
      <c r="AB222" s="6" t="s">
        <v>39</v>
      </c>
      <c r="AC222" s="6" t="s">
        <v>39</v>
      </c>
      <c r="AD222" s="6" t="s">
        <v>39</v>
      </c>
      <c r="AE222" s="6"/>
      <c r="AG222" s="6" t="s">
        <v>37</v>
      </c>
      <c r="AH222" s="7">
        <v>60</v>
      </c>
      <c r="AI222" s="6" t="s">
        <v>40</v>
      </c>
      <c r="AJ222" s="6" t="s">
        <v>238</v>
      </c>
      <c r="AK222" s="6" t="s">
        <v>35</v>
      </c>
      <c r="AL222" s="6" t="s">
        <v>41</v>
      </c>
      <c r="AM222" s="6" t="s">
        <v>41</v>
      </c>
    </row>
    <row r="223" spans="1:40" x14ac:dyDescent="0.25">
      <c r="A223" s="4">
        <v>45784</v>
      </c>
      <c r="B223" s="6" t="s">
        <v>142</v>
      </c>
      <c r="C223" t="str">
        <f>_xlfn.XLOOKUP(Table3[[#This Row],[station]],station_waterbody_county!A:A, station_waterbody_county!B:B)</f>
        <v>Mahone Bay</v>
      </c>
      <c r="D223" t="str">
        <f>_xlfn.XLOOKUP(Table3[[#This Row],[station]],station_waterbody_county!A:A, station_waterbody_county!C:C)</f>
        <v>Lunenburg</v>
      </c>
      <c r="E223" s="6"/>
      <c r="F223" s="6" t="s">
        <v>310</v>
      </c>
      <c r="G223" s="4">
        <v>45617</v>
      </c>
      <c r="H223" s="5">
        <v>0.60763888888888884</v>
      </c>
      <c r="I223" s="4">
        <v>45779</v>
      </c>
      <c r="J223" s="5">
        <v>0.45763888888888887</v>
      </c>
      <c r="K223" s="10"/>
      <c r="O223" s="6" t="s">
        <v>592</v>
      </c>
      <c r="P223" s="6" t="s">
        <v>593</v>
      </c>
      <c r="Q223" s="6" t="s">
        <v>1227</v>
      </c>
      <c r="R223" s="6" t="s">
        <v>1228</v>
      </c>
      <c r="S223" s="6" t="s">
        <v>239</v>
      </c>
      <c r="T223" s="11">
        <v>20820323</v>
      </c>
      <c r="U223" s="7">
        <v>15</v>
      </c>
      <c r="V223" s="6" t="s">
        <v>36</v>
      </c>
      <c r="W223" s="7">
        <v>25.9</v>
      </c>
      <c r="X223" s="6" t="s">
        <v>35</v>
      </c>
      <c r="Y223" s="7">
        <v>1.5</v>
      </c>
      <c r="Z223" s="7">
        <v>1.5</v>
      </c>
      <c r="AA223" s="6" t="s">
        <v>243</v>
      </c>
      <c r="AB223" s="6" t="s">
        <v>39</v>
      </c>
      <c r="AC223" s="6" t="s">
        <v>39</v>
      </c>
      <c r="AD223" s="6" t="s">
        <v>39</v>
      </c>
      <c r="AE223" s="6"/>
      <c r="AG223" s="6" t="s">
        <v>37</v>
      </c>
      <c r="AH223" s="7">
        <v>60</v>
      </c>
      <c r="AI223" s="6" t="s">
        <v>40</v>
      </c>
      <c r="AJ223" s="6" t="s">
        <v>238</v>
      </c>
      <c r="AK223" s="6" t="s">
        <v>35</v>
      </c>
      <c r="AL223" s="6" t="s">
        <v>41</v>
      </c>
      <c r="AM223" s="6" t="s">
        <v>41</v>
      </c>
    </row>
    <row r="224" spans="1:40" x14ac:dyDescent="0.25">
      <c r="A224" s="4">
        <v>45784</v>
      </c>
      <c r="B224" s="6" t="s">
        <v>142</v>
      </c>
      <c r="C224" t="str">
        <f>_xlfn.XLOOKUP(Table3[[#This Row],[station]],station_waterbody_county!A:A, station_waterbody_county!B:B)</f>
        <v>Mahone Bay</v>
      </c>
      <c r="D224" t="str">
        <f>_xlfn.XLOOKUP(Table3[[#This Row],[station]],station_waterbody_county!A:A, station_waterbody_county!C:C)</f>
        <v>Lunenburg</v>
      </c>
      <c r="E224" s="6"/>
      <c r="F224" s="6" t="s">
        <v>310</v>
      </c>
      <c r="G224" s="4">
        <v>45617</v>
      </c>
      <c r="H224" s="5">
        <v>0.60763888888888884</v>
      </c>
      <c r="I224" s="4">
        <v>45779</v>
      </c>
      <c r="J224" s="5">
        <v>0.45763888888888887</v>
      </c>
      <c r="K224" s="10"/>
      <c r="O224" s="6" t="s">
        <v>592</v>
      </c>
      <c r="P224" s="6" t="s">
        <v>593</v>
      </c>
      <c r="Q224" s="6" t="s">
        <v>1227</v>
      </c>
      <c r="R224" s="6" t="s">
        <v>1228</v>
      </c>
      <c r="S224" s="6" t="s">
        <v>42</v>
      </c>
      <c r="T224" s="11">
        <v>548041</v>
      </c>
      <c r="U224" s="7">
        <v>20</v>
      </c>
      <c r="V224" s="6" t="s">
        <v>36</v>
      </c>
      <c r="W224" s="7">
        <v>25.9</v>
      </c>
      <c r="X224" s="6" t="s">
        <v>35</v>
      </c>
      <c r="Y224" s="7">
        <v>1.5</v>
      </c>
      <c r="Z224" s="7">
        <v>1.5</v>
      </c>
      <c r="AA224" s="6" t="s">
        <v>243</v>
      </c>
      <c r="AB224" s="6" t="s">
        <v>39</v>
      </c>
      <c r="AC224" s="6" t="s">
        <v>39</v>
      </c>
      <c r="AD224" s="6" t="s">
        <v>39</v>
      </c>
      <c r="AE224" s="6"/>
      <c r="AG224" s="6" t="s">
        <v>37</v>
      </c>
      <c r="AH224" s="7">
        <v>60</v>
      </c>
      <c r="AI224" s="6" t="s">
        <v>40</v>
      </c>
      <c r="AJ224" s="6" t="s">
        <v>238</v>
      </c>
      <c r="AK224" s="6" t="s">
        <v>35</v>
      </c>
      <c r="AL224" s="6" t="s">
        <v>41</v>
      </c>
      <c r="AM224" s="6" t="s">
        <v>41</v>
      </c>
    </row>
    <row r="225" spans="1:39" x14ac:dyDescent="0.25">
      <c r="A225" s="4">
        <v>45784</v>
      </c>
      <c r="B225" s="6" t="s">
        <v>142</v>
      </c>
      <c r="C225" t="str">
        <f>_xlfn.XLOOKUP(Table3[[#This Row],[station]],station_waterbody_county!A:A, station_waterbody_county!B:B)</f>
        <v>Mahone Bay</v>
      </c>
      <c r="D225" t="str">
        <f>_xlfn.XLOOKUP(Table3[[#This Row],[station]],station_waterbody_county!A:A, station_waterbody_county!C:C)</f>
        <v>Lunenburg</v>
      </c>
      <c r="E225" s="6"/>
      <c r="F225" s="6" t="s">
        <v>310</v>
      </c>
      <c r="G225" s="4">
        <v>45617</v>
      </c>
      <c r="H225" s="5">
        <v>0.60763888888888884</v>
      </c>
      <c r="I225" s="4">
        <v>45779</v>
      </c>
      <c r="J225" s="5">
        <v>0.45763888888888887</v>
      </c>
      <c r="K225" s="10"/>
      <c r="O225" s="6" t="s">
        <v>592</v>
      </c>
      <c r="P225" s="6" t="s">
        <v>593</v>
      </c>
      <c r="Q225" s="6" t="s">
        <v>1227</v>
      </c>
      <c r="R225" s="6" t="s">
        <v>1228</v>
      </c>
      <c r="S225" s="6" t="s">
        <v>239</v>
      </c>
      <c r="T225" s="11">
        <v>22055904</v>
      </c>
      <c r="U225" s="7">
        <v>20</v>
      </c>
      <c r="V225" s="6" t="s">
        <v>36</v>
      </c>
      <c r="W225" s="7">
        <v>25.9</v>
      </c>
      <c r="X225" s="6" t="s">
        <v>35</v>
      </c>
      <c r="Y225" s="7">
        <v>1.5</v>
      </c>
      <c r="Z225" s="7">
        <v>1.5</v>
      </c>
      <c r="AA225" s="6" t="s">
        <v>243</v>
      </c>
      <c r="AB225" s="6" t="s">
        <v>39</v>
      </c>
      <c r="AC225" s="6" t="s">
        <v>39</v>
      </c>
      <c r="AD225" s="6" t="s">
        <v>39</v>
      </c>
      <c r="AE225" s="6"/>
      <c r="AG225" s="6" t="s">
        <v>37</v>
      </c>
      <c r="AH225" s="7">
        <v>60</v>
      </c>
      <c r="AI225" s="6" t="s">
        <v>40</v>
      </c>
      <c r="AJ225" s="6" t="s">
        <v>238</v>
      </c>
      <c r="AK225" s="6" t="s">
        <v>35</v>
      </c>
      <c r="AL225" s="6" t="s">
        <v>41</v>
      </c>
      <c r="AM225" s="6" t="s">
        <v>41</v>
      </c>
    </row>
    <row r="226" spans="1:39" hidden="1" x14ac:dyDescent="0.25">
      <c r="A226" s="4">
        <v>45784</v>
      </c>
      <c r="B226" s="6" t="s">
        <v>142</v>
      </c>
      <c r="C226" t="str">
        <f>_xlfn.XLOOKUP(Table3[[#This Row],[station]],station_waterbody_county!A:A, station_waterbody_county!B:B)</f>
        <v>Mahone Bay</v>
      </c>
      <c r="D226" t="str">
        <f>_xlfn.XLOOKUP(Table3[[#This Row],[station]],station_waterbody_county!A:A, station_waterbody_county!C:C)</f>
        <v>Lunenburg</v>
      </c>
      <c r="E226" s="6"/>
      <c r="F226" s="6" t="s">
        <v>34</v>
      </c>
      <c r="G226" s="12">
        <v>45779</v>
      </c>
      <c r="H226" s="5">
        <v>0.47361111111111109</v>
      </c>
      <c r="I226" s="4"/>
      <c r="J226" s="5"/>
      <c r="K226" s="10"/>
      <c r="O226" s="6" t="s">
        <v>1229</v>
      </c>
      <c r="P226" s="6" t="s">
        <v>1230</v>
      </c>
      <c r="S226" s="6" t="s">
        <v>239</v>
      </c>
      <c r="T226" s="11">
        <v>22278833</v>
      </c>
      <c r="U226" s="7">
        <v>2</v>
      </c>
      <c r="V226" s="6" t="s">
        <v>36</v>
      </c>
      <c r="W226" s="7">
        <v>27.2</v>
      </c>
      <c r="X226" s="6" t="s">
        <v>35</v>
      </c>
      <c r="Y226" s="7">
        <v>0.38</v>
      </c>
      <c r="Z226" s="7">
        <v>1.5</v>
      </c>
      <c r="AA226" s="6" t="s">
        <v>243</v>
      </c>
      <c r="AB226" s="6" t="s">
        <v>39</v>
      </c>
      <c r="AC226" s="6" t="s">
        <v>39</v>
      </c>
      <c r="AD226" s="6" t="s">
        <v>39</v>
      </c>
      <c r="AE226" s="6" t="s">
        <v>40</v>
      </c>
      <c r="AG226" s="6" t="s">
        <v>37</v>
      </c>
      <c r="AH226" s="7">
        <v>60</v>
      </c>
      <c r="AI226" s="6" t="s">
        <v>40</v>
      </c>
      <c r="AJ226" s="6" t="s">
        <v>238</v>
      </c>
      <c r="AL226" s="6" t="s">
        <v>41</v>
      </c>
    </row>
    <row r="227" spans="1:39" hidden="1" x14ac:dyDescent="0.25">
      <c r="A227" s="4">
        <v>45784</v>
      </c>
      <c r="B227" s="6" t="s">
        <v>142</v>
      </c>
      <c r="C227" t="str">
        <f>_xlfn.XLOOKUP(Table3[[#This Row],[station]],station_waterbody_county!A:A, station_waterbody_county!B:B)</f>
        <v>Mahone Bay</v>
      </c>
      <c r="D227" t="str">
        <f>_xlfn.XLOOKUP(Table3[[#This Row],[station]],station_waterbody_county!A:A, station_waterbody_county!C:C)</f>
        <v>Lunenburg</v>
      </c>
      <c r="E227" s="6"/>
      <c r="F227" s="6" t="s">
        <v>34</v>
      </c>
      <c r="G227" s="12">
        <v>45779</v>
      </c>
      <c r="H227" s="5">
        <v>0.47361111111111109</v>
      </c>
      <c r="I227" s="4"/>
      <c r="J227" s="5"/>
      <c r="K227" s="10"/>
      <c r="O227" s="6" t="s">
        <v>1229</v>
      </c>
      <c r="P227" s="6" t="s">
        <v>1230</v>
      </c>
      <c r="S227" s="6" t="s">
        <v>244</v>
      </c>
      <c r="T227" s="11">
        <v>21429532</v>
      </c>
      <c r="U227" s="7">
        <v>5</v>
      </c>
      <c r="V227" s="6" t="s">
        <v>36</v>
      </c>
      <c r="W227" s="7">
        <v>27.2</v>
      </c>
      <c r="X227" s="6" t="s">
        <v>35</v>
      </c>
      <c r="Y227" s="7">
        <v>0.38</v>
      </c>
      <c r="Z227" s="7">
        <v>1.5</v>
      </c>
      <c r="AA227" s="6" t="s">
        <v>243</v>
      </c>
      <c r="AB227" s="6" t="s">
        <v>39</v>
      </c>
      <c r="AC227" s="6" t="s">
        <v>39</v>
      </c>
      <c r="AD227" s="6" t="s">
        <v>39</v>
      </c>
      <c r="AE227" s="6" t="s">
        <v>40</v>
      </c>
      <c r="AG227" s="6" t="s">
        <v>37</v>
      </c>
      <c r="AH227" s="7">
        <v>60</v>
      </c>
      <c r="AI227" s="6" t="s">
        <v>40</v>
      </c>
      <c r="AJ227" s="6" t="s">
        <v>238</v>
      </c>
      <c r="AL227" s="6" t="s">
        <v>41</v>
      </c>
    </row>
    <row r="228" spans="1:39" hidden="1" x14ac:dyDescent="0.25">
      <c r="A228" s="4">
        <v>45784</v>
      </c>
      <c r="B228" s="6" t="s">
        <v>142</v>
      </c>
      <c r="C228" t="str">
        <f>_xlfn.XLOOKUP(Table3[[#This Row],[station]],station_waterbody_county!A:A, station_waterbody_county!B:B)</f>
        <v>Mahone Bay</v>
      </c>
      <c r="D228" t="str">
        <f>_xlfn.XLOOKUP(Table3[[#This Row],[station]],station_waterbody_county!A:A, station_waterbody_county!C:C)</f>
        <v>Lunenburg</v>
      </c>
      <c r="E228" s="6"/>
      <c r="F228" s="6" t="s">
        <v>34</v>
      </c>
      <c r="G228" s="12">
        <v>45779</v>
      </c>
      <c r="H228" s="5">
        <v>0.47361111111111109</v>
      </c>
      <c r="I228" s="4"/>
      <c r="J228" s="5"/>
      <c r="K228" s="10"/>
      <c r="O228" s="6" t="s">
        <v>1229</v>
      </c>
      <c r="P228" s="6" t="s">
        <v>1230</v>
      </c>
      <c r="S228" s="6" t="s">
        <v>239</v>
      </c>
      <c r="T228" s="11">
        <v>22278828</v>
      </c>
      <c r="U228" s="7">
        <v>10</v>
      </c>
      <c r="V228" s="6" t="s">
        <v>36</v>
      </c>
      <c r="W228" s="7">
        <v>27.2</v>
      </c>
      <c r="X228" s="6" t="s">
        <v>35</v>
      </c>
      <c r="Y228" s="7">
        <v>0.38</v>
      </c>
      <c r="Z228" s="7">
        <v>1.5</v>
      </c>
      <c r="AA228" s="6" t="s">
        <v>243</v>
      </c>
      <c r="AB228" s="6" t="s">
        <v>39</v>
      </c>
      <c r="AC228" s="6" t="s">
        <v>39</v>
      </c>
      <c r="AD228" s="6" t="s">
        <v>39</v>
      </c>
      <c r="AE228" s="6" t="s">
        <v>40</v>
      </c>
      <c r="AG228" s="6" t="s">
        <v>37</v>
      </c>
      <c r="AH228" s="7">
        <v>60</v>
      </c>
      <c r="AI228" s="6" t="s">
        <v>40</v>
      </c>
      <c r="AJ228" s="6" t="s">
        <v>238</v>
      </c>
      <c r="AL228" s="6" t="s">
        <v>41</v>
      </c>
    </row>
    <row r="229" spans="1:39" hidden="1" x14ac:dyDescent="0.25">
      <c r="A229" s="4">
        <v>45784</v>
      </c>
      <c r="B229" s="6" t="s">
        <v>142</v>
      </c>
      <c r="C229" t="str">
        <f>_xlfn.XLOOKUP(Table3[[#This Row],[station]],station_waterbody_county!A:A, station_waterbody_county!B:B)</f>
        <v>Mahone Bay</v>
      </c>
      <c r="D229" t="str">
        <f>_xlfn.XLOOKUP(Table3[[#This Row],[station]],station_waterbody_county!A:A, station_waterbody_county!C:C)</f>
        <v>Lunenburg</v>
      </c>
      <c r="E229" s="6"/>
      <c r="F229" s="6" t="s">
        <v>34</v>
      </c>
      <c r="G229" s="12">
        <v>45779</v>
      </c>
      <c r="H229" s="5">
        <v>0.47361111111111109</v>
      </c>
      <c r="I229" s="4"/>
      <c r="J229" s="5"/>
      <c r="K229" s="10"/>
      <c r="O229" s="6" t="s">
        <v>1229</v>
      </c>
      <c r="P229" s="6" t="s">
        <v>1230</v>
      </c>
      <c r="S229" s="6" t="s">
        <v>239</v>
      </c>
      <c r="T229" s="11">
        <v>21465794</v>
      </c>
      <c r="U229" s="7">
        <v>15</v>
      </c>
      <c r="V229" s="6" t="s">
        <v>36</v>
      </c>
      <c r="W229" s="7">
        <v>27.2</v>
      </c>
      <c r="X229" s="6" t="s">
        <v>35</v>
      </c>
      <c r="Y229" s="7">
        <v>0.38</v>
      </c>
      <c r="Z229" s="7">
        <v>1.5</v>
      </c>
      <c r="AA229" s="6" t="s">
        <v>243</v>
      </c>
      <c r="AB229" s="6" t="s">
        <v>39</v>
      </c>
      <c r="AC229" s="6" t="s">
        <v>39</v>
      </c>
      <c r="AD229" s="6" t="s">
        <v>39</v>
      </c>
      <c r="AE229" s="6" t="s">
        <v>40</v>
      </c>
      <c r="AG229" s="6" t="s">
        <v>37</v>
      </c>
      <c r="AH229" s="7">
        <v>60</v>
      </c>
      <c r="AI229" s="6" t="s">
        <v>40</v>
      </c>
      <c r="AJ229" s="6" t="s">
        <v>238</v>
      </c>
      <c r="AL229" s="6" t="s">
        <v>41</v>
      </c>
    </row>
    <row r="230" spans="1:39" hidden="1" x14ac:dyDescent="0.25">
      <c r="A230" s="4">
        <v>45784</v>
      </c>
      <c r="B230" s="6" t="s">
        <v>142</v>
      </c>
      <c r="C230" t="str">
        <f>_xlfn.XLOOKUP(Table3[[#This Row],[station]],station_waterbody_county!A:A, station_waterbody_county!B:B)</f>
        <v>Mahone Bay</v>
      </c>
      <c r="D230" t="str">
        <f>_xlfn.XLOOKUP(Table3[[#This Row],[station]],station_waterbody_county!A:A, station_waterbody_county!C:C)</f>
        <v>Lunenburg</v>
      </c>
      <c r="E230" s="6"/>
      <c r="F230" s="6" t="s">
        <v>34</v>
      </c>
      <c r="G230" s="12">
        <v>45779</v>
      </c>
      <c r="H230" s="5">
        <v>0.47361111111111109</v>
      </c>
      <c r="I230" s="4"/>
      <c r="J230" s="5"/>
      <c r="K230" s="10"/>
      <c r="O230" s="6" t="s">
        <v>1229</v>
      </c>
      <c r="P230" s="6" t="s">
        <v>1230</v>
      </c>
      <c r="S230" s="6" t="s">
        <v>42</v>
      </c>
      <c r="T230" s="11">
        <v>548581</v>
      </c>
      <c r="U230" s="7">
        <v>20</v>
      </c>
      <c r="V230" s="6" t="s">
        <v>36</v>
      </c>
      <c r="W230" s="7">
        <v>27.2</v>
      </c>
      <c r="X230" s="6" t="s">
        <v>35</v>
      </c>
      <c r="Y230" s="7">
        <v>0.38</v>
      </c>
      <c r="Z230" s="7">
        <v>1.5</v>
      </c>
      <c r="AA230" s="6" t="s">
        <v>243</v>
      </c>
      <c r="AB230" s="6" t="s">
        <v>39</v>
      </c>
      <c r="AC230" s="6" t="s">
        <v>39</v>
      </c>
      <c r="AD230" s="6" t="s">
        <v>39</v>
      </c>
      <c r="AE230" s="6" t="s">
        <v>40</v>
      </c>
      <c r="AG230" s="6" t="s">
        <v>37</v>
      </c>
      <c r="AH230" s="7">
        <v>60</v>
      </c>
      <c r="AI230" s="6" t="s">
        <v>40</v>
      </c>
      <c r="AJ230" s="6" t="s">
        <v>238</v>
      </c>
      <c r="AL230" s="6" t="s">
        <v>41</v>
      </c>
    </row>
    <row r="231" spans="1:39" hidden="1" x14ac:dyDescent="0.25">
      <c r="A231" s="4">
        <v>45784</v>
      </c>
      <c r="B231" s="6" t="s">
        <v>142</v>
      </c>
      <c r="C231" t="str">
        <f>_xlfn.XLOOKUP(Table3[[#This Row],[station]],station_waterbody_county!A:A, station_waterbody_county!B:B)</f>
        <v>Mahone Bay</v>
      </c>
      <c r="D231" t="str">
        <f>_xlfn.XLOOKUP(Table3[[#This Row],[station]],station_waterbody_county!A:A, station_waterbody_county!C:C)</f>
        <v>Lunenburg</v>
      </c>
      <c r="E231" s="6"/>
      <c r="F231" s="6" t="s">
        <v>34</v>
      </c>
      <c r="G231" s="12">
        <v>45779</v>
      </c>
      <c r="H231" s="5">
        <v>0.47361111111111109</v>
      </c>
      <c r="I231" s="4"/>
      <c r="J231" s="5"/>
      <c r="K231" s="10"/>
      <c r="O231" s="6" t="s">
        <v>1229</v>
      </c>
      <c r="P231" s="6" t="s">
        <v>1230</v>
      </c>
      <c r="S231" s="6" t="s">
        <v>239</v>
      </c>
      <c r="T231" s="11">
        <v>22278844</v>
      </c>
      <c r="U231" s="7">
        <v>20</v>
      </c>
      <c r="V231" s="6" t="s">
        <v>36</v>
      </c>
      <c r="W231" s="7">
        <v>27.2</v>
      </c>
      <c r="X231" s="6" t="s">
        <v>35</v>
      </c>
      <c r="Y231" s="7">
        <v>0.38</v>
      </c>
      <c r="Z231" s="7">
        <v>1.5</v>
      </c>
      <c r="AA231" s="6" t="s">
        <v>243</v>
      </c>
      <c r="AB231" s="6" t="s">
        <v>39</v>
      </c>
      <c r="AC231" s="6" t="s">
        <v>39</v>
      </c>
      <c r="AD231" s="6" t="s">
        <v>39</v>
      </c>
      <c r="AE231" s="6" t="s">
        <v>40</v>
      </c>
      <c r="AG231" s="6" t="s">
        <v>37</v>
      </c>
      <c r="AH231" s="7">
        <v>60</v>
      </c>
      <c r="AI231" s="6" t="s">
        <v>40</v>
      </c>
      <c r="AJ231" s="6" t="s">
        <v>238</v>
      </c>
      <c r="AL231" s="6" t="s">
        <v>41</v>
      </c>
    </row>
    <row r="232" spans="1:39" hidden="1" x14ac:dyDescent="0.25">
      <c r="A232" s="12">
        <v>45503</v>
      </c>
      <c r="B232" s="6" t="s">
        <v>33</v>
      </c>
      <c r="C232" t="str">
        <f>_xlfn.XLOOKUP(Table3[[#This Row],[station]],station_waterbody_county!A:A, station_waterbody_county!B:B)</f>
        <v>Medway River</v>
      </c>
      <c r="D232" t="str">
        <f>_xlfn.XLOOKUP(Table3[[#This Row],[station]],station_waterbody_county!A:A, station_waterbody_county!C:C)</f>
        <v>Queens</v>
      </c>
      <c r="E232" s="6"/>
      <c r="F232" s="6" t="s">
        <v>310</v>
      </c>
      <c r="G232" s="12">
        <v>45162</v>
      </c>
      <c r="H232" s="5"/>
      <c r="I232" s="4">
        <v>45495</v>
      </c>
      <c r="J232" s="5">
        <v>0.62569444444444444</v>
      </c>
      <c r="K232" s="10">
        <v>44.100129000000003</v>
      </c>
      <c r="L232" s="10">
        <v>-64.527832000000004</v>
      </c>
      <c r="O232" s="6"/>
      <c r="Q232" s="6" t="s">
        <v>427</v>
      </c>
      <c r="R232" s="6" t="s">
        <v>428</v>
      </c>
      <c r="S232" s="6" t="s">
        <v>239</v>
      </c>
      <c r="T232" s="11">
        <v>21434542</v>
      </c>
      <c r="U232" s="7">
        <v>2</v>
      </c>
      <c r="V232" s="6" t="s">
        <v>36</v>
      </c>
      <c r="W232" s="7">
        <v>20.399999999999999</v>
      </c>
      <c r="X232" s="6" t="s">
        <v>35</v>
      </c>
      <c r="Y232" s="7">
        <v>1.5</v>
      </c>
      <c r="Z232" s="7">
        <v>1</v>
      </c>
      <c r="AA232" s="6" t="s">
        <v>243</v>
      </c>
      <c r="AB232" s="6" t="s">
        <v>242</v>
      </c>
      <c r="AE232" s="6"/>
      <c r="AG232" s="6" t="s">
        <v>37</v>
      </c>
      <c r="AH232" s="7"/>
      <c r="AI232" s="6" t="s">
        <v>40</v>
      </c>
      <c r="AJ232" s="6" t="s">
        <v>238</v>
      </c>
      <c r="AK232" s="6" t="s">
        <v>35</v>
      </c>
      <c r="AL232" s="6" t="s">
        <v>280</v>
      </c>
      <c r="AM232" s="6" t="s">
        <v>41</v>
      </c>
    </row>
    <row r="233" spans="1:39" hidden="1" x14ac:dyDescent="0.25">
      <c r="A233" s="12">
        <v>45503</v>
      </c>
      <c r="B233" s="6" t="s">
        <v>33</v>
      </c>
      <c r="C233" t="str">
        <f>_xlfn.XLOOKUP(Table3[[#This Row],[station]],station_waterbody_county!A:A, station_waterbody_county!B:B)</f>
        <v>Medway River</v>
      </c>
      <c r="D233" t="str">
        <f>_xlfn.XLOOKUP(Table3[[#This Row],[station]],station_waterbody_county!A:A, station_waterbody_county!C:C)</f>
        <v>Queens</v>
      </c>
      <c r="E233" s="6"/>
      <c r="F233" s="6" t="s">
        <v>310</v>
      </c>
      <c r="G233" s="12">
        <v>45162</v>
      </c>
      <c r="H233" s="5"/>
      <c r="I233" s="4">
        <v>45495</v>
      </c>
      <c r="J233" s="5">
        <v>0.62569444444444444</v>
      </c>
      <c r="K233" s="10">
        <v>44.100129000000003</v>
      </c>
      <c r="L233" s="10">
        <v>-64.527832000000004</v>
      </c>
      <c r="O233" s="6"/>
      <c r="Q233" s="6" t="s">
        <v>427</v>
      </c>
      <c r="R233" s="6" t="s">
        <v>428</v>
      </c>
      <c r="S233" s="6" t="s">
        <v>240</v>
      </c>
      <c r="T233" s="11">
        <v>670366</v>
      </c>
      <c r="U233" s="7">
        <v>5</v>
      </c>
      <c r="V233" s="6" t="s">
        <v>36</v>
      </c>
      <c r="W233" s="7">
        <v>20.399999999999999</v>
      </c>
      <c r="X233" s="6" t="s">
        <v>35</v>
      </c>
      <c r="Y233" s="7">
        <v>1.5</v>
      </c>
      <c r="Z233" s="7">
        <v>1</v>
      </c>
      <c r="AA233" s="6" t="s">
        <v>243</v>
      </c>
      <c r="AB233" s="6" t="s">
        <v>242</v>
      </c>
      <c r="AE233" s="6"/>
      <c r="AG233" s="6" t="s">
        <v>37</v>
      </c>
      <c r="AH233" s="7"/>
      <c r="AI233" s="6" t="s">
        <v>40</v>
      </c>
      <c r="AJ233" s="6" t="s">
        <v>238</v>
      </c>
      <c r="AK233" s="6" t="s">
        <v>35</v>
      </c>
      <c r="AL233" s="6" t="s">
        <v>280</v>
      </c>
      <c r="AM233" s="6" t="s">
        <v>41</v>
      </c>
    </row>
    <row r="234" spans="1:39" hidden="1" x14ac:dyDescent="0.25">
      <c r="A234" s="12">
        <v>45503</v>
      </c>
      <c r="B234" s="6" t="s">
        <v>33</v>
      </c>
      <c r="C234" t="str">
        <f>_xlfn.XLOOKUP(Table3[[#This Row],[station]],station_waterbody_county!A:A, station_waterbody_county!B:B)</f>
        <v>Medway River</v>
      </c>
      <c r="D234" t="str">
        <f>_xlfn.XLOOKUP(Table3[[#This Row],[station]],station_waterbody_county!A:A, station_waterbody_county!C:C)</f>
        <v>Queens</v>
      </c>
      <c r="E234" s="6"/>
      <c r="F234" s="6" t="s">
        <v>310</v>
      </c>
      <c r="G234" s="12">
        <v>45162</v>
      </c>
      <c r="H234" s="5"/>
      <c r="I234" s="4">
        <v>45495</v>
      </c>
      <c r="J234" s="5">
        <v>0.62569444444444444</v>
      </c>
      <c r="K234" s="10">
        <v>44.100129000000003</v>
      </c>
      <c r="L234" s="10">
        <v>-64.527832000000004</v>
      </c>
      <c r="O234" s="6"/>
      <c r="Q234" s="6" t="s">
        <v>427</v>
      </c>
      <c r="R234" s="6" t="s">
        <v>428</v>
      </c>
      <c r="S234" s="6" t="s">
        <v>239</v>
      </c>
      <c r="T234" s="11">
        <v>21414851</v>
      </c>
      <c r="U234" s="7">
        <v>10</v>
      </c>
      <c r="V234" s="6" t="s">
        <v>36</v>
      </c>
      <c r="W234" s="7">
        <v>20.399999999999999</v>
      </c>
      <c r="X234" s="6" t="s">
        <v>35</v>
      </c>
      <c r="Y234" s="7">
        <v>1.5</v>
      </c>
      <c r="Z234" s="7">
        <v>1</v>
      </c>
      <c r="AA234" s="6" t="s">
        <v>243</v>
      </c>
      <c r="AB234" s="6" t="s">
        <v>242</v>
      </c>
      <c r="AE234" s="6"/>
      <c r="AG234" s="6" t="s">
        <v>37</v>
      </c>
      <c r="AH234" s="7"/>
      <c r="AI234" s="6" t="s">
        <v>40</v>
      </c>
      <c r="AJ234" s="6" t="s">
        <v>238</v>
      </c>
      <c r="AK234" s="6" t="s">
        <v>35</v>
      </c>
      <c r="AL234" s="6" t="s">
        <v>280</v>
      </c>
      <c r="AM234" s="6" t="s">
        <v>41</v>
      </c>
    </row>
    <row r="235" spans="1:39" hidden="1" x14ac:dyDescent="0.25">
      <c r="A235" s="12">
        <v>45503</v>
      </c>
      <c r="B235" s="6" t="s">
        <v>33</v>
      </c>
      <c r="C235" t="str">
        <f>_xlfn.XLOOKUP(Table3[[#This Row],[station]],station_waterbody_county!A:A, station_waterbody_county!B:B)</f>
        <v>Medway River</v>
      </c>
      <c r="D235" t="str">
        <f>_xlfn.XLOOKUP(Table3[[#This Row],[station]],station_waterbody_county!A:A, station_waterbody_county!C:C)</f>
        <v>Queens</v>
      </c>
      <c r="E235" s="6"/>
      <c r="F235" s="6" t="s">
        <v>310</v>
      </c>
      <c r="G235" s="12">
        <v>45162</v>
      </c>
      <c r="H235" s="5"/>
      <c r="I235" s="4">
        <v>45495</v>
      </c>
      <c r="J235" s="5">
        <v>0.62569444444444444</v>
      </c>
      <c r="K235" s="10">
        <v>44.100129000000003</v>
      </c>
      <c r="L235" s="10">
        <v>-64.527832000000004</v>
      </c>
      <c r="O235" s="6"/>
      <c r="Q235" s="6" t="s">
        <v>427</v>
      </c>
      <c r="R235" s="6" t="s">
        <v>428</v>
      </c>
      <c r="S235" s="6" t="s">
        <v>42</v>
      </c>
      <c r="T235" s="11">
        <v>548588</v>
      </c>
      <c r="U235" s="7">
        <v>15</v>
      </c>
      <c r="V235" s="6" t="s">
        <v>36</v>
      </c>
      <c r="W235" s="7">
        <v>20.399999999999999</v>
      </c>
      <c r="X235" s="6" t="s">
        <v>35</v>
      </c>
      <c r="Y235" s="7">
        <v>1.5</v>
      </c>
      <c r="Z235" s="7">
        <v>1</v>
      </c>
      <c r="AA235" s="6" t="s">
        <v>243</v>
      </c>
      <c r="AB235" s="6" t="s">
        <v>242</v>
      </c>
      <c r="AE235" s="6"/>
      <c r="AG235" s="6" t="s">
        <v>37</v>
      </c>
      <c r="AH235" s="7"/>
      <c r="AI235" s="6" t="s">
        <v>40</v>
      </c>
      <c r="AJ235" s="6" t="s">
        <v>238</v>
      </c>
      <c r="AK235" s="6" t="s">
        <v>35</v>
      </c>
      <c r="AL235" s="6" t="s">
        <v>280</v>
      </c>
      <c r="AM235" s="6" t="s">
        <v>41</v>
      </c>
    </row>
    <row r="236" spans="1:39" x14ac:dyDescent="0.25">
      <c r="A236" s="4">
        <v>45856</v>
      </c>
      <c r="B236" s="6" t="s">
        <v>33</v>
      </c>
      <c r="C236" t="str">
        <f>_xlfn.XLOOKUP(Table3[[#This Row],[station]],station_waterbody_county!A:A, station_waterbody_county!B:B)</f>
        <v>Medway River</v>
      </c>
      <c r="D236" t="str">
        <f>_xlfn.XLOOKUP(Table3[[#This Row],[station]],station_waterbody_county!A:A, station_waterbody_county!C:C)</f>
        <v>Queens</v>
      </c>
      <c r="E236" s="6"/>
      <c r="F236" s="6" t="s">
        <v>310</v>
      </c>
      <c r="G236" s="4">
        <v>45495</v>
      </c>
      <c r="H236" s="5">
        <v>0.63958333333333328</v>
      </c>
      <c r="I236" s="4">
        <v>45848</v>
      </c>
      <c r="J236" s="5">
        <v>0.67847222222222225</v>
      </c>
      <c r="K236" s="10"/>
      <c r="O236" s="6" t="s">
        <v>429</v>
      </c>
      <c r="P236" s="6" t="s">
        <v>430</v>
      </c>
      <c r="Q236" s="6" t="s">
        <v>1354</v>
      </c>
      <c r="R236" s="6" t="s">
        <v>430</v>
      </c>
      <c r="S236" s="6" t="s">
        <v>239</v>
      </c>
      <c r="T236" s="11">
        <v>21650143</v>
      </c>
      <c r="U236" s="7">
        <v>2</v>
      </c>
      <c r="V236" s="6" t="s">
        <v>36</v>
      </c>
      <c r="W236" s="7">
        <v>20.100000000000001</v>
      </c>
      <c r="X236" s="6" t="s">
        <v>35</v>
      </c>
      <c r="Y236" s="7">
        <v>1.8</v>
      </c>
      <c r="Z236" s="7">
        <v>0.5</v>
      </c>
      <c r="AA236" s="6" t="s">
        <v>251</v>
      </c>
      <c r="AD236" s="6" t="s">
        <v>39</v>
      </c>
      <c r="AE236" s="6"/>
      <c r="AG236" s="6" t="s">
        <v>37</v>
      </c>
      <c r="AH236" s="7">
        <v>60</v>
      </c>
      <c r="AI236" s="6" t="s">
        <v>40</v>
      </c>
      <c r="AJ236" s="6" t="s">
        <v>238</v>
      </c>
      <c r="AL236" s="6" t="s">
        <v>41</v>
      </c>
      <c r="AM236" s="6" t="s">
        <v>41</v>
      </c>
    </row>
    <row r="237" spans="1:39" x14ac:dyDescent="0.25">
      <c r="A237" s="4">
        <v>45856</v>
      </c>
      <c r="B237" s="6" t="s">
        <v>33</v>
      </c>
      <c r="C237" t="str">
        <f>_xlfn.XLOOKUP(Table3[[#This Row],[station]],station_waterbody_county!A:A, station_waterbody_county!B:B)</f>
        <v>Medway River</v>
      </c>
      <c r="D237" t="str">
        <f>_xlfn.XLOOKUP(Table3[[#This Row],[station]],station_waterbody_county!A:A, station_waterbody_county!C:C)</f>
        <v>Queens</v>
      </c>
      <c r="E237" s="6"/>
      <c r="F237" s="6" t="s">
        <v>310</v>
      </c>
      <c r="G237" s="4">
        <v>45495</v>
      </c>
      <c r="H237" s="5">
        <v>0.63958333333333328</v>
      </c>
      <c r="I237" s="4">
        <v>45848</v>
      </c>
      <c r="J237" s="5">
        <v>0.67847222222222225</v>
      </c>
      <c r="K237" s="10"/>
      <c r="O237" s="6" t="s">
        <v>429</v>
      </c>
      <c r="P237" s="6" t="s">
        <v>430</v>
      </c>
      <c r="Q237" s="6" t="s">
        <v>1354</v>
      </c>
      <c r="R237" s="6" t="s">
        <v>430</v>
      </c>
      <c r="S237" s="6" t="s">
        <v>240</v>
      </c>
      <c r="T237" s="11">
        <v>671390</v>
      </c>
      <c r="U237" s="7">
        <v>5</v>
      </c>
      <c r="V237" s="6" t="s">
        <v>36</v>
      </c>
      <c r="W237" s="7">
        <v>20.100000000000001</v>
      </c>
      <c r="X237" s="6" t="s">
        <v>35</v>
      </c>
      <c r="Y237" s="7">
        <v>1.8</v>
      </c>
      <c r="Z237" s="7">
        <v>0.5</v>
      </c>
      <c r="AA237" s="6" t="s">
        <v>251</v>
      </c>
      <c r="AD237" s="6" t="s">
        <v>39</v>
      </c>
      <c r="AE237" s="6"/>
      <c r="AG237" s="6" t="s">
        <v>37</v>
      </c>
      <c r="AH237" s="7">
        <v>60</v>
      </c>
      <c r="AI237" s="6" t="s">
        <v>40</v>
      </c>
      <c r="AJ237" s="6" t="s">
        <v>238</v>
      </c>
      <c r="AL237" s="6" t="s">
        <v>41</v>
      </c>
      <c r="AM237" s="6" t="s">
        <v>41</v>
      </c>
    </row>
    <row r="238" spans="1:39" x14ac:dyDescent="0.25">
      <c r="A238" s="4">
        <v>45856</v>
      </c>
      <c r="B238" s="6" t="s">
        <v>33</v>
      </c>
      <c r="C238" t="str">
        <f>_xlfn.XLOOKUP(Table3[[#This Row],[station]],station_waterbody_county!A:A, station_waterbody_county!B:B)</f>
        <v>Medway River</v>
      </c>
      <c r="D238" t="str">
        <f>_xlfn.XLOOKUP(Table3[[#This Row],[station]],station_waterbody_county!A:A, station_waterbody_county!C:C)</f>
        <v>Queens</v>
      </c>
      <c r="E238" s="6"/>
      <c r="F238" s="6" t="s">
        <v>310</v>
      </c>
      <c r="G238" s="4">
        <v>45495</v>
      </c>
      <c r="H238" s="5">
        <v>0.63958333333333328</v>
      </c>
      <c r="I238" s="4">
        <v>45848</v>
      </c>
      <c r="J238" s="5">
        <v>0.67847222222222225</v>
      </c>
      <c r="K238" s="10"/>
      <c r="O238" s="6" t="s">
        <v>429</v>
      </c>
      <c r="P238" s="6" t="s">
        <v>430</v>
      </c>
      <c r="Q238" s="6" t="s">
        <v>1354</v>
      </c>
      <c r="R238" s="6" t="s">
        <v>430</v>
      </c>
      <c r="S238" s="6" t="s">
        <v>239</v>
      </c>
      <c r="T238" s="11">
        <v>20900977</v>
      </c>
      <c r="U238" s="7">
        <v>10</v>
      </c>
      <c r="V238" s="6" t="s">
        <v>36</v>
      </c>
      <c r="W238" s="7">
        <v>20.100000000000001</v>
      </c>
      <c r="X238" s="6" t="s">
        <v>35</v>
      </c>
      <c r="Y238" s="7">
        <v>1.8</v>
      </c>
      <c r="Z238" s="7">
        <v>0.5</v>
      </c>
      <c r="AA238" s="6" t="s">
        <v>251</v>
      </c>
      <c r="AD238" s="6" t="s">
        <v>39</v>
      </c>
      <c r="AE238" s="6"/>
      <c r="AG238" s="6" t="s">
        <v>37</v>
      </c>
      <c r="AH238" s="7">
        <v>60</v>
      </c>
      <c r="AI238" s="6" t="s">
        <v>40</v>
      </c>
      <c r="AJ238" s="6" t="s">
        <v>238</v>
      </c>
      <c r="AL238" s="6" t="s">
        <v>41</v>
      </c>
      <c r="AM238" s="6" t="s">
        <v>41</v>
      </c>
    </row>
    <row r="239" spans="1:39" x14ac:dyDescent="0.25">
      <c r="A239" s="4">
        <v>45856</v>
      </c>
      <c r="B239" s="6" t="s">
        <v>33</v>
      </c>
      <c r="C239" t="str">
        <f>_xlfn.XLOOKUP(Table3[[#This Row],[station]],station_waterbody_county!A:A, station_waterbody_county!B:B)</f>
        <v>Medway River</v>
      </c>
      <c r="D239" t="str">
        <f>_xlfn.XLOOKUP(Table3[[#This Row],[station]],station_waterbody_county!A:A, station_waterbody_county!C:C)</f>
        <v>Queens</v>
      </c>
      <c r="E239" s="6"/>
      <c r="F239" s="6" t="s">
        <v>310</v>
      </c>
      <c r="G239" s="4">
        <v>45495</v>
      </c>
      <c r="H239" s="5">
        <v>0.63958333333333328</v>
      </c>
      <c r="I239" s="4">
        <v>45848</v>
      </c>
      <c r="J239" s="5">
        <v>0.67847222222222225</v>
      </c>
      <c r="K239" s="10"/>
      <c r="O239" s="6" t="s">
        <v>429</v>
      </c>
      <c r="P239" s="6" t="s">
        <v>430</v>
      </c>
      <c r="Q239" s="6" t="s">
        <v>1354</v>
      </c>
      <c r="R239" s="6" t="s">
        <v>430</v>
      </c>
      <c r="S239" s="6" t="s">
        <v>42</v>
      </c>
      <c r="T239" s="11">
        <v>548044</v>
      </c>
      <c r="U239" s="7">
        <v>15</v>
      </c>
      <c r="V239" s="6" t="s">
        <v>36</v>
      </c>
      <c r="W239" s="7">
        <v>20.100000000000001</v>
      </c>
      <c r="X239" s="6" t="s">
        <v>35</v>
      </c>
      <c r="Y239" s="7">
        <v>1.8</v>
      </c>
      <c r="Z239" s="7">
        <v>0.5</v>
      </c>
      <c r="AA239" s="6" t="s">
        <v>251</v>
      </c>
      <c r="AD239" s="6" t="s">
        <v>39</v>
      </c>
      <c r="AE239" s="6"/>
      <c r="AG239" s="6" t="s">
        <v>37</v>
      </c>
      <c r="AH239" s="7">
        <v>60</v>
      </c>
      <c r="AI239" s="6" t="s">
        <v>40</v>
      </c>
      <c r="AJ239" s="6" t="s">
        <v>238</v>
      </c>
      <c r="AL239" s="6" t="s">
        <v>41</v>
      </c>
      <c r="AM239" s="6" t="s">
        <v>41</v>
      </c>
    </row>
    <row r="240" spans="1:39" hidden="1" x14ac:dyDescent="0.25">
      <c r="A240" s="4">
        <v>45856</v>
      </c>
      <c r="B240" s="6" t="s">
        <v>33</v>
      </c>
      <c r="C240" s="6" t="str">
        <f>_xlfn.XLOOKUP(Table3[[#This Row],[station]],station_waterbody_county!A:A, station_waterbody_county!B:B)</f>
        <v>Medway River</v>
      </c>
      <c r="D240" s="3" t="str">
        <f>_xlfn.XLOOKUP(Table3[[#This Row],[station]],station_waterbody_county!A:A, station_waterbody_county!C:C)</f>
        <v>Queens</v>
      </c>
      <c r="E240" s="6"/>
      <c r="F240" s="6" t="s">
        <v>34</v>
      </c>
      <c r="G240" s="12">
        <v>45848</v>
      </c>
      <c r="H240" s="5">
        <v>0.69027777777777777</v>
      </c>
      <c r="I240" s="4"/>
      <c r="J240" s="5"/>
      <c r="K240" s="10"/>
      <c r="O240" s="12" t="s">
        <v>1355</v>
      </c>
      <c r="P240" s="5" t="s">
        <v>1356</v>
      </c>
      <c r="S240" s="6" t="s">
        <v>239</v>
      </c>
      <c r="T240" s="11">
        <v>22311508</v>
      </c>
      <c r="U240" s="7">
        <v>2</v>
      </c>
      <c r="V240" s="6" t="s">
        <v>36</v>
      </c>
      <c r="W240" s="7">
        <v>20.100000000000001</v>
      </c>
      <c r="X240" s="6" t="s">
        <v>35</v>
      </c>
      <c r="Y240" s="7">
        <v>1.07</v>
      </c>
      <c r="Z240" s="7">
        <v>3</v>
      </c>
      <c r="AA240" s="6" t="s">
        <v>251</v>
      </c>
      <c r="AD240" s="6" t="s">
        <v>39</v>
      </c>
      <c r="AE240" s="6"/>
      <c r="AG240" s="6" t="s">
        <v>37</v>
      </c>
      <c r="AH240" s="7">
        <v>60</v>
      </c>
      <c r="AI240" s="6" t="s">
        <v>40</v>
      </c>
      <c r="AJ240" s="6" t="s">
        <v>238</v>
      </c>
      <c r="AK240" s="6" t="s">
        <v>241</v>
      </c>
      <c r="AL240" s="6" t="s">
        <v>41</v>
      </c>
    </row>
    <row r="241" spans="1:40" hidden="1" x14ac:dyDescent="0.25">
      <c r="A241" s="4">
        <v>45856</v>
      </c>
      <c r="B241" s="6" t="s">
        <v>33</v>
      </c>
      <c r="C241" s="6" t="str">
        <f>_xlfn.XLOOKUP(Table3[[#This Row],[station]],station_waterbody_county!A:A, station_waterbody_county!B:B)</f>
        <v>Medway River</v>
      </c>
      <c r="D241" s="3" t="str">
        <f>_xlfn.XLOOKUP(Table3[[#This Row],[station]],station_waterbody_county!A:A, station_waterbody_county!C:C)</f>
        <v>Queens</v>
      </c>
      <c r="E241" s="6"/>
      <c r="F241" s="6" t="s">
        <v>34</v>
      </c>
      <c r="G241" s="12">
        <v>45848</v>
      </c>
      <c r="H241" s="5">
        <v>0.69027777777777777</v>
      </c>
      <c r="I241" s="4"/>
      <c r="J241" s="5"/>
      <c r="K241" s="10"/>
      <c r="O241" s="12" t="s">
        <v>1355</v>
      </c>
      <c r="P241" s="5" t="s">
        <v>1356</v>
      </c>
      <c r="S241" s="6" t="s">
        <v>239</v>
      </c>
      <c r="T241" s="11">
        <v>21650145</v>
      </c>
      <c r="U241" s="7">
        <v>5</v>
      </c>
      <c r="V241" s="6" t="s">
        <v>36</v>
      </c>
      <c r="W241" s="7">
        <v>20.100000000000001</v>
      </c>
      <c r="X241" s="6" t="s">
        <v>35</v>
      </c>
      <c r="Y241" s="7">
        <v>1.07</v>
      </c>
      <c r="Z241" s="7">
        <v>3</v>
      </c>
      <c r="AA241" s="6" t="s">
        <v>251</v>
      </c>
      <c r="AD241" s="6" t="s">
        <v>39</v>
      </c>
      <c r="AE241" s="6"/>
      <c r="AG241" s="6" t="s">
        <v>37</v>
      </c>
      <c r="AH241" s="7">
        <v>60</v>
      </c>
      <c r="AI241" s="6" t="s">
        <v>40</v>
      </c>
      <c r="AJ241" s="6" t="s">
        <v>238</v>
      </c>
      <c r="AK241" s="6" t="s">
        <v>241</v>
      </c>
      <c r="AL241" s="6" t="s">
        <v>41</v>
      </c>
    </row>
    <row r="242" spans="1:40" hidden="1" x14ac:dyDescent="0.25">
      <c r="A242" s="4">
        <v>45856</v>
      </c>
      <c r="B242" s="6" t="s">
        <v>33</v>
      </c>
      <c r="C242" s="6" t="str">
        <f>_xlfn.XLOOKUP(Table3[[#This Row],[station]],station_waterbody_county!A:A, station_waterbody_county!B:B)</f>
        <v>Medway River</v>
      </c>
      <c r="D242" s="3" t="str">
        <f>_xlfn.XLOOKUP(Table3[[#This Row],[station]],station_waterbody_county!A:A, station_waterbody_county!C:C)</f>
        <v>Queens</v>
      </c>
      <c r="E242" s="6"/>
      <c r="F242" s="6" t="s">
        <v>34</v>
      </c>
      <c r="G242" s="12">
        <v>45848</v>
      </c>
      <c r="H242" s="5">
        <v>0.69027777777777777</v>
      </c>
      <c r="I242" s="4"/>
      <c r="J242" s="5"/>
      <c r="K242" s="10"/>
      <c r="O242" s="12" t="s">
        <v>1355</v>
      </c>
      <c r="P242" s="5" t="s">
        <v>1356</v>
      </c>
      <c r="S242" s="6" t="s">
        <v>239</v>
      </c>
      <c r="T242" s="11">
        <v>22285943</v>
      </c>
      <c r="U242" s="7">
        <v>10</v>
      </c>
      <c r="V242" s="6" t="s">
        <v>36</v>
      </c>
      <c r="W242" s="7">
        <v>20.100000000000001</v>
      </c>
      <c r="X242" s="6" t="s">
        <v>35</v>
      </c>
      <c r="Y242" s="7">
        <v>1.07</v>
      </c>
      <c r="Z242" s="7">
        <v>3</v>
      </c>
      <c r="AA242" s="6" t="s">
        <v>251</v>
      </c>
      <c r="AD242" s="6" t="s">
        <v>39</v>
      </c>
      <c r="AE242" s="6"/>
      <c r="AG242" s="6" t="s">
        <v>37</v>
      </c>
      <c r="AH242" s="7">
        <v>60</v>
      </c>
      <c r="AI242" s="6" t="s">
        <v>40</v>
      </c>
      <c r="AJ242" s="6" t="s">
        <v>238</v>
      </c>
      <c r="AK242" s="6" t="s">
        <v>241</v>
      </c>
      <c r="AL242" s="6" t="s">
        <v>41</v>
      </c>
    </row>
    <row r="243" spans="1:40" hidden="1" x14ac:dyDescent="0.25">
      <c r="A243" s="4">
        <v>45856</v>
      </c>
      <c r="B243" s="6" t="s">
        <v>33</v>
      </c>
      <c r="C243" s="6" t="str">
        <f>_xlfn.XLOOKUP(Table3[[#This Row],[station]],station_waterbody_county!A:A, station_waterbody_county!B:B)</f>
        <v>Medway River</v>
      </c>
      <c r="D243" s="3" t="str">
        <f>_xlfn.XLOOKUP(Table3[[#This Row],[station]],station_waterbody_county!A:A, station_waterbody_county!C:C)</f>
        <v>Queens</v>
      </c>
      <c r="E243" s="6"/>
      <c r="F243" s="6" t="s">
        <v>34</v>
      </c>
      <c r="G243" s="12">
        <v>45848</v>
      </c>
      <c r="H243" s="5">
        <v>0.69027777777777777</v>
      </c>
      <c r="I243" s="4"/>
      <c r="J243" s="5"/>
      <c r="K243" s="10"/>
      <c r="O243" s="12" t="s">
        <v>1355</v>
      </c>
      <c r="P243" s="5" t="s">
        <v>1356</v>
      </c>
      <c r="S243" s="6" t="s">
        <v>42</v>
      </c>
      <c r="T243" s="11">
        <v>547089</v>
      </c>
      <c r="U243" s="7">
        <v>15</v>
      </c>
      <c r="V243" s="6" t="s">
        <v>36</v>
      </c>
      <c r="W243" s="7">
        <v>20.100000000000001</v>
      </c>
      <c r="X243" s="6" t="s">
        <v>35</v>
      </c>
      <c r="Y243" s="7">
        <v>1.07</v>
      </c>
      <c r="Z243" s="7">
        <v>3</v>
      </c>
      <c r="AA243" s="6" t="s">
        <v>251</v>
      </c>
      <c r="AD243" s="6" t="s">
        <v>39</v>
      </c>
      <c r="AE243" s="6"/>
      <c r="AG243" s="6" t="s">
        <v>37</v>
      </c>
      <c r="AH243" s="7">
        <v>60</v>
      </c>
      <c r="AI243" s="6" t="s">
        <v>40</v>
      </c>
      <c r="AJ243" s="6" t="s">
        <v>238</v>
      </c>
      <c r="AK243" s="6" t="s">
        <v>241</v>
      </c>
      <c r="AL243" s="6" t="s">
        <v>41</v>
      </c>
    </row>
    <row r="244" spans="1:40" hidden="1" x14ac:dyDescent="0.25">
      <c r="A244" s="4">
        <v>45856</v>
      </c>
      <c r="B244" s="6" t="s">
        <v>33</v>
      </c>
      <c r="C244" s="6" t="str">
        <f>_xlfn.XLOOKUP(Table3[[#This Row],[station]],station_waterbody_county!A:A, station_waterbody_county!B:B)</f>
        <v>Medway River</v>
      </c>
      <c r="D244" s="3" t="str">
        <f>_xlfn.XLOOKUP(Table3[[#This Row],[station]],station_waterbody_county!A:A, station_waterbody_county!C:C)</f>
        <v>Queens</v>
      </c>
      <c r="E244" s="6"/>
      <c r="F244" s="6" t="s">
        <v>34</v>
      </c>
      <c r="G244" s="12">
        <v>45848</v>
      </c>
      <c r="H244" s="5">
        <v>0.69027777777777777</v>
      </c>
      <c r="I244" s="4"/>
      <c r="J244" s="5"/>
      <c r="K244" s="10"/>
      <c r="O244" s="12" t="s">
        <v>1355</v>
      </c>
      <c r="P244" s="5" t="s">
        <v>1356</v>
      </c>
      <c r="S244" s="6" t="s">
        <v>239</v>
      </c>
      <c r="T244" s="11">
        <v>22310000</v>
      </c>
      <c r="U244" s="7">
        <v>15</v>
      </c>
      <c r="V244" s="6" t="s">
        <v>36</v>
      </c>
      <c r="W244" s="7">
        <v>20.100000000000001</v>
      </c>
      <c r="X244" s="6" t="s">
        <v>35</v>
      </c>
      <c r="Y244" s="7">
        <v>1.07</v>
      </c>
      <c r="Z244" s="7">
        <v>3</v>
      </c>
      <c r="AA244" s="6" t="s">
        <v>251</v>
      </c>
      <c r="AD244" s="6" t="s">
        <v>39</v>
      </c>
      <c r="AE244" s="6"/>
      <c r="AG244" s="6" t="s">
        <v>37</v>
      </c>
      <c r="AH244" s="7">
        <v>60</v>
      </c>
      <c r="AI244" s="6" t="s">
        <v>40</v>
      </c>
      <c r="AJ244" s="6" t="s">
        <v>238</v>
      </c>
      <c r="AK244" s="6" t="s">
        <v>241</v>
      </c>
      <c r="AL244" s="6" t="s">
        <v>41</v>
      </c>
    </row>
    <row r="245" spans="1:40" x14ac:dyDescent="0.25">
      <c r="A245" s="4">
        <v>45933</v>
      </c>
      <c r="B245" s="6" t="s">
        <v>148</v>
      </c>
      <c r="C245" t="str">
        <f>_xlfn.XLOOKUP(Table3[[#This Row],[station]],station_waterbody_county!A:A, station_waterbody_county!B:B)</f>
        <v>Whitehead Harbour</v>
      </c>
      <c r="D245" t="str">
        <f>_xlfn.XLOOKUP(Table3[[#This Row],[station]],station_waterbody_county!A:A, station_waterbody_county!C:C)</f>
        <v>Guysborough</v>
      </c>
      <c r="E245" s="6"/>
      <c r="F245" s="6" t="s">
        <v>310</v>
      </c>
      <c r="G245" s="4">
        <v>45600</v>
      </c>
      <c r="H245" s="5">
        <v>0.6</v>
      </c>
      <c r="I245" s="4">
        <v>45919</v>
      </c>
      <c r="J245" s="5">
        <v>0.52638888888888891</v>
      </c>
      <c r="K245" s="10"/>
      <c r="O245" s="6" t="s">
        <v>557</v>
      </c>
      <c r="P245" s="6" t="s">
        <v>558</v>
      </c>
      <c r="Q245" s="6" t="s">
        <v>1436</v>
      </c>
      <c r="R245" s="6" t="s">
        <v>1437</v>
      </c>
      <c r="S245" s="6" t="s">
        <v>239</v>
      </c>
      <c r="T245" s="11">
        <v>22048589</v>
      </c>
      <c r="U245" s="7">
        <v>1</v>
      </c>
      <c r="V245" s="6" t="s">
        <v>254</v>
      </c>
      <c r="W245" s="7"/>
      <c r="X245" s="6" t="s">
        <v>241</v>
      </c>
      <c r="Y245" s="7"/>
      <c r="AA245" s="6"/>
      <c r="AB245" s="6" t="s">
        <v>321</v>
      </c>
      <c r="AC245" s="6" t="s">
        <v>321</v>
      </c>
      <c r="AE245" s="6"/>
      <c r="AG245" s="6" t="s">
        <v>37</v>
      </c>
      <c r="AH245" s="7">
        <v>60</v>
      </c>
      <c r="AI245" s="6" t="s">
        <v>40</v>
      </c>
      <c r="AJ245" s="6" t="s">
        <v>238</v>
      </c>
      <c r="AL245" s="6" t="s">
        <v>536</v>
      </c>
      <c r="AM245" s="6" t="s">
        <v>1424</v>
      </c>
      <c r="AN245" s="6" t="s">
        <v>559</v>
      </c>
    </row>
    <row r="246" spans="1:40" hidden="1" x14ac:dyDescent="0.25">
      <c r="A246" s="12">
        <v>45608</v>
      </c>
      <c r="B246" s="6" t="s">
        <v>148</v>
      </c>
      <c r="C246" t="str">
        <f>_xlfn.XLOOKUP(Table3[[#This Row],[station]],station_waterbody_county!A:A, station_waterbody_county!B:B)</f>
        <v>Whitehead Harbour</v>
      </c>
      <c r="D246" t="str">
        <f>_xlfn.XLOOKUP(Table3[[#This Row],[station]],station_waterbody_county!A:A, station_waterbody_county!C:C)</f>
        <v>Guysborough</v>
      </c>
      <c r="E246" s="6"/>
      <c r="F246" s="6" t="s">
        <v>310</v>
      </c>
      <c r="G246" s="12">
        <v>45244</v>
      </c>
      <c r="H246" s="5"/>
      <c r="I246" s="4">
        <v>45600</v>
      </c>
      <c r="J246" s="5">
        <v>0.59861111111111109</v>
      </c>
      <c r="K246" s="10">
        <v>45.238326000000001</v>
      </c>
      <c r="L246" s="10">
        <v>-61.150526999999997</v>
      </c>
      <c r="O246" s="6"/>
      <c r="Q246" s="6" t="s">
        <v>557</v>
      </c>
      <c r="R246" s="6" t="s">
        <v>558</v>
      </c>
      <c r="S246" s="6" t="s">
        <v>240</v>
      </c>
      <c r="T246" s="11">
        <v>671137</v>
      </c>
      <c r="U246" s="7">
        <v>1</v>
      </c>
      <c r="V246" s="6" t="s">
        <v>254</v>
      </c>
      <c r="W246" s="7">
        <v>25</v>
      </c>
      <c r="X246" s="6" t="s">
        <v>241</v>
      </c>
      <c r="Y246" s="7"/>
      <c r="AA246" s="6"/>
      <c r="AB246" s="6" t="s">
        <v>281</v>
      </c>
      <c r="AE246" s="6"/>
      <c r="AG246" s="6" t="s">
        <v>282</v>
      </c>
      <c r="AH246" s="7">
        <v>22.6796185</v>
      </c>
      <c r="AI246" s="6" t="s">
        <v>40</v>
      </c>
      <c r="AJ246" s="6" t="s">
        <v>238</v>
      </c>
      <c r="AK246" s="6" t="s">
        <v>35</v>
      </c>
      <c r="AL246" s="6" t="s">
        <v>274</v>
      </c>
      <c r="AM246" s="6" t="s">
        <v>536</v>
      </c>
      <c r="AN246" s="6" t="s">
        <v>255</v>
      </c>
    </row>
    <row r="247" spans="1:40" hidden="1" x14ac:dyDescent="0.25">
      <c r="A247" s="12">
        <v>45678</v>
      </c>
      <c r="B247" s="6" t="s">
        <v>150</v>
      </c>
      <c r="C247" t="str">
        <f>_xlfn.XLOOKUP(Table3[[#This Row],[station]],station_waterbody_county!A:A, station_waterbody_county!B:B)</f>
        <v>Negro Harbour</v>
      </c>
      <c r="D247" t="str">
        <f>_xlfn.XLOOKUP(Table3[[#This Row],[station]],station_waterbody_county!A:A, station_waterbody_county!C:C)</f>
        <v>Shelburne</v>
      </c>
      <c r="E247" s="6"/>
      <c r="F247" s="6" t="s">
        <v>311</v>
      </c>
      <c r="G247" s="12">
        <v>45120</v>
      </c>
      <c r="H247" s="5"/>
      <c r="I247" s="4"/>
      <c r="J247" s="5"/>
      <c r="K247" s="10">
        <v>43.524312000000002</v>
      </c>
      <c r="L247" s="10">
        <v>-65.355348000000006</v>
      </c>
      <c r="O247" s="6"/>
      <c r="S247" s="6" t="s">
        <v>239</v>
      </c>
      <c r="T247" s="11">
        <v>20308039</v>
      </c>
      <c r="U247" s="7">
        <v>2</v>
      </c>
      <c r="V247" s="6" t="s">
        <v>36</v>
      </c>
      <c r="W247" s="7">
        <v>16.100000000000001</v>
      </c>
      <c r="X247" s="6" t="s">
        <v>35</v>
      </c>
      <c r="Y247" s="7"/>
      <c r="Z247" s="7">
        <v>1.5</v>
      </c>
      <c r="AA247" s="6"/>
      <c r="AB247" s="6" t="s">
        <v>38</v>
      </c>
      <c r="AD247" s="6" t="s">
        <v>39</v>
      </c>
      <c r="AE247" s="6"/>
      <c r="AH247" s="7"/>
      <c r="AI247" s="6" t="s">
        <v>40</v>
      </c>
      <c r="AJ247" s="6" t="s">
        <v>238</v>
      </c>
      <c r="AL247" s="6" t="s">
        <v>283</v>
      </c>
      <c r="AN247" s="6" t="s">
        <v>681</v>
      </c>
    </row>
    <row r="248" spans="1:40" hidden="1" x14ac:dyDescent="0.25">
      <c r="A248" s="12">
        <v>45678</v>
      </c>
      <c r="B248" s="6" t="s">
        <v>150</v>
      </c>
      <c r="C248" t="str">
        <f>_xlfn.XLOOKUP(Table3[[#This Row],[station]],station_waterbody_county!A:A, station_waterbody_county!B:B)</f>
        <v>Negro Harbour</v>
      </c>
      <c r="D248" t="str">
        <f>_xlfn.XLOOKUP(Table3[[#This Row],[station]],station_waterbody_county!A:A, station_waterbody_county!C:C)</f>
        <v>Shelburne</v>
      </c>
      <c r="E248" s="6"/>
      <c r="F248" s="6" t="s">
        <v>311</v>
      </c>
      <c r="G248" s="12">
        <v>45120</v>
      </c>
      <c r="H248" s="5"/>
      <c r="I248" s="4"/>
      <c r="J248" s="5"/>
      <c r="K248" s="10">
        <v>43.524312000000002</v>
      </c>
      <c r="L248" s="10">
        <v>-65.355348000000006</v>
      </c>
      <c r="O248" s="6"/>
      <c r="S248" s="6" t="s">
        <v>240</v>
      </c>
      <c r="T248" s="11">
        <v>671306</v>
      </c>
      <c r="U248" s="7">
        <v>5</v>
      </c>
      <c r="V248" s="6" t="s">
        <v>36</v>
      </c>
      <c r="W248" s="7">
        <v>16.100000000000001</v>
      </c>
      <c r="X248" s="6" t="s">
        <v>35</v>
      </c>
      <c r="Y248" s="7"/>
      <c r="Z248" s="7">
        <v>1.5</v>
      </c>
      <c r="AA248" s="6"/>
      <c r="AB248" s="6" t="s">
        <v>38</v>
      </c>
      <c r="AD248" s="6" t="s">
        <v>39</v>
      </c>
      <c r="AE248" s="6"/>
      <c r="AH248" s="7"/>
      <c r="AI248" s="6" t="s">
        <v>40</v>
      </c>
      <c r="AJ248" s="6" t="s">
        <v>238</v>
      </c>
      <c r="AL248" s="6" t="s">
        <v>283</v>
      </c>
      <c r="AN248" s="6" t="s">
        <v>681</v>
      </c>
    </row>
    <row r="249" spans="1:40" hidden="1" x14ac:dyDescent="0.25">
      <c r="A249" s="12">
        <v>45678</v>
      </c>
      <c r="B249" s="6" t="s">
        <v>150</v>
      </c>
      <c r="C249" t="str">
        <f>_xlfn.XLOOKUP(Table3[[#This Row],[station]],station_waterbody_county!A:A, station_waterbody_county!B:B)</f>
        <v>Negro Harbour</v>
      </c>
      <c r="D249" t="str">
        <f>_xlfn.XLOOKUP(Table3[[#This Row],[station]],station_waterbody_county!A:A, station_waterbody_county!C:C)</f>
        <v>Shelburne</v>
      </c>
      <c r="E249" s="6"/>
      <c r="F249" s="6" t="s">
        <v>311</v>
      </c>
      <c r="G249" s="12">
        <v>45120</v>
      </c>
      <c r="H249" s="5"/>
      <c r="I249" s="4"/>
      <c r="J249" s="5"/>
      <c r="K249" s="10">
        <v>43.524312000000002</v>
      </c>
      <c r="L249" s="10">
        <v>-65.355348000000006</v>
      </c>
      <c r="O249" s="6"/>
      <c r="S249" s="6" t="s">
        <v>239</v>
      </c>
      <c r="T249" s="11">
        <v>20291425</v>
      </c>
      <c r="U249" s="7">
        <v>10</v>
      </c>
      <c r="V249" s="6" t="s">
        <v>36</v>
      </c>
      <c r="W249" s="7">
        <v>16.100000000000001</v>
      </c>
      <c r="X249" s="6" t="s">
        <v>35</v>
      </c>
      <c r="Y249" s="7"/>
      <c r="Z249" s="7">
        <v>1.5</v>
      </c>
      <c r="AA249" s="6"/>
      <c r="AB249" s="6" t="s">
        <v>38</v>
      </c>
      <c r="AD249" s="6" t="s">
        <v>39</v>
      </c>
      <c r="AE249" s="6"/>
      <c r="AH249" s="7"/>
      <c r="AI249" s="6" t="s">
        <v>40</v>
      </c>
      <c r="AJ249" s="6" t="s">
        <v>238</v>
      </c>
      <c r="AL249" s="6" t="s">
        <v>283</v>
      </c>
      <c r="AN249" s="6" t="s">
        <v>681</v>
      </c>
    </row>
    <row r="250" spans="1:40" hidden="1" x14ac:dyDescent="0.25">
      <c r="A250" s="12">
        <v>45678</v>
      </c>
      <c r="B250" s="6" t="s">
        <v>150</v>
      </c>
      <c r="C250" t="str">
        <f>_xlfn.XLOOKUP(Table3[[#This Row],[station]],station_waterbody_county!A:A, station_waterbody_county!B:B)</f>
        <v>Negro Harbour</v>
      </c>
      <c r="D250" t="str">
        <f>_xlfn.XLOOKUP(Table3[[#This Row],[station]],station_waterbody_county!A:A, station_waterbody_county!C:C)</f>
        <v>Shelburne</v>
      </c>
      <c r="E250" s="6"/>
      <c r="F250" s="6" t="s">
        <v>311</v>
      </c>
      <c r="G250" s="12">
        <v>45120</v>
      </c>
      <c r="H250" s="5"/>
      <c r="I250" s="4"/>
      <c r="J250" s="5"/>
      <c r="K250" s="10">
        <v>43.524312000000002</v>
      </c>
      <c r="L250" s="10">
        <v>-65.355348000000006</v>
      </c>
      <c r="O250" s="6"/>
      <c r="S250" s="6" t="s">
        <v>42</v>
      </c>
      <c r="T250" s="11">
        <v>548756</v>
      </c>
      <c r="U250" s="7">
        <v>15</v>
      </c>
      <c r="V250" s="6" t="s">
        <v>36</v>
      </c>
      <c r="W250" s="7">
        <v>16.100000000000001</v>
      </c>
      <c r="X250" s="6" t="s">
        <v>35</v>
      </c>
      <c r="Y250" s="7"/>
      <c r="Z250" s="7">
        <v>1.5</v>
      </c>
      <c r="AA250" s="6"/>
      <c r="AB250" s="6" t="s">
        <v>38</v>
      </c>
      <c r="AD250" s="6" t="s">
        <v>39</v>
      </c>
      <c r="AE250" s="6"/>
      <c r="AH250" s="7"/>
      <c r="AI250" s="6" t="s">
        <v>40</v>
      </c>
      <c r="AJ250" s="6" t="s">
        <v>238</v>
      </c>
      <c r="AL250" s="6" t="s">
        <v>283</v>
      </c>
      <c r="AN250" s="6" t="s">
        <v>681</v>
      </c>
    </row>
    <row r="251" spans="1:40" hidden="1" x14ac:dyDescent="0.25">
      <c r="A251" s="4">
        <v>45856</v>
      </c>
      <c r="B251" s="6" t="s">
        <v>150</v>
      </c>
      <c r="C251" s="6" t="str">
        <f>_xlfn.XLOOKUP(Table3[[#This Row],[station]],station_waterbody_county!A:A, station_waterbody_county!B:B)</f>
        <v>Negro Harbour</v>
      </c>
      <c r="D251" s="3" t="str">
        <f>_xlfn.XLOOKUP(Table3[[#This Row],[station]],station_waterbody_county!A:A, station_waterbody_county!C:C)</f>
        <v>Shelburne</v>
      </c>
      <c r="E251" s="6"/>
      <c r="F251" s="6" t="s">
        <v>34</v>
      </c>
      <c r="G251" s="12">
        <v>45847</v>
      </c>
      <c r="H251" s="5">
        <v>0.72361111111111109</v>
      </c>
      <c r="I251" s="4"/>
      <c r="J251" s="5"/>
      <c r="K251" s="10"/>
      <c r="O251" s="6" t="s">
        <v>1340</v>
      </c>
      <c r="P251" s="6" t="s">
        <v>1341</v>
      </c>
      <c r="S251" s="6" t="s">
        <v>239</v>
      </c>
      <c r="T251" s="11">
        <v>20763565</v>
      </c>
      <c r="U251" s="7">
        <v>2</v>
      </c>
      <c r="V251" s="6" t="s">
        <v>36</v>
      </c>
      <c r="W251" s="7">
        <v>15.9</v>
      </c>
      <c r="X251" s="6" t="s">
        <v>35</v>
      </c>
      <c r="Y251" s="7">
        <v>0.71299999999999997</v>
      </c>
      <c r="Z251" s="7">
        <v>0.5</v>
      </c>
      <c r="AA251" s="6" t="s">
        <v>314</v>
      </c>
      <c r="AB251" s="6" t="s">
        <v>38</v>
      </c>
      <c r="AD251" s="6" t="s">
        <v>39</v>
      </c>
      <c r="AE251" s="6" t="s">
        <v>1244</v>
      </c>
      <c r="AF251" s="11">
        <v>1</v>
      </c>
      <c r="AG251" s="6" t="s">
        <v>37</v>
      </c>
      <c r="AH251" s="7">
        <v>60</v>
      </c>
      <c r="AI251" s="6" t="s">
        <v>40</v>
      </c>
      <c r="AJ251" s="6" t="s">
        <v>238</v>
      </c>
      <c r="AK251" s="6" t="s">
        <v>241</v>
      </c>
      <c r="AL251" s="6" t="s">
        <v>41</v>
      </c>
    </row>
    <row r="252" spans="1:40" hidden="1" x14ac:dyDescent="0.25">
      <c r="A252" s="4">
        <v>45856</v>
      </c>
      <c r="B252" s="6" t="s">
        <v>150</v>
      </c>
      <c r="C252" s="6" t="str">
        <f>_xlfn.XLOOKUP(Table3[[#This Row],[station]],station_waterbody_county!A:A, station_waterbody_county!B:B)</f>
        <v>Negro Harbour</v>
      </c>
      <c r="D252" s="3" t="str">
        <f>_xlfn.XLOOKUP(Table3[[#This Row],[station]],station_waterbody_county!A:A, station_waterbody_county!C:C)</f>
        <v>Shelburne</v>
      </c>
      <c r="E252" s="6"/>
      <c r="F252" s="6" t="s">
        <v>34</v>
      </c>
      <c r="G252" s="12">
        <v>45847</v>
      </c>
      <c r="H252" s="5">
        <v>0.72361111111111109</v>
      </c>
      <c r="I252" s="4"/>
      <c r="J252" s="5"/>
      <c r="K252" s="10"/>
      <c r="O252" s="6" t="s">
        <v>1340</v>
      </c>
      <c r="P252" s="6" t="s">
        <v>1341</v>
      </c>
      <c r="S252" s="6" t="s">
        <v>239</v>
      </c>
      <c r="T252" s="11">
        <v>22309996</v>
      </c>
      <c r="U252" s="7">
        <v>5</v>
      </c>
      <c r="V252" s="6" t="s">
        <v>36</v>
      </c>
      <c r="W252" s="7">
        <v>15.9</v>
      </c>
      <c r="X252" s="6" t="s">
        <v>35</v>
      </c>
      <c r="Y252" s="7">
        <v>0.71299999999999997</v>
      </c>
      <c r="Z252" s="7">
        <v>0.5</v>
      </c>
      <c r="AA252" s="6" t="s">
        <v>314</v>
      </c>
      <c r="AB252" s="6" t="s">
        <v>38</v>
      </c>
      <c r="AD252" s="6" t="s">
        <v>39</v>
      </c>
      <c r="AE252" s="6" t="s">
        <v>1244</v>
      </c>
      <c r="AF252" s="11">
        <v>1</v>
      </c>
      <c r="AG252" s="6" t="s">
        <v>37</v>
      </c>
      <c r="AH252" s="7">
        <v>60</v>
      </c>
      <c r="AI252" s="6" t="s">
        <v>40</v>
      </c>
      <c r="AJ252" s="6" t="s">
        <v>238</v>
      </c>
      <c r="AK252" s="6" t="s">
        <v>241</v>
      </c>
      <c r="AL252" s="6" t="s">
        <v>41</v>
      </c>
    </row>
    <row r="253" spans="1:40" hidden="1" x14ac:dyDescent="0.25">
      <c r="A253" s="4">
        <v>45856</v>
      </c>
      <c r="B253" s="6" t="s">
        <v>150</v>
      </c>
      <c r="C253" s="6" t="str">
        <f>_xlfn.XLOOKUP(Table3[[#This Row],[station]],station_waterbody_county!A:A, station_waterbody_county!B:B)</f>
        <v>Negro Harbour</v>
      </c>
      <c r="D253" s="3" t="str">
        <f>_xlfn.XLOOKUP(Table3[[#This Row],[station]],station_waterbody_county!A:A, station_waterbody_county!C:C)</f>
        <v>Shelburne</v>
      </c>
      <c r="E253" s="6"/>
      <c r="F253" s="6" t="s">
        <v>34</v>
      </c>
      <c r="G253" s="12">
        <v>45847</v>
      </c>
      <c r="H253" s="5">
        <v>0.72361111111111109</v>
      </c>
      <c r="I253" s="4"/>
      <c r="J253" s="5"/>
      <c r="K253" s="10"/>
      <c r="O253" s="6" t="s">
        <v>1340</v>
      </c>
      <c r="P253" s="6" t="s">
        <v>1341</v>
      </c>
      <c r="S253" s="6" t="s">
        <v>239</v>
      </c>
      <c r="T253" s="11">
        <v>21434534</v>
      </c>
      <c r="U253" s="7">
        <v>10</v>
      </c>
      <c r="V253" s="6" t="s">
        <v>36</v>
      </c>
      <c r="W253" s="7">
        <v>15.9</v>
      </c>
      <c r="X253" s="6" t="s">
        <v>35</v>
      </c>
      <c r="Y253" s="7">
        <v>0.71299999999999997</v>
      </c>
      <c r="Z253" s="7">
        <v>0.5</v>
      </c>
      <c r="AA253" s="6" t="s">
        <v>314</v>
      </c>
      <c r="AB253" s="6" t="s">
        <v>38</v>
      </c>
      <c r="AD253" s="6" t="s">
        <v>39</v>
      </c>
      <c r="AE253" s="6" t="s">
        <v>1244</v>
      </c>
      <c r="AF253" s="11">
        <v>1</v>
      </c>
      <c r="AG253" s="6" t="s">
        <v>37</v>
      </c>
      <c r="AH253" s="7">
        <v>60</v>
      </c>
      <c r="AI253" s="6" t="s">
        <v>40</v>
      </c>
      <c r="AJ253" s="6" t="s">
        <v>238</v>
      </c>
      <c r="AK253" s="6" t="s">
        <v>241</v>
      </c>
      <c r="AL253" s="6" t="s">
        <v>41</v>
      </c>
    </row>
    <row r="254" spans="1:40" hidden="1" x14ac:dyDescent="0.25">
      <c r="A254" s="4">
        <v>45856</v>
      </c>
      <c r="B254" s="6" t="s">
        <v>150</v>
      </c>
      <c r="C254" s="6" t="str">
        <f>_xlfn.XLOOKUP(Table3[[#This Row],[station]],station_waterbody_county!A:A, station_waterbody_county!B:B)</f>
        <v>Negro Harbour</v>
      </c>
      <c r="D254" s="3" t="str">
        <f>_xlfn.XLOOKUP(Table3[[#This Row],[station]],station_waterbody_county!A:A, station_waterbody_county!C:C)</f>
        <v>Shelburne</v>
      </c>
      <c r="E254" s="6"/>
      <c r="F254" s="6" t="s">
        <v>34</v>
      </c>
      <c r="G254" s="12">
        <v>45847</v>
      </c>
      <c r="H254" s="5">
        <v>0.72361111111111109</v>
      </c>
      <c r="I254" s="4"/>
      <c r="J254" s="5"/>
      <c r="K254" s="10"/>
      <c r="O254" s="6" t="s">
        <v>1340</v>
      </c>
      <c r="P254" s="6" t="s">
        <v>1341</v>
      </c>
      <c r="S254" s="6" t="s">
        <v>42</v>
      </c>
      <c r="T254" s="11">
        <v>551261</v>
      </c>
      <c r="U254" s="7">
        <v>14</v>
      </c>
      <c r="V254" s="6" t="s">
        <v>36</v>
      </c>
      <c r="W254" s="7">
        <v>15.9</v>
      </c>
      <c r="X254" s="6" t="s">
        <v>35</v>
      </c>
      <c r="Y254" s="7">
        <v>0.71299999999999997</v>
      </c>
      <c r="Z254" s="7">
        <v>0.5</v>
      </c>
      <c r="AA254" s="6" t="s">
        <v>314</v>
      </c>
      <c r="AB254" s="6" t="s">
        <v>38</v>
      </c>
      <c r="AD254" s="6" t="s">
        <v>39</v>
      </c>
      <c r="AE254" s="6" t="s">
        <v>1244</v>
      </c>
      <c r="AF254" s="11">
        <v>1</v>
      </c>
      <c r="AG254" s="6" t="s">
        <v>37</v>
      </c>
      <c r="AH254" s="7">
        <v>60</v>
      </c>
      <c r="AI254" s="6" t="s">
        <v>40</v>
      </c>
      <c r="AJ254" s="6" t="s">
        <v>238</v>
      </c>
      <c r="AK254" s="6" t="s">
        <v>241</v>
      </c>
      <c r="AL254" s="6" t="s">
        <v>41</v>
      </c>
    </row>
    <row r="255" spans="1:40" hidden="1" x14ac:dyDescent="0.25">
      <c r="A255" s="4">
        <v>45856</v>
      </c>
      <c r="B255" s="6" t="s">
        <v>150</v>
      </c>
      <c r="C255" s="6" t="str">
        <f>_xlfn.XLOOKUP(Table3[[#This Row],[station]],station_waterbody_county!A:A, station_waterbody_county!B:B)</f>
        <v>Negro Harbour</v>
      </c>
      <c r="D255" s="3" t="str">
        <f>_xlfn.XLOOKUP(Table3[[#This Row],[station]],station_waterbody_county!A:A, station_waterbody_county!C:C)</f>
        <v>Shelburne</v>
      </c>
      <c r="E255" s="6"/>
      <c r="F255" s="6" t="s">
        <v>34</v>
      </c>
      <c r="G255" s="12">
        <v>45847</v>
      </c>
      <c r="H255" s="5">
        <v>0.72361111111111109</v>
      </c>
      <c r="I255" s="4"/>
      <c r="J255" s="5"/>
      <c r="K255" s="10"/>
      <c r="O255" s="6" t="s">
        <v>1340</v>
      </c>
      <c r="P255" s="6" t="s">
        <v>1341</v>
      </c>
      <c r="S255" s="6" t="s">
        <v>239</v>
      </c>
      <c r="T255" s="11">
        <v>22285948</v>
      </c>
      <c r="U255" s="7">
        <v>14</v>
      </c>
      <c r="V255" s="6" t="s">
        <v>36</v>
      </c>
      <c r="W255" s="7">
        <v>15.9</v>
      </c>
      <c r="X255" s="6" t="s">
        <v>35</v>
      </c>
      <c r="Y255" s="7">
        <v>0.71299999999999997</v>
      </c>
      <c r="Z255" s="7">
        <v>0.5</v>
      </c>
      <c r="AA255" s="6" t="s">
        <v>314</v>
      </c>
      <c r="AB255" s="6" t="s">
        <v>38</v>
      </c>
      <c r="AD255" s="6" t="s">
        <v>39</v>
      </c>
      <c r="AE255" s="6" t="s">
        <v>1244</v>
      </c>
      <c r="AF255" s="11">
        <v>1</v>
      </c>
      <c r="AG255" s="6" t="s">
        <v>37</v>
      </c>
      <c r="AH255" s="7">
        <v>60</v>
      </c>
      <c r="AI255" s="6" t="s">
        <v>40</v>
      </c>
      <c r="AJ255" s="6" t="s">
        <v>238</v>
      </c>
      <c r="AK255" s="6" t="s">
        <v>241</v>
      </c>
      <c r="AL255" s="6" t="s">
        <v>41</v>
      </c>
    </row>
    <row r="256" spans="1:40" x14ac:dyDescent="0.25">
      <c r="A256" s="4">
        <v>45596</v>
      </c>
      <c r="B256" s="6" t="s">
        <v>152</v>
      </c>
      <c r="C256" t="str">
        <f>_xlfn.XLOOKUP(Table3[[#This Row],[station]],station_waterbody_county!A:A, station_waterbody_county!B:B)</f>
        <v>Arichat Harbour</v>
      </c>
      <c r="D256" t="str">
        <f>_xlfn.XLOOKUP(Table3[[#This Row],[station]],station_waterbody_county!A:A, station_waterbody_county!C:C)</f>
        <v>Richmond</v>
      </c>
      <c r="E256" s="6"/>
      <c r="F256" s="6" t="s">
        <v>310</v>
      </c>
      <c r="G256" s="4">
        <v>45476</v>
      </c>
      <c r="H256" s="5">
        <v>0.63194444444444442</v>
      </c>
      <c r="I256" s="4">
        <v>45582</v>
      </c>
      <c r="J256" s="5">
        <v>0.74375000000000002</v>
      </c>
      <c r="K256" s="10"/>
      <c r="O256" s="6" t="s">
        <v>401</v>
      </c>
      <c r="P256" s="6" t="s">
        <v>402</v>
      </c>
      <c r="Q256" s="6" t="s">
        <v>511</v>
      </c>
      <c r="R256" s="6" t="s">
        <v>512</v>
      </c>
      <c r="S256" s="6" t="s">
        <v>239</v>
      </c>
      <c r="T256" s="11">
        <v>21488194</v>
      </c>
      <c r="U256" s="7">
        <v>2</v>
      </c>
      <c r="V256" s="6" t="s">
        <v>36</v>
      </c>
      <c r="W256" s="7"/>
      <c r="X256" s="6" t="s">
        <v>35</v>
      </c>
      <c r="Y256" s="7">
        <v>0.4</v>
      </c>
      <c r="Z256" s="7">
        <v>0.5</v>
      </c>
      <c r="AA256" s="6" t="s">
        <v>251</v>
      </c>
      <c r="AB256" s="6" t="s">
        <v>321</v>
      </c>
      <c r="AD256" s="6" t="s">
        <v>39</v>
      </c>
      <c r="AE256" s="6"/>
      <c r="AG256" s="6" t="s">
        <v>37</v>
      </c>
      <c r="AH256" s="7">
        <v>60</v>
      </c>
      <c r="AI256" s="6" t="s">
        <v>40</v>
      </c>
      <c r="AJ256" s="6" t="s">
        <v>238</v>
      </c>
      <c r="AK256" s="6" t="s">
        <v>35</v>
      </c>
      <c r="AL256" s="6" t="s">
        <v>41</v>
      </c>
      <c r="AM256" s="6" t="s">
        <v>41</v>
      </c>
    </row>
    <row r="257" spans="1:40" x14ac:dyDescent="0.25">
      <c r="A257" s="4">
        <v>45596</v>
      </c>
      <c r="B257" s="6" t="s">
        <v>152</v>
      </c>
      <c r="C257" t="str">
        <f>_xlfn.XLOOKUP(Table3[[#This Row],[station]],station_waterbody_county!A:A, station_waterbody_county!B:B)</f>
        <v>Arichat Harbour</v>
      </c>
      <c r="D257" t="str">
        <f>_xlfn.XLOOKUP(Table3[[#This Row],[station]],station_waterbody_county!A:A, station_waterbody_county!C:C)</f>
        <v>Richmond</v>
      </c>
      <c r="E257" s="6"/>
      <c r="F257" s="6" t="s">
        <v>310</v>
      </c>
      <c r="G257" s="4">
        <v>45476</v>
      </c>
      <c r="H257" s="5">
        <v>0.63194444444444442</v>
      </c>
      <c r="I257" s="4">
        <v>45582</v>
      </c>
      <c r="J257" s="5">
        <v>0.74375000000000002</v>
      </c>
      <c r="K257" s="10"/>
      <c r="O257" s="6" t="s">
        <v>401</v>
      </c>
      <c r="P257" s="6" t="s">
        <v>402</v>
      </c>
      <c r="Q257" s="6" t="s">
        <v>511</v>
      </c>
      <c r="R257" s="6" t="s">
        <v>512</v>
      </c>
      <c r="S257" s="6" t="s">
        <v>239</v>
      </c>
      <c r="T257" s="11">
        <v>20291422</v>
      </c>
      <c r="U257" s="7">
        <v>5</v>
      </c>
      <c r="V257" s="6" t="s">
        <v>36</v>
      </c>
      <c r="W257" s="7"/>
      <c r="X257" s="6" t="s">
        <v>35</v>
      </c>
      <c r="Y257" s="7">
        <v>0.4</v>
      </c>
      <c r="Z257" s="7">
        <v>0.5</v>
      </c>
      <c r="AA257" s="6" t="s">
        <v>251</v>
      </c>
      <c r="AB257" s="6" t="s">
        <v>321</v>
      </c>
      <c r="AD257" s="6" t="s">
        <v>39</v>
      </c>
      <c r="AE257" s="6"/>
      <c r="AG257" s="6" t="s">
        <v>37</v>
      </c>
      <c r="AH257" s="7">
        <v>60</v>
      </c>
      <c r="AI257" s="6" t="s">
        <v>40</v>
      </c>
      <c r="AJ257" s="6" t="s">
        <v>238</v>
      </c>
      <c r="AK257" s="6" t="s">
        <v>35</v>
      </c>
      <c r="AL257" s="6" t="s">
        <v>41</v>
      </c>
      <c r="AM257" s="6" t="s">
        <v>41</v>
      </c>
    </row>
    <row r="258" spans="1:40" x14ac:dyDescent="0.25">
      <c r="A258" s="4">
        <v>45596</v>
      </c>
      <c r="B258" s="6" t="s">
        <v>152</v>
      </c>
      <c r="C258" t="str">
        <f>_xlfn.XLOOKUP(Table3[[#This Row],[station]],station_waterbody_county!A:A, station_waterbody_county!B:B)</f>
        <v>Arichat Harbour</v>
      </c>
      <c r="D258" t="str">
        <f>_xlfn.XLOOKUP(Table3[[#This Row],[station]],station_waterbody_county!A:A, station_waterbody_county!C:C)</f>
        <v>Richmond</v>
      </c>
      <c r="E258" s="6"/>
      <c r="F258" s="6" t="s">
        <v>310</v>
      </c>
      <c r="G258" s="4">
        <v>45476</v>
      </c>
      <c r="H258" s="5">
        <v>0.63194444444444442</v>
      </c>
      <c r="I258" s="4">
        <v>45582</v>
      </c>
      <c r="J258" s="5">
        <v>0.74375000000000002</v>
      </c>
      <c r="K258" s="10"/>
      <c r="O258" s="6" t="s">
        <v>401</v>
      </c>
      <c r="P258" s="6" t="s">
        <v>402</v>
      </c>
      <c r="Q258" s="6" t="s">
        <v>511</v>
      </c>
      <c r="R258" s="6" t="s">
        <v>512</v>
      </c>
      <c r="S258" s="6" t="s">
        <v>239</v>
      </c>
      <c r="T258" s="11">
        <v>21152409</v>
      </c>
      <c r="U258" s="7">
        <v>10</v>
      </c>
      <c r="V258" s="6" t="s">
        <v>36</v>
      </c>
      <c r="W258" s="7"/>
      <c r="X258" s="6" t="s">
        <v>35</v>
      </c>
      <c r="Y258" s="7">
        <v>0.4</v>
      </c>
      <c r="Z258" s="7">
        <v>0.5</v>
      </c>
      <c r="AA258" s="6" t="s">
        <v>251</v>
      </c>
      <c r="AB258" s="6" t="s">
        <v>321</v>
      </c>
      <c r="AD258" s="6" t="s">
        <v>39</v>
      </c>
      <c r="AE258" s="6"/>
      <c r="AG258" s="6" t="s">
        <v>37</v>
      </c>
      <c r="AH258" s="7">
        <v>60</v>
      </c>
      <c r="AI258" s="6" t="s">
        <v>40</v>
      </c>
      <c r="AJ258" s="6" t="s">
        <v>238</v>
      </c>
      <c r="AK258" s="6" t="s">
        <v>35</v>
      </c>
      <c r="AL258" s="6" t="s">
        <v>41</v>
      </c>
      <c r="AM258" s="6" t="s">
        <v>41</v>
      </c>
    </row>
    <row r="259" spans="1:40" x14ac:dyDescent="0.25">
      <c r="A259" s="4">
        <v>45596</v>
      </c>
      <c r="B259" s="6" t="s">
        <v>152</v>
      </c>
      <c r="C259" t="str">
        <f>_xlfn.XLOOKUP(Table3[[#This Row],[station]],station_waterbody_county!A:A, station_waterbody_county!B:B)</f>
        <v>Arichat Harbour</v>
      </c>
      <c r="D259" t="str">
        <f>_xlfn.XLOOKUP(Table3[[#This Row],[station]],station_waterbody_county!A:A, station_waterbody_county!C:C)</f>
        <v>Richmond</v>
      </c>
      <c r="E259" s="6"/>
      <c r="F259" s="6" t="s">
        <v>310</v>
      </c>
      <c r="G259" s="4">
        <v>45476</v>
      </c>
      <c r="H259" s="5">
        <v>0.63194444444444442</v>
      </c>
      <c r="I259" s="4">
        <v>45582</v>
      </c>
      <c r="J259" s="5">
        <v>0.74375000000000002</v>
      </c>
      <c r="K259" s="10"/>
      <c r="O259" s="6" t="s">
        <v>401</v>
      </c>
      <c r="P259" s="6" t="s">
        <v>402</v>
      </c>
      <c r="Q259" s="6" t="s">
        <v>511</v>
      </c>
      <c r="R259" s="6" t="s">
        <v>512</v>
      </c>
      <c r="S259" s="6" t="s">
        <v>42</v>
      </c>
      <c r="T259" s="11">
        <v>548566</v>
      </c>
      <c r="U259" s="7">
        <v>11</v>
      </c>
      <c r="V259" s="6" t="s">
        <v>36</v>
      </c>
      <c r="W259" s="7"/>
      <c r="X259" s="6" t="s">
        <v>35</v>
      </c>
      <c r="Y259" s="7">
        <v>0.4</v>
      </c>
      <c r="Z259" s="7">
        <v>0.5</v>
      </c>
      <c r="AA259" s="6" t="s">
        <v>251</v>
      </c>
      <c r="AB259" s="6" t="s">
        <v>321</v>
      </c>
      <c r="AD259" s="6" t="s">
        <v>39</v>
      </c>
      <c r="AE259" s="6"/>
      <c r="AG259" s="6" t="s">
        <v>37</v>
      </c>
      <c r="AH259" s="7">
        <v>60</v>
      </c>
      <c r="AI259" s="6" t="s">
        <v>40</v>
      </c>
      <c r="AJ259" s="6" t="s">
        <v>238</v>
      </c>
      <c r="AK259" s="6" t="s">
        <v>35</v>
      </c>
      <c r="AL259" s="6" t="s">
        <v>41</v>
      </c>
      <c r="AM259" s="6" t="s">
        <v>41</v>
      </c>
    </row>
    <row r="260" spans="1:40" hidden="1" x14ac:dyDescent="0.25">
      <c r="A260" s="12">
        <v>45677</v>
      </c>
      <c r="B260" s="6" t="s">
        <v>152</v>
      </c>
      <c r="C260" t="str">
        <f>_xlfn.XLOOKUP(Table3[[#This Row],[station]],station_waterbody_county!A:A, station_waterbody_county!B:B)</f>
        <v>Arichat Harbour</v>
      </c>
      <c r="D260" t="str">
        <f>_xlfn.XLOOKUP(Table3[[#This Row],[station]],station_waterbody_county!A:A, station_waterbody_county!C:C)</f>
        <v>Richmond</v>
      </c>
      <c r="E260" s="6"/>
      <c r="F260" s="6" t="s">
        <v>310</v>
      </c>
      <c r="G260" s="12">
        <v>45113</v>
      </c>
      <c r="H260" s="5"/>
      <c r="I260" s="4">
        <v>45476</v>
      </c>
      <c r="J260" s="5">
        <v>0.61736111111111114</v>
      </c>
      <c r="K260" s="10">
        <v>45.498167000000002</v>
      </c>
      <c r="L260" s="10">
        <v>-61.044652999999997</v>
      </c>
      <c r="O260" s="6"/>
      <c r="Q260" s="6" t="s">
        <v>398</v>
      </c>
      <c r="R260" s="6" t="s">
        <v>399</v>
      </c>
      <c r="S260" s="6" t="s">
        <v>239</v>
      </c>
      <c r="T260" s="11">
        <v>21043079</v>
      </c>
      <c r="U260" s="7">
        <v>2</v>
      </c>
      <c r="V260" s="6" t="s">
        <v>36</v>
      </c>
      <c r="W260" s="7">
        <v>13</v>
      </c>
      <c r="X260" s="6" t="s">
        <v>35</v>
      </c>
      <c r="Y260" s="7">
        <v>1.6</v>
      </c>
      <c r="AA260" s="6" t="s">
        <v>243</v>
      </c>
      <c r="AB260" s="6" t="s">
        <v>321</v>
      </c>
      <c r="AD260" s="6" t="s">
        <v>39</v>
      </c>
      <c r="AE260" s="6"/>
      <c r="AG260" s="6" t="s">
        <v>37</v>
      </c>
      <c r="AH260" s="7"/>
      <c r="AI260" s="6" t="s">
        <v>40</v>
      </c>
      <c r="AJ260" s="6" t="s">
        <v>238</v>
      </c>
      <c r="AK260" s="6" t="s">
        <v>35</v>
      </c>
      <c r="AL260" s="6" t="s">
        <v>275</v>
      </c>
      <c r="AM260" s="6" t="s">
        <v>41</v>
      </c>
      <c r="AN260" s="6" t="s">
        <v>400</v>
      </c>
    </row>
    <row r="261" spans="1:40" hidden="1" x14ac:dyDescent="0.25">
      <c r="A261" s="12">
        <v>45677</v>
      </c>
      <c r="B261" s="6" t="s">
        <v>152</v>
      </c>
      <c r="C261" t="str">
        <f>_xlfn.XLOOKUP(Table3[[#This Row],[station]],station_waterbody_county!A:A, station_waterbody_county!B:B)</f>
        <v>Arichat Harbour</v>
      </c>
      <c r="D261" t="str">
        <f>_xlfn.XLOOKUP(Table3[[#This Row],[station]],station_waterbody_county!A:A, station_waterbody_county!C:C)</f>
        <v>Richmond</v>
      </c>
      <c r="E261" s="6"/>
      <c r="F261" s="6" t="s">
        <v>310</v>
      </c>
      <c r="G261" s="12">
        <v>45113</v>
      </c>
      <c r="H261" s="5"/>
      <c r="I261" s="4">
        <v>45476</v>
      </c>
      <c r="J261" s="5">
        <v>0.61736111111111114</v>
      </c>
      <c r="K261" s="10">
        <v>45.498167000000002</v>
      </c>
      <c r="L261" s="10">
        <v>-61.044652999999997</v>
      </c>
      <c r="O261" s="6"/>
      <c r="Q261" s="6" t="s">
        <v>398</v>
      </c>
      <c r="R261" s="6" t="s">
        <v>399</v>
      </c>
      <c r="S261" s="6" t="s">
        <v>239</v>
      </c>
      <c r="T261" s="11">
        <v>21082883</v>
      </c>
      <c r="U261" s="7">
        <v>5</v>
      </c>
      <c r="V261" s="6" t="s">
        <v>36</v>
      </c>
      <c r="W261" s="7">
        <v>13</v>
      </c>
      <c r="X261" s="6" t="s">
        <v>35</v>
      </c>
      <c r="Y261" s="7">
        <v>1.6</v>
      </c>
      <c r="AA261" s="6" t="s">
        <v>243</v>
      </c>
      <c r="AB261" s="6" t="s">
        <v>321</v>
      </c>
      <c r="AD261" s="6" t="s">
        <v>39</v>
      </c>
      <c r="AE261" s="6"/>
      <c r="AG261" s="6" t="s">
        <v>37</v>
      </c>
      <c r="AH261" s="7"/>
      <c r="AI261" s="6" t="s">
        <v>40</v>
      </c>
      <c r="AJ261" s="6" t="s">
        <v>238</v>
      </c>
      <c r="AK261" s="6" t="s">
        <v>35</v>
      </c>
      <c r="AL261" s="6" t="s">
        <v>275</v>
      </c>
      <c r="AM261" s="6" t="s">
        <v>41</v>
      </c>
      <c r="AN261" s="6" t="s">
        <v>400</v>
      </c>
    </row>
    <row r="262" spans="1:40" hidden="1" x14ac:dyDescent="0.25">
      <c r="A262" s="12">
        <v>45677</v>
      </c>
      <c r="B262" s="6" t="s">
        <v>152</v>
      </c>
      <c r="C262" t="str">
        <f>_xlfn.XLOOKUP(Table3[[#This Row],[station]],station_waterbody_county!A:A, station_waterbody_county!B:B)</f>
        <v>Arichat Harbour</v>
      </c>
      <c r="D262" t="str">
        <f>_xlfn.XLOOKUP(Table3[[#This Row],[station]],station_waterbody_county!A:A, station_waterbody_county!C:C)</f>
        <v>Richmond</v>
      </c>
      <c r="E262" s="6"/>
      <c r="F262" s="6" t="s">
        <v>310</v>
      </c>
      <c r="G262" s="12">
        <v>45113</v>
      </c>
      <c r="H262" s="5"/>
      <c r="I262" s="4">
        <v>45476</v>
      </c>
      <c r="J262" s="5">
        <v>0.61736111111111114</v>
      </c>
      <c r="K262" s="10">
        <v>45.498167000000002</v>
      </c>
      <c r="L262" s="10">
        <v>-61.044652999999997</v>
      </c>
      <c r="O262" s="6"/>
      <c r="Q262" s="6" t="s">
        <v>398</v>
      </c>
      <c r="R262" s="6" t="s">
        <v>399</v>
      </c>
      <c r="S262" s="6" t="s">
        <v>239</v>
      </c>
      <c r="T262" s="11">
        <v>21444877</v>
      </c>
      <c r="U262" s="7">
        <v>10</v>
      </c>
      <c r="V262" s="6" t="s">
        <v>36</v>
      </c>
      <c r="W262" s="7">
        <v>13</v>
      </c>
      <c r="X262" s="6" t="s">
        <v>35</v>
      </c>
      <c r="Y262" s="7">
        <v>1.6</v>
      </c>
      <c r="AA262" s="6" t="s">
        <v>243</v>
      </c>
      <c r="AB262" s="6" t="s">
        <v>321</v>
      </c>
      <c r="AD262" s="6" t="s">
        <v>39</v>
      </c>
      <c r="AE262" s="6"/>
      <c r="AG262" s="6" t="s">
        <v>37</v>
      </c>
      <c r="AH262" s="7"/>
      <c r="AI262" s="6" t="s">
        <v>40</v>
      </c>
      <c r="AJ262" s="6" t="s">
        <v>238</v>
      </c>
      <c r="AK262" s="6" t="s">
        <v>35</v>
      </c>
      <c r="AL262" s="6" t="s">
        <v>275</v>
      </c>
      <c r="AM262" s="6" t="s">
        <v>41</v>
      </c>
      <c r="AN262" s="6" t="s">
        <v>400</v>
      </c>
    </row>
    <row r="263" spans="1:40" hidden="1" x14ac:dyDescent="0.25">
      <c r="A263" s="12">
        <v>45677</v>
      </c>
      <c r="B263" s="6" t="s">
        <v>152</v>
      </c>
      <c r="C263" t="str">
        <f>_xlfn.XLOOKUP(Table3[[#This Row],[station]],station_waterbody_county!A:A, station_waterbody_county!B:B)</f>
        <v>Arichat Harbour</v>
      </c>
      <c r="D263" t="str">
        <f>_xlfn.XLOOKUP(Table3[[#This Row],[station]],station_waterbody_county!A:A, station_waterbody_county!C:C)</f>
        <v>Richmond</v>
      </c>
      <c r="E263" s="6"/>
      <c r="F263" s="6" t="s">
        <v>310</v>
      </c>
      <c r="G263" s="12">
        <v>45113</v>
      </c>
      <c r="H263" s="5"/>
      <c r="I263" s="4">
        <v>45476</v>
      </c>
      <c r="J263" s="5">
        <v>0.61736111111111114</v>
      </c>
      <c r="K263" s="10">
        <v>45.498167000000002</v>
      </c>
      <c r="L263" s="10">
        <v>-61.044652999999997</v>
      </c>
      <c r="O263" s="6"/>
      <c r="Q263" s="6" t="s">
        <v>398</v>
      </c>
      <c r="R263" s="6" t="s">
        <v>399</v>
      </c>
      <c r="S263" s="6" t="s">
        <v>42</v>
      </c>
      <c r="T263" s="11">
        <v>550756</v>
      </c>
      <c r="U263" s="7">
        <v>11</v>
      </c>
      <c r="V263" s="6" t="s">
        <v>36</v>
      </c>
      <c r="W263" s="7">
        <v>13</v>
      </c>
      <c r="X263" s="6" t="s">
        <v>35</v>
      </c>
      <c r="Y263" s="7">
        <v>1.6</v>
      </c>
      <c r="AA263" s="6" t="s">
        <v>243</v>
      </c>
      <c r="AB263" s="6" t="s">
        <v>321</v>
      </c>
      <c r="AD263" s="6" t="s">
        <v>39</v>
      </c>
      <c r="AE263" s="6"/>
      <c r="AG263" s="6" t="s">
        <v>37</v>
      </c>
      <c r="AH263" s="7"/>
      <c r="AI263" s="6" t="s">
        <v>40</v>
      </c>
      <c r="AJ263" s="6" t="s">
        <v>238</v>
      </c>
      <c r="AK263" s="6" t="s">
        <v>35</v>
      </c>
      <c r="AL263" s="6" t="s">
        <v>275</v>
      </c>
      <c r="AM263" s="6" t="s">
        <v>41</v>
      </c>
      <c r="AN263" s="6" t="s">
        <v>400</v>
      </c>
    </row>
    <row r="264" spans="1:40" hidden="1" x14ac:dyDescent="0.25">
      <c r="A264" s="4">
        <v>45792</v>
      </c>
      <c r="B264" s="6" t="s">
        <v>152</v>
      </c>
      <c r="C264" t="str">
        <f>_xlfn.XLOOKUP(Table3[[#This Row],[station]],station_waterbody_county!A:A, station_waterbody_county!B:B)</f>
        <v>Arichat Harbour</v>
      </c>
      <c r="D264" t="str">
        <f>_xlfn.XLOOKUP(Table3[[#This Row],[station]],station_waterbody_county!A:A, station_waterbody_county!C:C)</f>
        <v>Richmond</v>
      </c>
      <c r="E264" s="6"/>
      <c r="F264" s="6" t="s">
        <v>34</v>
      </c>
      <c r="G264" s="12">
        <v>45792</v>
      </c>
      <c r="H264" s="5">
        <v>0.61250000000000004</v>
      </c>
      <c r="I264" s="4"/>
      <c r="J264" s="5"/>
      <c r="K264" s="10"/>
      <c r="O264" s="6" t="s">
        <v>1278</v>
      </c>
      <c r="P264" s="6" t="s">
        <v>1279</v>
      </c>
      <c r="S264" s="6" t="s">
        <v>239</v>
      </c>
      <c r="T264" s="11">
        <v>22249008</v>
      </c>
      <c r="U264" s="7">
        <v>2</v>
      </c>
      <c r="V264" s="6" t="s">
        <v>36</v>
      </c>
      <c r="W264" s="7">
        <v>12.5</v>
      </c>
      <c r="X264" s="6" t="s">
        <v>35</v>
      </c>
      <c r="Y264" s="7">
        <v>1.7</v>
      </c>
      <c r="Z264" s="7">
        <v>0.5</v>
      </c>
      <c r="AA264" s="6" t="s">
        <v>251</v>
      </c>
      <c r="AB264" s="6" t="s">
        <v>38</v>
      </c>
      <c r="AD264" s="6" t="s">
        <v>39</v>
      </c>
      <c r="AE264" s="6" t="s">
        <v>40</v>
      </c>
      <c r="AG264" s="6" t="s">
        <v>37</v>
      </c>
      <c r="AH264" s="7">
        <v>60</v>
      </c>
      <c r="AI264" s="6" t="s">
        <v>40</v>
      </c>
      <c r="AJ264" s="6" t="s">
        <v>238</v>
      </c>
      <c r="AL264" s="6" t="s">
        <v>41</v>
      </c>
    </row>
    <row r="265" spans="1:40" hidden="1" x14ac:dyDescent="0.25">
      <c r="A265" s="4">
        <v>45792</v>
      </c>
      <c r="B265" s="6" t="s">
        <v>152</v>
      </c>
      <c r="C265" t="str">
        <f>_xlfn.XLOOKUP(Table3[[#This Row],[station]],station_waterbody_county!A:A, station_waterbody_county!B:B)</f>
        <v>Arichat Harbour</v>
      </c>
      <c r="D265" t="str">
        <f>_xlfn.XLOOKUP(Table3[[#This Row],[station]],station_waterbody_county!A:A, station_waterbody_county!C:C)</f>
        <v>Richmond</v>
      </c>
      <c r="E265" s="6"/>
      <c r="F265" s="6" t="s">
        <v>34</v>
      </c>
      <c r="G265" s="12">
        <v>45792</v>
      </c>
      <c r="H265" s="5">
        <v>0.61250000000000004</v>
      </c>
      <c r="I265" s="4"/>
      <c r="J265" s="5"/>
      <c r="K265" s="10"/>
      <c r="O265" s="6" t="s">
        <v>1278</v>
      </c>
      <c r="P265" s="6" t="s">
        <v>1279</v>
      </c>
      <c r="S265" s="6" t="s">
        <v>239</v>
      </c>
      <c r="T265" s="11">
        <v>22249010</v>
      </c>
      <c r="U265" s="7">
        <v>5</v>
      </c>
      <c r="V265" s="6" t="s">
        <v>36</v>
      </c>
      <c r="W265" s="7">
        <v>12.5</v>
      </c>
      <c r="X265" s="6" t="s">
        <v>35</v>
      </c>
      <c r="Y265" s="7">
        <v>1.7</v>
      </c>
      <c r="Z265" s="7">
        <v>0.5</v>
      </c>
      <c r="AA265" s="6" t="s">
        <v>251</v>
      </c>
      <c r="AB265" s="6" t="s">
        <v>38</v>
      </c>
      <c r="AD265" s="6" t="s">
        <v>39</v>
      </c>
      <c r="AE265" s="6" t="s">
        <v>40</v>
      </c>
      <c r="AG265" s="6" t="s">
        <v>37</v>
      </c>
      <c r="AH265" s="7">
        <v>60</v>
      </c>
      <c r="AI265" s="6" t="s">
        <v>40</v>
      </c>
      <c r="AJ265" s="6" t="s">
        <v>238</v>
      </c>
      <c r="AL265" s="6" t="s">
        <v>41</v>
      </c>
    </row>
    <row r="266" spans="1:40" hidden="1" x14ac:dyDescent="0.25">
      <c r="A266" s="4">
        <v>45792</v>
      </c>
      <c r="B266" s="6" t="s">
        <v>152</v>
      </c>
      <c r="C266" t="str">
        <f>_xlfn.XLOOKUP(Table3[[#This Row],[station]],station_waterbody_county!A:A, station_waterbody_county!B:B)</f>
        <v>Arichat Harbour</v>
      </c>
      <c r="D266" t="str">
        <f>_xlfn.XLOOKUP(Table3[[#This Row],[station]],station_waterbody_county!A:A, station_waterbody_county!C:C)</f>
        <v>Richmond</v>
      </c>
      <c r="E266" s="6"/>
      <c r="F266" s="6" t="s">
        <v>34</v>
      </c>
      <c r="G266" s="12">
        <v>45792</v>
      </c>
      <c r="H266" s="5">
        <v>0.61250000000000004</v>
      </c>
      <c r="I266" s="4"/>
      <c r="J266" s="5"/>
      <c r="K266" s="10"/>
      <c r="O266" s="6" t="s">
        <v>1278</v>
      </c>
      <c r="P266" s="6" t="s">
        <v>1279</v>
      </c>
      <c r="S266" s="6" t="s">
        <v>239</v>
      </c>
      <c r="T266" s="11">
        <v>22278870</v>
      </c>
      <c r="U266" s="7">
        <v>10</v>
      </c>
      <c r="V266" s="6" t="s">
        <v>36</v>
      </c>
      <c r="W266" s="7">
        <v>12.5</v>
      </c>
      <c r="X266" s="6" t="s">
        <v>35</v>
      </c>
      <c r="Y266" s="7">
        <v>1.7</v>
      </c>
      <c r="Z266" s="7">
        <v>0.5</v>
      </c>
      <c r="AA266" s="6" t="s">
        <v>251</v>
      </c>
      <c r="AB266" s="6" t="s">
        <v>38</v>
      </c>
      <c r="AD266" s="6" t="s">
        <v>39</v>
      </c>
      <c r="AE266" s="6" t="s">
        <v>40</v>
      </c>
      <c r="AG266" s="6" t="s">
        <v>37</v>
      </c>
      <c r="AH266" s="7">
        <v>60</v>
      </c>
      <c r="AI266" s="6" t="s">
        <v>40</v>
      </c>
      <c r="AJ266" s="6" t="s">
        <v>238</v>
      </c>
      <c r="AL266" s="6" t="s">
        <v>41</v>
      </c>
    </row>
    <row r="267" spans="1:40" hidden="1" x14ac:dyDescent="0.25">
      <c r="A267" s="4">
        <v>45792</v>
      </c>
      <c r="B267" s="6" t="s">
        <v>152</v>
      </c>
      <c r="C267" t="str">
        <f>_xlfn.XLOOKUP(Table3[[#This Row],[station]],station_waterbody_county!A:A, station_waterbody_county!B:B)</f>
        <v>Arichat Harbour</v>
      </c>
      <c r="D267" t="str">
        <f>_xlfn.XLOOKUP(Table3[[#This Row],[station]],station_waterbody_county!A:A, station_waterbody_county!C:C)</f>
        <v>Richmond</v>
      </c>
      <c r="E267" s="6"/>
      <c r="F267" s="6" t="s">
        <v>34</v>
      </c>
      <c r="G267" s="12">
        <v>45792</v>
      </c>
      <c r="H267" s="5">
        <v>0.61250000000000004</v>
      </c>
      <c r="I267" s="4"/>
      <c r="J267" s="5"/>
      <c r="K267" s="10"/>
      <c r="O267" s="6" t="s">
        <v>1278</v>
      </c>
      <c r="P267" s="6" t="s">
        <v>1279</v>
      </c>
      <c r="S267" s="6" t="s">
        <v>42</v>
      </c>
      <c r="T267" s="11">
        <v>548573</v>
      </c>
      <c r="U267" s="7">
        <v>11</v>
      </c>
      <c r="V267" s="6" t="s">
        <v>36</v>
      </c>
      <c r="W267" s="7">
        <v>12.5</v>
      </c>
      <c r="X267" s="6" t="s">
        <v>35</v>
      </c>
      <c r="Y267" s="7">
        <v>1.7</v>
      </c>
      <c r="Z267" s="7">
        <v>0.5</v>
      </c>
      <c r="AA267" s="6" t="s">
        <v>251</v>
      </c>
      <c r="AB267" s="6" t="s">
        <v>38</v>
      </c>
      <c r="AD267" s="6" t="s">
        <v>39</v>
      </c>
      <c r="AE267" s="6" t="s">
        <v>40</v>
      </c>
      <c r="AG267" s="6" t="s">
        <v>37</v>
      </c>
      <c r="AH267" s="7">
        <v>60</v>
      </c>
      <c r="AI267" s="6" t="s">
        <v>40</v>
      </c>
      <c r="AJ267" s="6" t="s">
        <v>238</v>
      </c>
      <c r="AL267" s="6" t="s">
        <v>41</v>
      </c>
    </row>
    <row r="268" spans="1:40" hidden="1" x14ac:dyDescent="0.25">
      <c r="A268" s="4">
        <v>45792</v>
      </c>
      <c r="B268" s="6" t="s">
        <v>152</v>
      </c>
      <c r="C268" t="str">
        <f>_xlfn.XLOOKUP(Table3[[#This Row],[station]],station_waterbody_county!A:A, station_waterbody_county!B:B)</f>
        <v>Arichat Harbour</v>
      </c>
      <c r="D268" t="str">
        <f>_xlfn.XLOOKUP(Table3[[#This Row],[station]],station_waterbody_county!A:A, station_waterbody_county!C:C)</f>
        <v>Richmond</v>
      </c>
      <c r="E268" s="6"/>
      <c r="F268" s="6" t="s">
        <v>34</v>
      </c>
      <c r="G268" s="12">
        <v>45792</v>
      </c>
      <c r="H268" s="5">
        <v>0.61250000000000004</v>
      </c>
      <c r="I268" s="4"/>
      <c r="J268" s="5"/>
      <c r="K268" s="10"/>
      <c r="O268" s="6" t="s">
        <v>1278</v>
      </c>
      <c r="P268" s="6" t="s">
        <v>1279</v>
      </c>
      <c r="S268" s="6" t="s">
        <v>239</v>
      </c>
      <c r="T268" s="11">
        <v>21082885</v>
      </c>
      <c r="U268" s="7">
        <v>11</v>
      </c>
      <c r="V268" s="6" t="s">
        <v>36</v>
      </c>
      <c r="W268" s="7">
        <v>12.5</v>
      </c>
      <c r="X268" s="6" t="s">
        <v>35</v>
      </c>
      <c r="Y268" s="7">
        <v>1.7</v>
      </c>
      <c r="Z268" s="7">
        <v>0.5</v>
      </c>
      <c r="AA268" s="6" t="s">
        <v>251</v>
      </c>
      <c r="AB268" s="6" t="s">
        <v>38</v>
      </c>
      <c r="AD268" s="6" t="s">
        <v>39</v>
      </c>
      <c r="AE268" s="6" t="s">
        <v>40</v>
      </c>
      <c r="AG268" s="6" t="s">
        <v>37</v>
      </c>
      <c r="AH268" s="7">
        <v>60</v>
      </c>
      <c r="AI268" s="6" t="s">
        <v>40</v>
      </c>
      <c r="AJ268" s="6" t="s">
        <v>238</v>
      </c>
      <c r="AL268" s="6" t="s">
        <v>41</v>
      </c>
    </row>
    <row r="269" spans="1:40" x14ac:dyDescent="0.25">
      <c r="A269" s="4">
        <v>45798</v>
      </c>
      <c r="B269" s="6" t="s">
        <v>152</v>
      </c>
      <c r="C269" t="str">
        <f>_xlfn.XLOOKUP(Table3[[#This Row],[station]],station_waterbody_county!A:A, station_waterbody_county!B:B)</f>
        <v>Arichat Harbour</v>
      </c>
      <c r="D269" t="str">
        <f>_xlfn.XLOOKUP(Table3[[#This Row],[station]],station_waterbody_county!A:A, station_waterbody_county!C:C)</f>
        <v>Richmond</v>
      </c>
      <c r="E269" s="6"/>
      <c r="F269" s="6" t="s">
        <v>310</v>
      </c>
      <c r="G269" s="4">
        <v>45582</v>
      </c>
      <c r="H269" s="5">
        <v>0.75486111111111109</v>
      </c>
      <c r="I269" s="4">
        <v>45792</v>
      </c>
      <c r="J269" s="5">
        <v>0.60347222222222219</v>
      </c>
      <c r="K269" s="10"/>
      <c r="O269" s="6" t="s">
        <v>513</v>
      </c>
      <c r="P269" s="6" t="s">
        <v>514</v>
      </c>
      <c r="Q269" s="6" t="s">
        <v>1280</v>
      </c>
      <c r="R269" s="6" t="s">
        <v>1281</v>
      </c>
      <c r="S269" s="6" t="s">
        <v>239</v>
      </c>
      <c r="T269" s="11">
        <v>20820377</v>
      </c>
      <c r="U269" s="7">
        <v>2</v>
      </c>
      <c r="V269" s="6" t="s">
        <v>36</v>
      </c>
      <c r="W269" s="7">
        <v>12</v>
      </c>
      <c r="X269" s="6" t="s">
        <v>35</v>
      </c>
      <c r="Y269" s="7">
        <v>0.2</v>
      </c>
      <c r="Z269" s="7">
        <v>0.5</v>
      </c>
      <c r="AA269" s="6" t="s">
        <v>314</v>
      </c>
      <c r="AB269" s="6" t="s">
        <v>321</v>
      </c>
      <c r="AD269" s="6" t="s">
        <v>39</v>
      </c>
      <c r="AE269" s="6"/>
      <c r="AG269" s="6" t="s">
        <v>37</v>
      </c>
      <c r="AH269" s="7">
        <v>60</v>
      </c>
      <c r="AI269" s="6" t="s">
        <v>40</v>
      </c>
      <c r="AJ269" s="6" t="s">
        <v>238</v>
      </c>
      <c r="AK269" s="6" t="s">
        <v>35</v>
      </c>
      <c r="AL269" s="6" t="s">
        <v>41</v>
      </c>
      <c r="AM269" s="6" t="s">
        <v>41</v>
      </c>
    </row>
    <row r="270" spans="1:40" x14ac:dyDescent="0.25">
      <c r="A270" s="4">
        <v>45798</v>
      </c>
      <c r="B270" s="6" t="s">
        <v>152</v>
      </c>
      <c r="C270" t="str">
        <f>_xlfn.XLOOKUP(Table3[[#This Row],[station]],station_waterbody_county!A:A, station_waterbody_county!B:B)</f>
        <v>Arichat Harbour</v>
      </c>
      <c r="D270" t="str">
        <f>_xlfn.XLOOKUP(Table3[[#This Row],[station]],station_waterbody_county!A:A, station_waterbody_county!C:C)</f>
        <v>Richmond</v>
      </c>
      <c r="E270" s="6"/>
      <c r="F270" s="6" t="s">
        <v>310</v>
      </c>
      <c r="G270" s="4">
        <v>45582</v>
      </c>
      <c r="H270" s="5">
        <v>0.75486111111111109</v>
      </c>
      <c r="I270" s="4">
        <v>45792</v>
      </c>
      <c r="J270" s="5">
        <v>0.60347222222222219</v>
      </c>
      <c r="K270" s="10"/>
      <c r="O270" s="6" t="s">
        <v>513</v>
      </c>
      <c r="P270" s="6" t="s">
        <v>514</v>
      </c>
      <c r="Q270" s="6" t="s">
        <v>1280</v>
      </c>
      <c r="R270" s="6" t="s">
        <v>1281</v>
      </c>
      <c r="S270" s="6" t="s">
        <v>239</v>
      </c>
      <c r="T270" s="11">
        <v>21444892</v>
      </c>
      <c r="U270" s="7">
        <v>5</v>
      </c>
      <c r="V270" s="6" t="s">
        <v>36</v>
      </c>
      <c r="W270" s="7">
        <v>12</v>
      </c>
      <c r="X270" s="6" t="s">
        <v>35</v>
      </c>
      <c r="Y270" s="7">
        <v>0.2</v>
      </c>
      <c r="Z270" s="7">
        <v>0.5</v>
      </c>
      <c r="AA270" s="6" t="s">
        <v>314</v>
      </c>
      <c r="AB270" s="6" t="s">
        <v>321</v>
      </c>
      <c r="AD270" s="6" t="s">
        <v>39</v>
      </c>
      <c r="AE270" s="6"/>
      <c r="AG270" s="6" t="s">
        <v>37</v>
      </c>
      <c r="AH270" s="7">
        <v>60</v>
      </c>
      <c r="AI270" s="6" t="s">
        <v>40</v>
      </c>
      <c r="AJ270" s="6" t="s">
        <v>238</v>
      </c>
      <c r="AK270" s="6" t="s">
        <v>35</v>
      </c>
      <c r="AL270" s="6" t="s">
        <v>41</v>
      </c>
      <c r="AM270" s="6" t="s">
        <v>41</v>
      </c>
    </row>
    <row r="271" spans="1:40" x14ac:dyDescent="0.25">
      <c r="A271" s="4">
        <v>45798</v>
      </c>
      <c r="B271" s="6" t="s">
        <v>152</v>
      </c>
      <c r="C271" t="str">
        <f>_xlfn.XLOOKUP(Table3[[#This Row],[station]],station_waterbody_county!A:A, station_waterbody_county!B:B)</f>
        <v>Arichat Harbour</v>
      </c>
      <c r="D271" t="str">
        <f>_xlfn.XLOOKUP(Table3[[#This Row],[station]],station_waterbody_county!A:A, station_waterbody_county!C:C)</f>
        <v>Richmond</v>
      </c>
      <c r="E271" s="6"/>
      <c r="F271" s="6" t="s">
        <v>310</v>
      </c>
      <c r="G271" s="4">
        <v>45582</v>
      </c>
      <c r="H271" s="5">
        <v>0.75486111111111109</v>
      </c>
      <c r="I271" s="4">
        <v>45792</v>
      </c>
      <c r="J271" s="5">
        <v>0.60347222222222219</v>
      </c>
      <c r="K271" s="10"/>
      <c r="O271" s="6" t="s">
        <v>513</v>
      </c>
      <c r="P271" s="6" t="s">
        <v>514</v>
      </c>
      <c r="Q271" s="6" t="s">
        <v>1280</v>
      </c>
      <c r="R271" s="6" t="s">
        <v>1281</v>
      </c>
      <c r="S271" s="6" t="s">
        <v>239</v>
      </c>
      <c r="T271" s="11">
        <v>20820379</v>
      </c>
      <c r="U271" s="7">
        <v>10</v>
      </c>
      <c r="V271" s="6" t="s">
        <v>36</v>
      </c>
      <c r="W271" s="7">
        <v>12</v>
      </c>
      <c r="X271" s="6" t="s">
        <v>35</v>
      </c>
      <c r="Y271" s="7">
        <v>0.2</v>
      </c>
      <c r="Z271" s="7">
        <v>0.5</v>
      </c>
      <c r="AA271" s="6" t="s">
        <v>314</v>
      </c>
      <c r="AB271" s="6" t="s">
        <v>321</v>
      </c>
      <c r="AD271" s="6" t="s">
        <v>39</v>
      </c>
      <c r="AE271" s="6"/>
      <c r="AG271" s="6" t="s">
        <v>37</v>
      </c>
      <c r="AH271" s="7">
        <v>60</v>
      </c>
      <c r="AI271" s="6" t="s">
        <v>40</v>
      </c>
      <c r="AJ271" s="6" t="s">
        <v>238</v>
      </c>
      <c r="AK271" s="6" t="s">
        <v>35</v>
      </c>
      <c r="AL271" s="6" t="s">
        <v>41</v>
      </c>
      <c r="AM271" s="6" t="s">
        <v>41</v>
      </c>
    </row>
    <row r="272" spans="1:40" x14ac:dyDescent="0.25">
      <c r="A272" s="4">
        <v>45798</v>
      </c>
      <c r="B272" s="6" t="s">
        <v>152</v>
      </c>
      <c r="C272" t="str">
        <f>_xlfn.XLOOKUP(Table3[[#This Row],[station]],station_waterbody_county!A:A, station_waterbody_county!B:B)</f>
        <v>Arichat Harbour</v>
      </c>
      <c r="D272" t="str">
        <f>_xlfn.XLOOKUP(Table3[[#This Row],[station]],station_waterbody_county!A:A, station_waterbody_county!C:C)</f>
        <v>Richmond</v>
      </c>
      <c r="E272" s="6"/>
      <c r="F272" s="6" t="s">
        <v>310</v>
      </c>
      <c r="G272" s="4">
        <v>45582</v>
      </c>
      <c r="H272" s="5">
        <v>0.75486111111111109</v>
      </c>
      <c r="I272" s="4">
        <v>45792</v>
      </c>
      <c r="J272" s="5">
        <v>0.60347222222222219</v>
      </c>
      <c r="K272" s="10"/>
      <c r="O272" s="6" t="s">
        <v>513</v>
      </c>
      <c r="P272" s="6" t="s">
        <v>514</v>
      </c>
      <c r="Q272" s="6" t="s">
        <v>1280</v>
      </c>
      <c r="R272" s="6" t="s">
        <v>1281</v>
      </c>
      <c r="S272" s="6" t="s">
        <v>42</v>
      </c>
      <c r="T272" s="11">
        <v>547109</v>
      </c>
      <c r="U272" s="7">
        <v>11</v>
      </c>
      <c r="V272" s="6" t="s">
        <v>36</v>
      </c>
      <c r="W272" s="7">
        <v>12</v>
      </c>
      <c r="X272" s="6" t="s">
        <v>35</v>
      </c>
      <c r="Y272" s="7">
        <v>0.2</v>
      </c>
      <c r="Z272" s="7">
        <v>0.5</v>
      </c>
      <c r="AA272" s="6" t="s">
        <v>314</v>
      </c>
      <c r="AB272" s="6" t="s">
        <v>321</v>
      </c>
      <c r="AD272" s="6" t="s">
        <v>39</v>
      </c>
      <c r="AE272" s="6"/>
      <c r="AG272" s="6" t="s">
        <v>37</v>
      </c>
      <c r="AH272" s="7">
        <v>60</v>
      </c>
      <c r="AI272" s="6" t="s">
        <v>40</v>
      </c>
      <c r="AJ272" s="6" t="s">
        <v>238</v>
      </c>
      <c r="AK272" s="6" t="s">
        <v>35</v>
      </c>
      <c r="AL272" s="6" t="s">
        <v>41</v>
      </c>
      <c r="AM272" s="6" t="s">
        <v>41</v>
      </c>
    </row>
    <row r="273" spans="1:40" x14ac:dyDescent="0.25">
      <c r="A273" s="4">
        <v>45798</v>
      </c>
      <c r="B273" s="6" t="s">
        <v>152</v>
      </c>
      <c r="C273" t="str">
        <f>_xlfn.XLOOKUP(Table3[[#This Row],[station]],station_waterbody_county!A:A, station_waterbody_county!B:B)</f>
        <v>Arichat Harbour</v>
      </c>
      <c r="D273" t="str">
        <f>_xlfn.XLOOKUP(Table3[[#This Row],[station]],station_waterbody_county!A:A, station_waterbody_county!C:C)</f>
        <v>Richmond</v>
      </c>
      <c r="E273" s="6"/>
      <c r="F273" s="6" t="s">
        <v>310</v>
      </c>
      <c r="G273" s="4">
        <v>45582</v>
      </c>
      <c r="H273" s="5">
        <v>0.75486111111111109</v>
      </c>
      <c r="I273" s="4">
        <v>45792</v>
      </c>
      <c r="J273" s="5">
        <v>0.60347222222222219</v>
      </c>
      <c r="K273" s="10"/>
      <c r="O273" s="6" t="s">
        <v>513</v>
      </c>
      <c r="P273" s="6" t="s">
        <v>514</v>
      </c>
      <c r="Q273" s="6" t="s">
        <v>1280</v>
      </c>
      <c r="R273" s="6" t="s">
        <v>1281</v>
      </c>
      <c r="S273" s="6" t="s">
        <v>239</v>
      </c>
      <c r="T273" s="11">
        <v>20804688</v>
      </c>
      <c r="U273" s="7">
        <v>11</v>
      </c>
      <c r="V273" s="6" t="s">
        <v>36</v>
      </c>
      <c r="W273" s="7">
        <v>12</v>
      </c>
      <c r="X273" s="6" t="s">
        <v>35</v>
      </c>
      <c r="Y273" s="7">
        <v>0.2</v>
      </c>
      <c r="Z273" s="7">
        <v>0.5</v>
      </c>
      <c r="AA273" s="6" t="s">
        <v>314</v>
      </c>
      <c r="AB273" s="6" t="s">
        <v>321</v>
      </c>
      <c r="AD273" s="6" t="s">
        <v>39</v>
      </c>
      <c r="AE273" s="6"/>
      <c r="AG273" s="6" t="s">
        <v>37</v>
      </c>
      <c r="AH273" s="7">
        <v>60</v>
      </c>
      <c r="AI273" s="6" t="s">
        <v>40</v>
      </c>
      <c r="AJ273" s="6" t="s">
        <v>238</v>
      </c>
      <c r="AK273" s="6" t="s">
        <v>35</v>
      </c>
      <c r="AL273" s="6" t="s">
        <v>41</v>
      </c>
      <c r="AM273" s="6" t="s">
        <v>41</v>
      </c>
    </row>
    <row r="274" spans="1:40" x14ac:dyDescent="0.25">
      <c r="A274" s="12">
        <v>45596</v>
      </c>
      <c r="B274" s="6" t="s">
        <v>154</v>
      </c>
      <c r="C274" t="str">
        <f>_xlfn.XLOOKUP(Table3[[#This Row],[station]],station_waterbody_county!A:A, station_waterbody_county!B:B)</f>
        <v>Arichat Harbour</v>
      </c>
      <c r="D274" t="str">
        <f>_xlfn.XLOOKUP(Table3[[#This Row],[station]],station_waterbody_county!A:A, station_waterbody_county!C:C)</f>
        <v>Richmond</v>
      </c>
      <c r="E274" s="6" t="s">
        <v>248</v>
      </c>
      <c r="F274" s="6" t="s">
        <v>310</v>
      </c>
      <c r="G274" s="4">
        <v>45476</v>
      </c>
      <c r="H274" s="5">
        <v>0.6118055555555556</v>
      </c>
      <c r="I274" s="4">
        <v>45582</v>
      </c>
      <c r="J274" s="5">
        <v>0.72430555555555554</v>
      </c>
      <c r="K274" s="10"/>
      <c r="O274" s="6" t="s">
        <v>404</v>
      </c>
      <c r="P274" s="6" t="s">
        <v>405</v>
      </c>
      <c r="Q274" s="6" t="s">
        <v>506</v>
      </c>
      <c r="R274" s="6" t="s">
        <v>507</v>
      </c>
      <c r="S274" s="6" t="s">
        <v>239</v>
      </c>
      <c r="T274" s="11">
        <v>21082884</v>
      </c>
      <c r="U274" s="7">
        <v>2</v>
      </c>
      <c r="V274" s="6" t="s">
        <v>36</v>
      </c>
      <c r="W274" s="7">
        <v>17.8</v>
      </c>
      <c r="X274" s="6" t="s">
        <v>35</v>
      </c>
      <c r="Y274" s="7">
        <v>0.4</v>
      </c>
      <c r="Z274" s="7">
        <v>0.5</v>
      </c>
      <c r="AA274" s="6" t="s">
        <v>251</v>
      </c>
      <c r="AB274" s="6" t="s">
        <v>321</v>
      </c>
      <c r="AD274" s="6" t="s">
        <v>39</v>
      </c>
      <c r="AE274" s="6"/>
      <c r="AG274" s="6" t="s">
        <v>37</v>
      </c>
      <c r="AH274" s="7">
        <v>60</v>
      </c>
      <c r="AI274" s="6" t="s">
        <v>40</v>
      </c>
      <c r="AJ274" s="6" t="s">
        <v>238</v>
      </c>
      <c r="AL274" s="6" t="s">
        <v>41</v>
      </c>
      <c r="AM274" s="6" t="s">
        <v>41</v>
      </c>
      <c r="AN274" s="6" t="s">
        <v>492</v>
      </c>
    </row>
    <row r="275" spans="1:40" x14ac:dyDescent="0.25">
      <c r="A275" s="12">
        <v>45596</v>
      </c>
      <c r="B275" s="6" t="s">
        <v>154</v>
      </c>
      <c r="C275" t="str">
        <f>_xlfn.XLOOKUP(Table3[[#This Row],[station]],station_waterbody_county!A:A, station_waterbody_county!B:B)</f>
        <v>Arichat Harbour</v>
      </c>
      <c r="D275" t="str">
        <f>_xlfn.XLOOKUP(Table3[[#This Row],[station]],station_waterbody_county!A:A, station_waterbody_county!C:C)</f>
        <v>Richmond</v>
      </c>
      <c r="E275" s="6" t="s">
        <v>248</v>
      </c>
      <c r="F275" s="6" t="s">
        <v>310</v>
      </c>
      <c r="G275" s="4">
        <v>45476</v>
      </c>
      <c r="H275" s="5">
        <v>0.6118055555555556</v>
      </c>
      <c r="I275" s="4">
        <v>45582</v>
      </c>
      <c r="J275" s="5">
        <v>0.72430555555555554</v>
      </c>
      <c r="K275" s="10"/>
      <c r="O275" s="6" t="s">
        <v>404</v>
      </c>
      <c r="P275" s="6" t="s">
        <v>405</v>
      </c>
      <c r="Q275" s="6" t="s">
        <v>506</v>
      </c>
      <c r="R275" s="6" t="s">
        <v>507</v>
      </c>
      <c r="S275" s="6" t="s">
        <v>240</v>
      </c>
      <c r="T275" s="11">
        <v>671044</v>
      </c>
      <c r="U275" s="7">
        <v>5</v>
      </c>
      <c r="V275" s="6" t="s">
        <v>36</v>
      </c>
      <c r="W275" s="7">
        <v>17.8</v>
      </c>
      <c r="X275" s="6" t="s">
        <v>35</v>
      </c>
      <c r="Y275" s="7">
        <v>0.4</v>
      </c>
      <c r="Z275" s="7">
        <v>0.5</v>
      </c>
      <c r="AA275" s="6" t="s">
        <v>251</v>
      </c>
      <c r="AB275" s="6" t="s">
        <v>321</v>
      </c>
      <c r="AD275" s="6" t="s">
        <v>39</v>
      </c>
      <c r="AE275" s="6"/>
      <c r="AG275" s="6" t="s">
        <v>37</v>
      </c>
      <c r="AH275" s="7">
        <v>60</v>
      </c>
      <c r="AI275" s="6" t="s">
        <v>40</v>
      </c>
      <c r="AJ275" s="6" t="s">
        <v>238</v>
      </c>
      <c r="AL275" s="6" t="s">
        <v>41</v>
      </c>
      <c r="AM275" s="6" t="s">
        <v>41</v>
      </c>
      <c r="AN275" s="6" t="s">
        <v>492</v>
      </c>
    </row>
    <row r="276" spans="1:40" x14ac:dyDescent="0.25">
      <c r="A276" s="12">
        <v>45596</v>
      </c>
      <c r="B276" s="6" t="s">
        <v>154</v>
      </c>
      <c r="C276" t="str">
        <f>_xlfn.XLOOKUP(Table3[[#This Row],[station]],station_waterbody_county!A:A, station_waterbody_county!B:B)</f>
        <v>Arichat Harbour</v>
      </c>
      <c r="D276" t="str">
        <f>_xlfn.XLOOKUP(Table3[[#This Row],[station]],station_waterbody_county!A:A, station_waterbody_county!C:C)</f>
        <v>Richmond</v>
      </c>
      <c r="E276" s="6" t="s">
        <v>248</v>
      </c>
      <c r="F276" s="6" t="s">
        <v>310</v>
      </c>
      <c r="G276" s="4">
        <v>45476</v>
      </c>
      <c r="H276" s="5">
        <v>0.6118055555555556</v>
      </c>
      <c r="I276" s="4">
        <v>45582</v>
      </c>
      <c r="J276" s="5">
        <v>0.72430555555555554</v>
      </c>
      <c r="K276" s="10"/>
      <c r="O276" s="6" t="s">
        <v>404</v>
      </c>
      <c r="P276" s="6" t="s">
        <v>405</v>
      </c>
      <c r="Q276" s="6" t="s">
        <v>506</v>
      </c>
      <c r="R276" s="6" t="s">
        <v>507</v>
      </c>
      <c r="S276" s="6" t="s">
        <v>239</v>
      </c>
      <c r="T276" s="11">
        <v>20495253</v>
      </c>
      <c r="U276" s="7">
        <v>10</v>
      </c>
      <c r="V276" s="6" t="s">
        <v>36</v>
      </c>
      <c r="W276" s="7">
        <v>17.8</v>
      </c>
      <c r="X276" s="6" t="s">
        <v>35</v>
      </c>
      <c r="Y276" s="7">
        <v>0.4</v>
      </c>
      <c r="Z276" s="7">
        <v>0.5</v>
      </c>
      <c r="AA276" s="6" t="s">
        <v>251</v>
      </c>
      <c r="AB276" s="6" t="s">
        <v>321</v>
      </c>
      <c r="AD276" s="6" t="s">
        <v>39</v>
      </c>
      <c r="AE276" s="6"/>
      <c r="AG276" s="6" t="s">
        <v>37</v>
      </c>
      <c r="AH276" s="7">
        <v>60</v>
      </c>
      <c r="AI276" s="6" t="s">
        <v>40</v>
      </c>
      <c r="AJ276" s="6" t="s">
        <v>238</v>
      </c>
      <c r="AL276" s="6" t="s">
        <v>41</v>
      </c>
      <c r="AM276" s="6" t="s">
        <v>41</v>
      </c>
      <c r="AN276" s="6" t="s">
        <v>492</v>
      </c>
    </row>
    <row r="277" spans="1:40" x14ac:dyDescent="0.25">
      <c r="A277" s="12">
        <v>45596</v>
      </c>
      <c r="B277" s="6" t="s">
        <v>154</v>
      </c>
      <c r="C277" t="str">
        <f>_xlfn.XLOOKUP(Table3[[#This Row],[station]],station_waterbody_county!A:A, station_waterbody_county!B:B)</f>
        <v>Arichat Harbour</v>
      </c>
      <c r="D277" t="str">
        <f>_xlfn.XLOOKUP(Table3[[#This Row],[station]],station_waterbody_county!A:A, station_waterbody_county!C:C)</f>
        <v>Richmond</v>
      </c>
      <c r="E277" s="6" t="s">
        <v>248</v>
      </c>
      <c r="F277" s="6" t="s">
        <v>310</v>
      </c>
      <c r="G277" s="4">
        <v>45476</v>
      </c>
      <c r="H277" s="5">
        <v>0.6118055555555556</v>
      </c>
      <c r="I277" s="4">
        <v>45582</v>
      </c>
      <c r="J277" s="5">
        <v>0.72430555555555554</v>
      </c>
      <c r="K277" s="10"/>
      <c r="O277" s="6" t="s">
        <v>404</v>
      </c>
      <c r="P277" s="6" t="s">
        <v>405</v>
      </c>
      <c r="Q277" s="6" t="s">
        <v>506</v>
      </c>
      <c r="R277" s="6" t="s">
        <v>507</v>
      </c>
      <c r="S277" s="6" t="s">
        <v>42</v>
      </c>
      <c r="T277" s="11">
        <v>548574</v>
      </c>
      <c r="U277" s="7">
        <v>15</v>
      </c>
      <c r="V277" s="6" t="s">
        <v>36</v>
      </c>
      <c r="W277" s="7">
        <v>17.8</v>
      </c>
      <c r="X277" s="6" t="s">
        <v>35</v>
      </c>
      <c r="Y277" s="7">
        <v>0.4</v>
      </c>
      <c r="Z277" s="7">
        <v>0.5</v>
      </c>
      <c r="AA277" s="6" t="s">
        <v>251</v>
      </c>
      <c r="AB277" s="6" t="s">
        <v>321</v>
      </c>
      <c r="AD277" s="6" t="s">
        <v>39</v>
      </c>
      <c r="AE277" s="6"/>
      <c r="AG277" s="6" t="s">
        <v>37</v>
      </c>
      <c r="AH277" s="7">
        <v>60</v>
      </c>
      <c r="AI277" s="6" t="s">
        <v>40</v>
      </c>
      <c r="AJ277" s="6" t="s">
        <v>238</v>
      </c>
      <c r="AL277" s="6" t="s">
        <v>41</v>
      </c>
      <c r="AM277" s="6" t="s">
        <v>41</v>
      </c>
      <c r="AN277" s="6" t="s">
        <v>492</v>
      </c>
    </row>
    <row r="278" spans="1:40" hidden="1" x14ac:dyDescent="0.25">
      <c r="A278" s="12">
        <v>45677</v>
      </c>
      <c r="B278" s="6" t="s">
        <v>154</v>
      </c>
      <c r="C278" t="str">
        <f>_xlfn.XLOOKUP(Table3[[#This Row],[station]],station_waterbody_county!A:A, station_waterbody_county!B:B)</f>
        <v>Arichat Harbour</v>
      </c>
      <c r="D278" t="str">
        <f>_xlfn.XLOOKUP(Table3[[#This Row],[station]],station_waterbody_county!A:A, station_waterbody_county!C:C)</f>
        <v>Richmond</v>
      </c>
      <c r="E278" s="6" t="s">
        <v>248</v>
      </c>
      <c r="F278" s="6" t="s">
        <v>310</v>
      </c>
      <c r="G278" s="12">
        <v>45113</v>
      </c>
      <c r="H278" s="5"/>
      <c r="I278" s="4">
        <v>45476</v>
      </c>
      <c r="J278" s="5">
        <v>0.58750000000000002</v>
      </c>
      <c r="K278" s="10">
        <v>45.498269000000001</v>
      </c>
      <c r="L278" s="10">
        <v>-61.019047</v>
      </c>
      <c r="O278" s="6"/>
      <c r="Q278" s="6" t="s">
        <v>398</v>
      </c>
      <c r="R278" s="6" t="s">
        <v>403</v>
      </c>
      <c r="S278" s="6" t="s">
        <v>239</v>
      </c>
      <c r="T278" s="11">
        <v>21444892</v>
      </c>
      <c r="U278" s="7">
        <v>2</v>
      </c>
      <c r="V278" s="6" t="s">
        <v>254</v>
      </c>
      <c r="W278" s="7">
        <v>18</v>
      </c>
      <c r="X278" s="6" t="s">
        <v>35</v>
      </c>
      <c r="Y278" s="7">
        <v>1.6</v>
      </c>
      <c r="Z278" s="7">
        <v>1</v>
      </c>
      <c r="AA278" s="6" t="s">
        <v>243</v>
      </c>
      <c r="AB278" s="6" t="s">
        <v>321</v>
      </c>
      <c r="AD278" s="6" t="s">
        <v>39</v>
      </c>
      <c r="AE278" s="6"/>
      <c r="AG278" s="6" t="s">
        <v>37</v>
      </c>
      <c r="AH278" s="7"/>
      <c r="AI278" s="6" t="s">
        <v>40</v>
      </c>
      <c r="AJ278" s="6" t="s">
        <v>238</v>
      </c>
      <c r="AK278" s="6" t="s">
        <v>35</v>
      </c>
      <c r="AL278" s="6" t="s">
        <v>275</v>
      </c>
      <c r="AM278" s="6" t="s">
        <v>41</v>
      </c>
      <c r="AN278" s="6" t="s">
        <v>491</v>
      </c>
    </row>
    <row r="279" spans="1:40" hidden="1" x14ac:dyDescent="0.25">
      <c r="A279" s="12">
        <v>45677</v>
      </c>
      <c r="B279" s="6" t="s">
        <v>154</v>
      </c>
      <c r="C279" t="str">
        <f>_xlfn.XLOOKUP(Table3[[#This Row],[station]],station_waterbody_county!A:A, station_waterbody_county!B:B)</f>
        <v>Arichat Harbour</v>
      </c>
      <c r="D279" t="str">
        <f>_xlfn.XLOOKUP(Table3[[#This Row],[station]],station_waterbody_county!A:A, station_waterbody_county!C:C)</f>
        <v>Richmond</v>
      </c>
      <c r="E279" s="6" t="s">
        <v>248</v>
      </c>
      <c r="F279" s="6" t="s">
        <v>310</v>
      </c>
      <c r="G279" s="12">
        <v>45113</v>
      </c>
      <c r="H279" s="5"/>
      <c r="I279" s="4">
        <v>45476</v>
      </c>
      <c r="J279" s="5">
        <v>0.58750000000000002</v>
      </c>
      <c r="K279" s="10">
        <v>45.498269000000001</v>
      </c>
      <c r="L279" s="10">
        <v>-61.019047</v>
      </c>
      <c r="O279" s="6"/>
      <c r="Q279" s="6" t="s">
        <v>398</v>
      </c>
      <c r="R279" s="6" t="s">
        <v>403</v>
      </c>
      <c r="S279" s="6" t="s">
        <v>240</v>
      </c>
      <c r="T279" s="11">
        <v>670354</v>
      </c>
      <c r="U279" s="7">
        <v>5</v>
      </c>
      <c r="V279" s="6" t="s">
        <v>254</v>
      </c>
      <c r="W279" s="7">
        <v>18</v>
      </c>
      <c r="X279" s="6" t="s">
        <v>35</v>
      </c>
      <c r="Y279" s="7">
        <v>1.6</v>
      </c>
      <c r="Z279" s="7">
        <v>1</v>
      </c>
      <c r="AA279" s="6" t="s">
        <v>243</v>
      </c>
      <c r="AB279" s="6" t="s">
        <v>321</v>
      </c>
      <c r="AD279" s="6" t="s">
        <v>39</v>
      </c>
      <c r="AE279" s="6"/>
      <c r="AG279" s="6" t="s">
        <v>37</v>
      </c>
      <c r="AH279" s="7"/>
      <c r="AI279" s="6" t="s">
        <v>40</v>
      </c>
      <c r="AJ279" s="6" t="s">
        <v>238</v>
      </c>
      <c r="AK279" s="6" t="s">
        <v>35</v>
      </c>
      <c r="AL279" s="6" t="s">
        <v>275</v>
      </c>
      <c r="AM279" s="6" t="s">
        <v>41</v>
      </c>
      <c r="AN279" s="6" t="s">
        <v>491</v>
      </c>
    </row>
    <row r="280" spans="1:40" hidden="1" x14ac:dyDescent="0.25">
      <c r="A280" s="12">
        <v>45677</v>
      </c>
      <c r="B280" s="6" t="s">
        <v>154</v>
      </c>
      <c r="C280" t="str">
        <f>_xlfn.XLOOKUP(Table3[[#This Row],[station]],station_waterbody_county!A:A, station_waterbody_county!B:B)</f>
        <v>Arichat Harbour</v>
      </c>
      <c r="D280" t="str">
        <f>_xlfn.XLOOKUP(Table3[[#This Row],[station]],station_waterbody_county!A:A, station_waterbody_county!C:C)</f>
        <v>Richmond</v>
      </c>
      <c r="E280" s="6" t="s">
        <v>248</v>
      </c>
      <c r="F280" s="6" t="s">
        <v>310</v>
      </c>
      <c r="G280" s="12">
        <v>45113</v>
      </c>
      <c r="H280" s="5"/>
      <c r="I280" s="4">
        <v>45476</v>
      </c>
      <c r="J280" s="5">
        <v>0.58750000000000002</v>
      </c>
      <c r="K280" s="10">
        <v>45.498269000000001</v>
      </c>
      <c r="L280" s="10">
        <v>-61.019047</v>
      </c>
      <c r="O280" s="6"/>
      <c r="Q280" s="6" t="s">
        <v>398</v>
      </c>
      <c r="R280" s="6" t="s">
        <v>403</v>
      </c>
      <c r="S280" s="6" t="s">
        <v>239</v>
      </c>
      <c r="T280" s="11">
        <v>21082880</v>
      </c>
      <c r="U280" s="7">
        <v>10</v>
      </c>
      <c r="V280" s="6" t="s">
        <v>254</v>
      </c>
      <c r="W280" s="7">
        <v>18</v>
      </c>
      <c r="X280" s="6" t="s">
        <v>35</v>
      </c>
      <c r="Y280" s="7">
        <v>1.6</v>
      </c>
      <c r="Z280" s="7">
        <v>1</v>
      </c>
      <c r="AA280" s="6" t="s">
        <v>243</v>
      </c>
      <c r="AB280" s="6" t="s">
        <v>321</v>
      </c>
      <c r="AD280" s="6" t="s">
        <v>39</v>
      </c>
      <c r="AE280" s="6"/>
      <c r="AG280" s="6" t="s">
        <v>37</v>
      </c>
      <c r="AH280" s="7"/>
      <c r="AI280" s="6" t="s">
        <v>40</v>
      </c>
      <c r="AJ280" s="6" t="s">
        <v>238</v>
      </c>
      <c r="AK280" s="6" t="s">
        <v>35</v>
      </c>
      <c r="AL280" s="6" t="s">
        <v>275</v>
      </c>
      <c r="AM280" s="6" t="s">
        <v>41</v>
      </c>
      <c r="AN280" s="6" t="s">
        <v>491</v>
      </c>
    </row>
    <row r="281" spans="1:40" hidden="1" x14ac:dyDescent="0.25">
      <c r="A281" s="12">
        <v>45677</v>
      </c>
      <c r="B281" s="6" t="s">
        <v>154</v>
      </c>
      <c r="C281" t="str">
        <f>_xlfn.XLOOKUP(Table3[[#This Row],[station]],station_waterbody_county!A:A, station_waterbody_county!B:B)</f>
        <v>Arichat Harbour</v>
      </c>
      <c r="D281" t="str">
        <f>_xlfn.XLOOKUP(Table3[[#This Row],[station]],station_waterbody_county!A:A, station_waterbody_county!C:C)</f>
        <v>Richmond</v>
      </c>
      <c r="E281" s="6" t="s">
        <v>248</v>
      </c>
      <c r="F281" s="6" t="s">
        <v>310</v>
      </c>
      <c r="G281" s="12">
        <v>45113</v>
      </c>
      <c r="H281" s="5"/>
      <c r="I281" s="4">
        <v>45476</v>
      </c>
      <c r="J281" s="5">
        <v>0.58750000000000002</v>
      </c>
      <c r="K281" s="10">
        <v>45.498269000000001</v>
      </c>
      <c r="L281" s="10">
        <v>-61.019047</v>
      </c>
      <c r="O281" s="6"/>
      <c r="Q281" s="6" t="s">
        <v>398</v>
      </c>
      <c r="R281" s="6" t="s">
        <v>403</v>
      </c>
      <c r="S281" s="6" t="s">
        <v>42</v>
      </c>
      <c r="T281" s="11">
        <v>547096</v>
      </c>
      <c r="U281" s="7">
        <v>15</v>
      </c>
      <c r="V281" s="6" t="s">
        <v>254</v>
      </c>
      <c r="W281" s="7">
        <v>18</v>
      </c>
      <c r="X281" s="6" t="s">
        <v>35</v>
      </c>
      <c r="Y281" s="7">
        <v>1.6</v>
      </c>
      <c r="Z281" s="7">
        <v>1</v>
      </c>
      <c r="AA281" s="6" t="s">
        <v>243</v>
      </c>
      <c r="AB281" s="6" t="s">
        <v>321</v>
      </c>
      <c r="AD281" s="6" t="s">
        <v>39</v>
      </c>
      <c r="AE281" s="6"/>
      <c r="AG281" s="6" t="s">
        <v>37</v>
      </c>
      <c r="AH281" s="7"/>
      <c r="AI281" s="6" t="s">
        <v>40</v>
      </c>
      <c r="AJ281" s="6" t="s">
        <v>238</v>
      </c>
      <c r="AK281" s="6" t="s">
        <v>35</v>
      </c>
      <c r="AL281" s="6" t="s">
        <v>275</v>
      </c>
      <c r="AM281" s="6" t="s">
        <v>41</v>
      </c>
      <c r="AN281" s="6" t="s">
        <v>491</v>
      </c>
    </row>
    <row r="282" spans="1:40" x14ac:dyDescent="0.25">
      <c r="A282" s="4">
        <v>45798</v>
      </c>
      <c r="B282" s="6" t="s">
        <v>154</v>
      </c>
      <c r="C282" t="str">
        <f>_xlfn.XLOOKUP(Table3[[#This Row],[station]],station_waterbody_county!A:A, station_waterbody_county!B:B)</f>
        <v>Arichat Harbour</v>
      </c>
      <c r="D282" t="str">
        <f>_xlfn.XLOOKUP(Table3[[#This Row],[station]],station_waterbody_county!A:A, station_waterbody_county!C:C)</f>
        <v>Richmond</v>
      </c>
      <c r="E282" s="6" t="s">
        <v>508</v>
      </c>
      <c r="F282" s="6" t="s">
        <v>310</v>
      </c>
      <c r="G282" s="4">
        <v>45582</v>
      </c>
      <c r="H282" s="5">
        <v>0.73611111111111116</v>
      </c>
      <c r="I282" s="4">
        <v>45792</v>
      </c>
      <c r="J282" s="5">
        <v>0.58888888888888891</v>
      </c>
      <c r="K282" s="10"/>
      <c r="O282" s="6" t="s">
        <v>404</v>
      </c>
      <c r="P282" s="6" t="s">
        <v>509</v>
      </c>
      <c r="Q282" s="6" t="s">
        <v>1282</v>
      </c>
      <c r="R282" s="6" t="s">
        <v>1283</v>
      </c>
      <c r="S282" s="6" t="s">
        <v>239</v>
      </c>
      <c r="T282" s="11">
        <v>21650142</v>
      </c>
      <c r="U282" s="7">
        <v>2</v>
      </c>
      <c r="V282" s="6" t="s">
        <v>36</v>
      </c>
      <c r="W282" s="7">
        <v>16</v>
      </c>
      <c r="X282" s="6" t="s">
        <v>35</v>
      </c>
      <c r="Y282" s="7">
        <v>0.2</v>
      </c>
      <c r="Z282" s="7">
        <v>1</v>
      </c>
      <c r="AA282" s="6" t="s">
        <v>314</v>
      </c>
      <c r="AB282" s="6" t="s">
        <v>321</v>
      </c>
      <c r="AD282" s="6" t="s">
        <v>39</v>
      </c>
      <c r="AE282" s="6"/>
      <c r="AG282" s="6" t="s">
        <v>37</v>
      </c>
      <c r="AH282" s="7">
        <v>60</v>
      </c>
      <c r="AI282" s="6" t="s">
        <v>40</v>
      </c>
      <c r="AJ282" s="6" t="s">
        <v>238</v>
      </c>
      <c r="AK282" s="6" t="s">
        <v>35</v>
      </c>
      <c r="AL282" s="6" t="s">
        <v>41</v>
      </c>
      <c r="AM282" s="6" t="s">
        <v>41</v>
      </c>
    </row>
    <row r="283" spans="1:40" x14ac:dyDescent="0.25">
      <c r="A283" s="4">
        <v>45798</v>
      </c>
      <c r="B283" s="6" t="s">
        <v>154</v>
      </c>
      <c r="C283" t="str">
        <f>_xlfn.XLOOKUP(Table3[[#This Row],[station]],station_waterbody_county!A:A, station_waterbody_county!B:B)</f>
        <v>Arichat Harbour</v>
      </c>
      <c r="D283" t="str">
        <f>_xlfn.XLOOKUP(Table3[[#This Row],[station]],station_waterbody_county!A:A, station_waterbody_county!C:C)</f>
        <v>Richmond</v>
      </c>
      <c r="E283" s="6" t="s">
        <v>508</v>
      </c>
      <c r="F283" s="6" t="s">
        <v>310</v>
      </c>
      <c r="G283" s="4">
        <v>45582</v>
      </c>
      <c r="H283" s="5">
        <v>0.73611111111111116</v>
      </c>
      <c r="I283" s="4">
        <v>45792</v>
      </c>
      <c r="J283" s="5">
        <v>0.58888888888888891</v>
      </c>
      <c r="K283" s="10"/>
      <c r="O283" s="6" t="s">
        <v>404</v>
      </c>
      <c r="P283" s="6" t="s">
        <v>509</v>
      </c>
      <c r="Q283" s="6" t="s">
        <v>1282</v>
      </c>
      <c r="R283" s="6" t="s">
        <v>1283</v>
      </c>
      <c r="S283" s="6" t="s">
        <v>240</v>
      </c>
      <c r="T283" s="11">
        <v>671431</v>
      </c>
      <c r="U283" s="7">
        <v>5</v>
      </c>
      <c r="V283" s="6" t="s">
        <v>36</v>
      </c>
      <c r="W283" s="7">
        <v>16</v>
      </c>
      <c r="X283" s="6" t="s">
        <v>35</v>
      </c>
      <c r="Y283" s="7">
        <v>0.2</v>
      </c>
      <c r="Z283" s="7">
        <v>1</v>
      </c>
      <c r="AA283" s="6" t="s">
        <v>314</v>
      </c>
      <c r="AB283" s="6" t="s">
        <v>321</v>
      </c>
      <c r="AD283" s="6" t="s">
        <v>39</v>
      </c>
      <c r="AE283" s="6"/>
      <c r="AG283" s="6" t="s">
        <v>37</v>
      </c>
      <c r="AH283" s="7">
        <v>60</v>
      </c>
      <c r="AI283" s="6" t="s">
        <v>40</v>
      </c>
      <c r="AJ283" s="6" t="s">
        <v>238</v>
      </c>
      <c r="AK283" s="6" t="s">
        <v>35</v>
      </c>
      <c r="AL283" s="6" t="s">
        <v>41</v>
      </c>
      <c r="AM283" s="6" t="s">
        <v>41</v>
      </c>
      <c r="AN283" s="6" t="s">
        <v>510</v>
      </c>
    </row>
    <row r="284" spans="1:40" x14ac:dyDescent="0.25">
      <c r="A284" s="4">
        <v>45798</v>
      </c>
      <c r="B284" s="6" t="s">
        <v>154</v>
      </c>
      <c r="C284" t="str">
        <f>_xlfn.XLOOKUP(Table3[[#This Row],[station]],station_waterbody_county!A:A, station_waterbody_county!B:B)</f>
        <v>Arichat Harbour</v>
      </c>
      <c r="D284" t="str">
        <f>_xlfn.XLOOKUP(Table3[[#This Row],[station]],station_waterbody_county!A:A, station_waterbody_county!C:C)</f>
        <v>Richmond</v>
      </c>
      <c r="E284" s="6" t="s">
        <v>508</v>
      </c>
      <c r="F284" s="6" t="s">
        <v>310</v>
      </c>
      <c r="G284" s="4">
        <v>45582</v>
      </c>
      <c r="H284" s="5">
        <v>0.73611111111111116</v>
      </c>
      <c r="I284" s="4">
        <v>45792</v>
      </c>
      <c r="J284" s="5">
        <v>0.58888888888888891</v>
      </c>
      <c r="K284" s="10"/>
      <c r="O284" s="6" t="s">
        <v>404</v>
      </c>
      <c r="P284" s="6" t="s">
        <v>509</v>
      </c>
      <c r="Q284" s="6" t="s">
        <v>1282</v>
      </c>
      <c r="R284" s="6" t="s">
        <v>1283</v>
      </c>
      <c r="S284" s="6" t="s">
        <v>239</v>
      </c>
      <c r="T284" s="11">
        <v>21650149</v>
      </c>
      <c r="U284" s="7">
        <v>10</v>
      </c>
      <c r="V284" s="6" t="s">
        <v>36</v>
      </c>
      <c r="W284" s="7">
        <v>16</v>
      </c>
      <c r="X284" s="6" t="s">
        <v>35</v>
      </c>
      <c r="Y284" s="7">
        <v>0.2</v>
      </c>
      <c r="Z284" s="7">
        <v>1</v>
      </c>
      <c r="AA284" s="6" t="s">
        <v>314</v>
      </c>
      <c r="AB284" s="6" t="s">
        <v>321</v>
      </c>
      <c r="AD284" s="6" t="s">
        <v>39</v>
      </c>
      <c r="AE284" s="6"/>
      <c r="AG284" s="6" t="s">
        <v>37</v>
      </c>
      <c r="AH284" s="7">
        <v>60</v>
      </c>
      <c r="AI284" s="6" t="s">
        <v>40</v>
      </c>
      <c r="AJ284" s="6" t="s">
        <v>238</v>
      </c>
      <c r="AK284" s="6" t="s">
        <v>35</v>
      </c>
      <c r="AL284" s="6" t="s">
        <v>41</v>
      </c>
      <c r="AM284" s="6" t="s">
        <v>41</v>
      </c>
    </row>
    <row r="285" spans="1:40" x14ac:dyDescent="0.25">
      <c r="A285" s="4">
        <v>45798</v>
      </c>
      <c r="B285" s="6" t="s">
        <v>154</v>
      </c>
      <c r="C285" t="str">
        <f>_xlfn.XLOOKUP(Table3[[#This Row],[station]],station_waterbody_county!A:A, station_waterbody_county!B:B)</f>
        <v>Arichat Harbour</v>
      </c>
      <c r="D285" t="str">
        <f>_xlfn.XLOOKUP(Table3[[#This Row],[station]],station_waterbody_county!A:A, station_waterbody_county!C:C)</f>
        <v>Richmond</v>
      </c>
      <c r="E285" s="6" t="s">
        <v>508</v>
      </c>
      <c r="F285" s="6" t="s">
        <v>310</v>
      </c>
      <c r="G285" s="4">
        <v>45582</v>
      </c>
      <c r="H285" s="5">
        <v>0.73611111111111116</v>
      </c>
      <c r="I285" s="4">
        <v>45792</v>
      </c>
      <c r="J285" s="5">
        <v>0.58888888888888891</v>
      </c>
      <c r="K285" s="10"/>
      <c r="O285" s="6" t="s">
        <v>404</v>
      </c>
      <c r="P285" s="6" t="s">
        <v>509</v>
      </c>
      <c r="Q285" s="6" t="s">
        <v>1282</v>
      </c>
      <c r="R285" s="6" t="s">
        <v>1283</v>
      </c>
      <c r="S285" s="6" t="s">
        <v>42</v>
      </c>
      <c r="T285" s="11">
        <v>600013</v>
      </c>
      <c r="U285" s="7">
        <v>15</v>
      </c>
      <c r="V285" s="6" t="s">
        <v>36</v>
      </c>
      <c r="W285" s="7">
        <v>16</v>
      </c>
      <c r="X285" s="6" t="s">
        <v>35</v>
      </c>
      <c r="Y285" s="7">
        <v>0.2</v>
      </c>
      <c r="Z285" s="7">
        <v>1</v>
      </c>
      <c r="AA285" s="6" t="s">
        <v>314</v>
      </c>
      <c r="AB285" s="6" t="s">
        <v>321</v>
      </c>
      <c r="AD285" s="6" t="s">
        <v>39</v>
      </c>
      <c r="AE285" s="6"/>
      <c r="AG285" s="6" t="s">
        <v>37</v>
      </c>
      <c r="AH285" s="7">
        <v>60</v>
      </c>
      <c r="AI285" s="6" t="s">
        <v>40</v>
      </c>
      <c r="AJ285" s="6" t="s">
        <v>238</v>
      </c>
      <c r="AK285" s="6" t="s">
        <v>35</v>
      </c>
      <c r="AL285" s="6" t="s">
        <v>41</v>
      </c>
      <c r="AM285" s="6" t="s">
        <v>41</v>
      </c>
    </row>
    <row r="286" spans="1:40" x14ac:dyDescent="0.25">
      <c r="A286" s="4">
        <v>45798</v>
      </c>
      <c r="B286" s="6" t="s">
        <v>154</v>
      </c>
      <c r="C286" t="str">
        <f>_xlfn.XLOOKUP(Table3[[#This Row],[station]],station_waterbody_county!A:A, station_waterbody_county!B:B)</f>
        <v>Arichat Harbour</v>
      </c>
      <c r="D286" t="str">
        <f>_xlfn.XLOOKUP(Table3[[#This Row],[station]],station_waterbody_county!A:A, station_waterbody_county!C:C)</f>
        <v>Richmond</v>
      </c>
      <c r="E286" s="6" t="s">
        <v>508</v>
      </c>
      <c r="F286" s="6" t="s">
        <v>310</v>
      </c>
      <c r="G286" s="4">
        <v>45582</v>
      </c>
      <c r="H286" s="5">
        <v>0.73611111111111116</v>
      </c>
      <c r="I286" s="4">
        <v>45792</v>
      </c>
      <c r="J286" s="5">
        <v>0.58888888888888891</v>
      </c>
      <c r="K286" s="10"/>
      <c r="O286" s="6" t="s">
        <v>404</v>
      </c>
      <c r="P286" s="6" t="s">
        <v>509</v>
      </c>
      <c r="Q286" s="6" t="s">
        <v>1282</v>
      </c>
      <c r="R286" s="6" t="s">
        <v>1283</v>
      </c>
      <c r="S286" s="6" t="s">
        <v>239</v>
      </c>
      <c r="T286" s="11">
        <v>20308044</v>
      </c>
      <c r="U286" s="7">
        <v>15</v>
      </c>
      <c r="V286" s="6" t="s">
        <v>36</v>
      </c>
      <c r="W286" s="7">
        <v>16</v>
      </c>
      <c r="X286" s="6" t="s">
        <v>35</v>
      </c>
      <c r="Y286" s="7">
        <v>0.2</v>
      </c>
      <c r="Z286" s="7">
        <v>1</v>
      </c>
      <c r="AA286" s="6" t="s">
        <v>314</v>
      </c>
      <c r="AB286" s="6" t="s">
        <v>321</v>
      </c>
      <c r="AD286" s="6" t="s">
        <v>39</v>
      </c>
      <c r="AE286" s="6"/>
      <c r="AG286" s="6" t="s">
        <v>37</v>
      </c>
      <c r="AH286" s="7">
        <v>60</v>
      </c>
      <c r="AI286" s="6" t="s">
        <v>40</v>
      </c>
      <c r="AJ286" s="6" t="s">
        <v>238</v>
      </c>
      <c r="AK286" s="6" t="s">
        <v>35</v>
      </c>
      <c r="AL286" s="6" t="s">
        <v>41</v>
      </c>
      <c r="AM286" s="6" t="s">
        <v>41</v>
      </c>
    </row>
    <row r="287" spans="1:40" hidden="1" x14ac:dyDescent="0.25">
      <c r="A287" s="4">
        <v>45798</v>
      </c>
      <c r="B287" s="6" t="s">
        <v>154</v>
      </c>
      <c r="C287" t="str">
        <f>_xlfn.XLOOKUP(Table3[[#This Row],[station]],station_waterbody_county!A:A, station_waterbody_county!B:B)</f>
        <v>Arichat Harbour</v>
      </c>
      <c r="D287" t="str">
        <f>_xlfn.XLOOKUP(Table3[[#This Row],[station]],station_waterbody_county!A:A, station_waterbody_county!C:C)</f>
        <v>Richmond</v>
      </c>
      <c r="E287" s="6"/>
      <c r="F287" s="6" t="s">
        <v>34</v>
      </c>
      <c r="G287" s="12">
        <v>45792</v>
      </c>
      <c r="H287" s="5">
        <v>0.59652777777777777</v>
      </c>
      <c r="I287" s="4"/>
      <c r="J287" s="5"/>
      <c r="K287" s="10"/>
      <c r="O287" s="6" t="s">
        <v>1284</v>
      </c>
      <c r="P287" s="6" t="s">
        <v>1285</v>
      </c>
      <c r="S287" s="6" t="s">
        <v>239</v>
      </c>
      <c r="T287" s="11">
        <v>22055894</v>
      </c>
      <c r="U287" s="7">
        <v>2</v>
      </c>
      <c r="V287" s="6" t="s">
        <v>36</v>
      </c>
      <c r="W287" s="7"/>
      <c r="X287" s="6" t="s">
        <v>35</v>
      </c>
      <c r="Y287" s="7">
        <v>1.7</v>
      </c>
      <c r="Z287" s="7">
        <v>1</v>
      </c>
      <c r="AA287" s="6" t="s">
        <v>251</v>
      </c>
      <c r="AB287" s="6" t="s">
        <v>321</v>
      </c>
      <c r="AD287" s="6" t="s">
        <v>39</v>
      </c>
      <c r="AE287" s="6" t="s">
        <v>40</v>
      </c>
      <c r="AG287" s="6" t="s">
        <v>37</v>
      </c>
      <c r="AH287" s="7">
        <v>60</v>
      </c>
      <c r="AI287" s="6" t="s">
        <v>40</v>
      </c>
      <c r="AJ287" s="6" t="s">
        <v>238</v>
      </c>
      <c r="AL287" s="6" t="s">
        <v>41</v>
      </c>
    </row>
    <row r="288" spans="1:40" hidden="1" x14ac:dyDescent="0.25">
      <c r="A288" s="4">
        <v>45798</v>
      </c>
      <c r="B288" s="6" t="s">
        <v>154</v>
      </c>
      <c r="C288" t="str">
        <f>_xlfn.XLOOKUP(Table3[[#This Row],[station]],station_waterbody_county!A:A, station_waterbody_county!B:B)</f>
        <v>Arichat Harbour</v>
      </c>
      <c r="D288" t="str">
        <f>_xlfn.XLOOKUP(Table3[[#This Row],[station]],station_waterbody_county!A:A, station_waterbody_county!C:C)</f>
        <v>Richmond</v>
      </c>
      <c r="E288" s="6"/>
      <c r="F288" s="6" t="s">
        <v>34</v>
      </c>
      <c r="G288" s="12">
        <v>45792</v>
      </c>
      <c r="H288" s="5">
        <v>0.59652777777777777</v>
      </c>
      <c r="I288" s="4"/>
      <c r="J288" s="5"/>
      <c r="K288" s="10"/>
      <c r="O288" s="6" t="s">
        <v>1284</v>
      </c>
      <c r="P288" s="6" t="s">
        <v>1285</v>
      </c>
      <c r="S288" s="6" t="s">
        <v>240</v>
      </c>
      <c r="T288" s="11">
        <v>675009</v>
      </c>
      <c r="U288" s="7">
        <v>5</v>
      </c>
      <c r="V288" s="6" t="s">
        <v>36</v>
      </c>
      <c r="W288" s="7"/>
      <c r="X288" s="6" t="s">
        <v>35</v>
      </c>
      <c r="Y288" s="7">
        <v>1.7</v>
      </c>
      <c r="Z288" s="7">
        <v>1</v>
      </c>
      <c r="AA288" s="6" t="s">
        <v>251</v>
      </c>
      <c r="AB288" s="6" t="s">
        <v>321</v>
      </c>
      <c r="AD288" s="6" t="s">
        <v>39</v>
      </c>
      <c r="AE288" s="6" t="s">
        <v>40</v>
      </c>
      <c r="AG288" s="6" t="s">
        <v>37</v>
      </c>
      <c r="AH288" s="7">
        <v>60</v>
      </c>
      <c r="AI288" s="6" t="s">
        <v>40</v>
      </c>
      <c r="AJ288" s="6" t="s">
        <v>238</v>
      </c>
      <c r="AL288" s="6" t="s">
        <v>41</v>
      </c>
    </row>
    <row r="289" spans="1:40" hidden="1" x14ac:dyDescent="0.25">
      <c r="A289" s="4">
        <v>45798</v>
      </c>
      <c r="B289" s="6" t="s">
        <v>154</v>
      </c>
      <c r="C289" t="str">
        <f>_xlfn.XLOOKUP(Table3[[#This Row],[station]],station_waterbody_county!A:A, station_waterbody_county!B:B)</f>
        <v>Arichat Harbour</v>
      </c>
      <c r="D289" t="str">
        <f>_xlfn.XLOOKUP(Table3[[#This Row],[station]],station_waterbody_county!A:A, station_waterbody_county!C:C)</f>
        <v>Richmond</v>
      </c>
      <c r="E289" s="6"/>
      <c r="F289" s="6" t="s">
        <v>34</v>
      </c>
      <c r="G289" s="12">
        <v>45792</v>
      </c>
      <c r="H289" s="5">
        <v>0.59652777777777777</v>
      </c>
      <c r="I289" s="4"/>
      <c r="J289" s="5"/>
      <c r="K289" s="10"/>
      <c r="O289" s="6" t="s">
        <v>1284</v>
      </c>
      <c r="P289" s="6" t="s">
        <v>1285</v>
      </c>
      <c r="S289" s="6" t="s">
        <v>239</v>
      </c>
      <c r="T289" s="11">
        <v>22249017</v>
      </c>
      <c r="U289" s="7">
        <v>10</v>
      </c>
      <c r="V289" s="6" t="s">
        <v>36</v>
      </c>
      <c r="W289" s="7"/>
      <c r="X289" s="6" t="s">
        <v>35</v>
      </c>
      <c r="Y289" s="7">
        <v>1.7</v>
      </c>
      <c r="Z289" s="7">
        <v>1</v>
      </c>
      <c r="AA289" s="6" t="s">
        <v>251</v>
      </c>
      <c r="AB289" s="6" t="s">
        <v>321</v>
      </c>
      <c r="AD289" s="6" t="s">
        <v>39</v>
      </c>
      <c r="AE289" s="6" t="s">
        <v>40</v>
      </c>
      <c r="AG289" s="6" t="s">
        <v>37</v>
      </c>
      <c r="AH289" s="7">
        <v>60</v>
      </c>
      <c r="AI289" s="6" t="s">
        <v>40</v>
      </c>
      <c r="AJ289" s="6" t="s">
        <v>238</v>
      </c>
      <c r="AL289" s="6" t="s">
        <v>41</v>
      </c>
    </row>
    <row r="290" spans="1:40" hidden="1" x14ac:dyDescent="0.25">
      <c r="A290" s="4">
        <v>45798</v>
      </c>
      <c r="B290" s="6" t="s">
        <v>154</v>
      </c>
      <c r="C290" t="str">
        <f>_xlfn.XLOOKUP(Table3[[#This Row],[station]],station_waterbody_county!A:A, station_waterbody_county!B:B)</f>
        <v>Arichat Harbour</v>
      </c>
      <c r="D290" t="str">
        <f>_xlfn.XLOOKUP(Table3[[#This Row],[station]],station_waterbody_county!A:A, station_waterbody_county!C:C)</f>
        <v>Richmond</v>
      </c>
      <c r="E290" s="6"/>
      <c r="F290" s="6" t="s">
        <v>34</v>
      </c>
      <c r="G290" s="12">
        <v>45792</v>
      </c>
      <c r="H290" s="5">
        <v>0.59652777777777777</v>
      </c>
      <c r="I290" s="4"/>
      <c r="J290" s="5"/>
      <c r="K290" s="10"/>
      <c r="O290" s="6" t="s">
        <v>1284</v>
      </c>
      <c r="P290" s="6" t="s">
        <v>1285</v>
      </c>
      <c r="S290" s="6" t="s">
        <v>42</v>
      </c>
      <c r="T290" s="11">
        <v>548566</v>
      </c>
      <c r="U290" s="7">
        <v>15</v>
      </c>
      <c r="V290" s="6" t="s">
        <v>36</v>
      </c>
      <c r="W290" s="7"/>
      <c r="X290" s="6" t="s">
        <v>35</v>
      </c>
      <c r="Y290" s="7">
        <v>1.7</v>
      </c>
      <c r="Z290" s="7">
        <v>1</v>
      </c>
      <c r="AA290" s="6" t="s">
        <v>251</v>
      </c>
      <c r="AB290" s="6" t="s">
        <v>321</v>
      </c>
      <c r="AD290" s="6" t="s">
        <v>39</v>
      </c>
      <c r="AE290" s="6" t="s">
        <v>40</v>
      </c>
      <c r="AG290" s="6" t="s">
        <v>37</v>
      </c>
      <c r="AH290" s="7">
        <v>60</v>
      </c>
      <c r="AI290" s="6" t="s">
        <v>40</v>
      </c>
      <c r="AJ290" s="6" t="s">
        <v>238</v>
      </c>
      <c r="AL290" s="6" t="s">
        <v>41</v>
      </c>
    </row>
    <row r="291" spans="1:40" hidden="1" x14ac:dyDescent="0.25">
      <c r="A291" s="4">
        <v>45798</v>
      </c>
      <c r="B291" s="6" t="s">
        <v>154</v>
      </c>
      <c r="C291" t="str">
        <f>_xlfn.XLOOKUP(Table3[[#This Row],[station]],station_waterbody_county!A:A, station_waterbody_county!B:B)</f>
        <v>Arichat Harbour</v>
      </c>
      <c r="D291" t="str">
        <f>_xlfn.XLOOKUP(Table3[[#This Row],[station]],station_waterbody_county!A:A, station_waterbody_county!C:C)</f>
        <v>Richmond</v>
      </c>
      <c r="E291" s="6"/>
      <c r="F291" s="6" t="s">
        <v>34</v>
      </c>
      <c r="G291" s="12">
        <v>45792</v>
      </c>
      <c r="H291" s="5">
        <v>0.59652777777777777</v>
      </c>
      <c r="I291" s="4"/>
      <c r="J291" s="5"/>
      <c r="K291" s="10"/>
      <c r="O291" s="6" t="s">
        <v>1284</v>
      </c>
      <c r="P291" s="6" t="s">
        <v>1285</v>
      </c>
      <c r="S291" s="6" t="s">
        <v>239</v>
      </c>
      <c r="T291" s="11">
        <v>22249020</v>
      </c>
      <c r="U291" s="7">
        <v>15</v>
      </c>
      <c r="V291" s="6" t="s">
        <v>36</v>
      </c>
      <c r="W291" s="7"/>
      <c r="X291" s="6" t="s">
        <v>35</v>
      </c>
      <c r="Y291" s="7">
        <v>1.7</v>
      </c>
      <c r="Z291" s="7">
        <v>1</v>
      </c>
      <c r="AA291" s="6" t="s">
        <v>251</v>
      </c>
      <c r="AB291" s="6" t="s">
        <v>321</v>
      </c>
      <c r="AD291" s="6" t="s">
        <v>39</v>
      </c>
      <c r="AE291" s="6" t="s">
        <v>40</v>
      </c>
      <c r="AG291" s="6" t="s">
        <v>37</v>
      </c>
      <c r="AH291" s="7">
        <v>60</v>
      </c>
      <c r="AI291" s="6" t="s">
        <v>40</v>
      </c>
      <c r="AJ291" s="6" t="s">
        <v>238</v>
      </c>
      <c r="AL291" s="6" t="s">
        <v>41</v>
      </c>
    </row>
    <row r="292" spans="1:40" hidden="1" x14ac:dyDescent="0.25">
      <c r="A292" s="12">
        <v>45678</v>
      </c>
      <c r="B292" s="6" t="s">
        <v>75</v>
      </c>
      <c r="C292" t="str">
        <f>_xlfn.XLOOKUP(Table3[[#This Row],[station]],station_waterbody_county!A:A, station_waterbody_county!B:B)</f>
        <v>Lawrencetown Beach</v>
      </c>
      <c r="D292" t="str">
        <f>_xlfn.XLOOKUP(Table3[[#This Row],[station]],station_waterbody_county!A:A, station_waterbody_county!C:C)</f>
        <v>Halifax</v>
      </c>
      <c r="E292" s="6"/>
      <c r="F292" s="6" t="s">
        <v>310</v>
      </c>
      <c r="G292" s="12">
        <v>45160</v>
      </c>
      <c r="H292" s="5"/>
      <c r="I292" s="4">
        <v>45547</v>
      </c>
      <c r="J292" s="5">
        <v>0.48819444444444443</v>
      </c>
      <c r="K292" s="10">
        <v>44.634323000000002</v>
      </c>
      <c r="L292" s="10">
        <v>-63.337209999999999</v>
      </c>
      <c r="O292" s="6"/>
      <c r="Q292" s="6" t="s">
        <v>464</v>
      </c>
      <c r="R292" s="6" t="s">
        <v>465</v>
      </c>
      <c r="S292" s="6" t="s">
        <v>239</v>
      </c>
      <c r="T292" s="11">
        <v>21650149</v>
      </c>
      <c r="U292" s="7">
        <v>2</v>
      </c>
      <c r="V292" s="6" t="s">
        <v>36</v>
      </c>
      <c r="W292" s="7">
        <v>10.1</v>
      </c>
      <c r="X292" s="6" t="s">
        <v>35</v>
      </c>
      <c r="Y292" s="7"/>
      <c r="Z292" s="7">
        <v>1</v>
      </c>
      <c r="AA292" s="6"/>
      <c r="AB292" s="6" t="s">
        <v>321</v>
      </c>
      <c r="AD292" s="6" t="s">
        <v>39</v>
      </c>
      <c r="AE292" s="6"/>
      <c r="AG292" s="6" t="s">
        <v>260</v>
      </c>
      <c r="AH292" s="7"/>
      <c r="AI292" s="6" t="s">
        <v>40</v>
      </c>
      <c r="AJ292" s="6" t="s">
        <v>238</v>
      </c>
      <c r="AL292" s="6" t="s">
        <v>284</v>
      </c>
      <c r="AM292" s="6" t="s">
        <v>41</v>
      </c>
    </row>
    <row r="293" spans="1:40" hidden="1" x14ac:dyDescent="0.25">
      <c r="A293" s="12">
        <v>45678</v>
      </c>
      <c r="B293" s="6" t="s">
        <v>75</v>
      </c>
      <c r="C293" t="str">
        <f>_xlfn.XLOOKUP(Table3[[#This Row],[station]],station_waterbody_county!A:A, station_waterbody_county!B:B)</f>
        <v>Lawrencetown Beach</v>
      </c>
      <c r="D293" t="str">
        <f>_xlfn.XLOOKUP(Table3[[#This Row],[station]],station_waterbody_county!A:A, station_waterbody_county!C:C)</f>
        <v>Halifax</v>
      </c>
      <c r="E293" s="6"/>
      <c r="F293" s="6" t="s">
        <v>310</v>
      </c>
      <c r="G293" s="12">
        <v>45160</v>
      </c>
      <c r="H293" s="5"/>
      <c r="I293" s="4">
        <v>45547</v>
      </c>
      <c r="J293" s="5">
        <v>0.48819444444444443</v>
      </c>
      <c r="K293" s="10">
        <v>44.634323000000002</v>
      </c>
      <c r="L293" s="10">
        <v>-63.337209999999999</v>
      </c>
      <c r="O293" s="6"/>
      <c r="Q293" s="6" t="s">
        <v>464</v>
      </c>
      <c r="R293" s="6" t="s">
        <v>465</v>
      </c>
      <c r="S293" s="6" t="s">
        <v>240</v>
      </c>
      <c r="T293" s="11">
        <v>670286</v>
      </c>
      <c r="U293" s="7">
        <v>5</v>
      </c>
      <c r="V293" s="6" t="s">
        <v>36</v>
      </c>
      <c r="W293" s="7">
        <v>10.1</v>
      </c>
      <c r="X293" s="6" t="s">
        <v>35</v>
      </c>
      <c r="Y293" s="7"/>
      <c r="Z293" s="7">
        <v>1</v>
      </c>
      <c r="AA293" s="6"/>
      <c r="AB293" s="6" t="s">
        <v>321</v>
      </c>
      <c r="AD293" s="6" t="s">
        <v>39</v>
      </c>
      <c r="AE293" s="6"/>
      <c r="AG293" s="6" t="s">
        <v>260</v>
      </c>
      <c r="AH293" s="7"/>
      <c r="AI293" s="6" t="s">
        <v>40</v>
      </c>
      <c r="AJ293" s="6" t="s">
        <v>238</v>
      </c>
      <c r="AL293" s="6" t="s">
        <v>284</v>
      </c>
      <c r="AM293" s="6" t="s">
        <v>41</v>
      </c>
    </row>
    <row r="294" spans="1:40" hidden="1" x14ac:dyDescent="0.25">
      <c r="A294" s="12">
        <v>45678</v>
      </c>
      <c r="B294" s="6" t="s">
        <v>75</v>
      </c>
      <c r="C294" t="str">
        <f>_xlfn.XLOOKUP(Table3[[#This Row],[station]],station_waterbody_county!A:A, station_waterbody_county!B:B)</f>
        <v>Lawrencetown Beach</v>
      </c>
      <c r="D294" t="str">
        <f>_xlfn.XLOOKUP(Table3[[#This Row],[station]],station_waterbody_county!A:A, station_waterbody_county!C:C)</f>
        <v>Halifax</v>
      </c>
      <c r="E294" s="6"/>
      <c r="F294" s="6" t="s">
        <v>310</v>
      </c>
      <c r="G294" s="12">
        <v>45160</v>
      </c>
      <c r="H294" s="5"/>
      <c r="I294" s="4">
        <v>45547</v>
      </c>
      <c r="J294" s="5">
        <v>0.48819444444444443</v>
      </c>
      <c r="K294" s="10">
        <v>44.634323000000002</v>
      </c>
      <c r="L294" s="10">
        <v>-63.337209999999999</v>
      </c>
      <c r="O294" s="6"/>
      <c r="Q294" s="6" t="s">
        <v>464</v>
      </c>
      <c r="R294" s="6" t="s">
        <v>465</v>
      </c>
      <c r="S294" s="6" t="s">
        <v>42</v>
      </c>
      <c r="T294" s="11">
        <v>548593</v>
      </c>
      <c r="U294" s="7">
        <v>10</v>
      </c>
      <c r="V294" s="6" t="s">
        <v>36</v>
      </c>
      <c r="W294" s="7">
        <v>10.1</v>
      </c>
      <c r="X294" s="6" t="s">
        <v>35</v>
      </c>
      <c r="Y294" s="7"/>
      <c r="Z294" s="7">
        <v>1</v>
      </c>
      <c r="AA294" s="6"/>
      <c r="AB294" s="6" t="s">
        <v>321</v>
      </c>
      <c r="AD294" s="6" t="s">
        <v>39</v>
      </c>
      <c r="AE294" s="6"/>
      <c r="AG294" s="6" t="s">
        <v>260</v>
      </c>
      <c r="AH294" s="7"/>
      <c r="AI294" s="6" t="s">
        <v>40</v>
      </c>
      <c r="AJ294" s="6" t="s">
        <v>238</v>
      </c>
      <c r="AL294" s="6" t="s">
        <v>284</v>
      </c>
      <c r="AM294" s="6" t="s">
        <v>41</v>
      </c>
    </row>
    <row r="295" spans="1:40" hidden="1" x14ac:dyDescent="0.25">
      <c r="A295" s="12">
        <v>45678</v>
      </c>
      <c r="B295" s="6" t="s">
        <v>157</v>
      </c>
      <c r="C295" t="str">
        <f>_xlfn.XLOOKUP(Table3[[#This Row],[station]],station_waterbody_county!A:A, station_waterbody_county!B:B)</f>
        <v>Sandy Bay</v>
      </c>
      <c r="D295" t="str">
        <f>_xlfn.XLOOKUP(Table3[[#This Row],[station]],station_waterbody_county!A:A, station_waterbody_county!C:C)</f>
        <v>Queens</v>
      </c>
      <c r="E295" s="6"/>
      <c r="F295" s="6" t="s">
        <v>311</v>
      </c>
      <c r="G295" s="12">
        <v>45120</v>
      </c>
      <c r="H295" s="5"/>
      <c r="I295" s="4">
        <v>45495</v>
      </c>
      <c r="J295" s="5">
        <v>0.82291666666666663</v>
      </c>
      <c r="K295" s="10">
        <v>43.799374</v>
      </c>
      <c r="L295" s="10">
        <v>-64.879024000000001</v>
      </c>
      <c r="O295" s="6"/>
      <c r="Q295" s="6" t="s">
        <v>419</v>
      </c>
      <c r="R295" s="6" t="s">
        <v>420</v>
      </c>
      <c r="S295" s="6" t="s">
        <v>240</v>
      </c>
      <c r="T295" s="11">
        <v>671307</v>
      </c>
      <c r="U295" s="7">
        <v>5</v>
      </c>
      <c r="V295" s="6" t="s">
        <v>36</v>
      </c>
      <c r="W295" s="7">
        <v>15.7</v>
      </c>
      <c r="X295" s="6" t="s">
        <v>35</v>
      </c>
      <c r="Y295" s="7"/>
      <c r="Z295" s="7">
        <v>1</v>
      </c>
      <c r="AA295" s="6"/>
      <c r="AB295" s="6" t="s">
        <v>321</v>
      </c>
      <c r="AD295" s="6" t="s">
        <v>39</v>
      </c>
      <c r="AE295" s="6"/>
      <c r="AG295" s="6" t="s">
        <v>37</v>
      </c>
      <c r="AH295" s="7"/>
      <c r="AI295" s="6" t="s">
        <v>40</v>
      </c>
      <c r="AJ295" s="6" t="s">
        <v>238</v>
      </c>
      <c r="AK295" s="6" t="s">
        <v>35</v>
      </c>
      <c r="AL295" s="6" t="s">
        <v>283</v>
      </c>
      <c r="AM295" s="6" t="s">
        <v>41</v>
      </c>
    </row>
    <row r="296" spans="1:40" hidden="1" x14ac:dyDescent="0.25">
      <c r="A296" s="12">
        <v>45678</v>
      </c>
      <c r="B296" s="6" t="s">
        <v>157</v>
      </c>
      <c r="C296" t="str">
        <f>_xlfn.XLOOKUP(Table3[[#This Row],[station]],station_waterbody_county!A:A, station_waterbody_county!B:B)</f>
        <v>Sandy Bay</v>
      </c>
      <c r="D296" t="str">
        <f>_xlfn.XLOOKUP(Table3[[#This Row],[station]],station_waterbody_county!A:A, station_waterbody_county!C:C)</f>
        <v>Queens</v>
      </c>
      <c r="E296" s="6"/>
      <c r="F296" s="6" t="s">
        <v>310</v>
      </c>
      <c r="G296" s="12">
        <v>45120</v>
      </c>
      <c r="H296" s="5"/>
      <c r="I296" s="4">
        <v>45495</v>
      </c>
      <c r="J296" s="5">
        <v>0.82291666666666663</v>
      </c>
      <c r="K296" s="10">
        <v>43.799374</v>
      </c>
      <c r="L296" s="10">
        <v>-64.879024000000001</v>
      </c>
      <c r="O296" s="6"/>
      <c r="Q296" s="6" t="s">
        <v>419</v>
      </c>
      <c r="R296" s="6" t="s">
        <v>420</v>
      </c>
      <c r="S296" s="6" t="s">
        <v>239</v>
      </c>
      <c r="T296" s="11">
        <v>21465809</v>
      </c>
      <c r="U296" s="7">
        <v>2</v>
      </c>
      <c r="V296" s="6" t="s">
        <v>36</v>
      </c>
      <c r="W296" s="7">
        <v>15.7</v>
      </c>
      <c r="X296" s="6" t="s">
        <v>35</v>
      </c>
      <c r="Y296" s="7"/>
      <c r="Z296" s="7">
        <v>1</v>
      </c>
      <c r="AA296" s="6"/>
      <c r="AB296" s="6" t="s">
        <v>321</v>
      </c>
      <c r="AD296" s="6" t="s">
        <v>39</v>
      </c>
      <c r="AE296" s="6"/>
      <c r="AG296" s="6" t="s">
        <v>37</v>
      </c>
      <c r="AH296" s="7"/>
      <c r="AI296" s="6" t="s">
        <v>40</v>
      </c>
      <c r="AJ296" s="6" t="s">
        <v>238</v>
      </c>
      <c r="AK296" s="6" t="s">
        <v>35</v>
      </c>
      <c r="AL296" s="6" t="s">
        <v>283</v>
      </c>
      <c r="AM296" s="6" t="s">
        <v>41</v>
      </c>
    </row>
    <row r="297" spans="1:40" hidden="1" x14ac:dyDescent="0.25">
      <c r="A297" s="12">
        <v>45678</v>
      </c>
      <c r="B297" s="6" t="s">
        <v>157</v>
      </c>
      <c r="C297" t="str">
        <f>_xlfn.XLOOKUP(Table3[[#This Row],[station]],station_waterbody_county!A:A, station_waterbody_county!B:B)</f>
        <v>Sandy Bay</v>
      </c>
      <c r="D297" t="str">
        <f>_xlfn.XLOOKUP(Table3[[#This Row],[station]],station_waterbody_county!A:A, station_waterbody_county!C:C)</f>
        <v>Queens</v>
      </c>
      <c r="E297" s="6"/>
      <c r="F297" s="6" t="s">
        <v>310</v>
      </c>
      <c r="G297" s="12">
        <v>45120</v>
      </c>
      <c r="H297" s="5"/>
      <c r="I297" s="4">
        <v>45495</v>
      </c>
      <c r="J297" s="5">
        <v>0.82291666666666663</v>
      </c>
      <c r="K297" s="10">
        <v>43.799374</v>
      </c>
      <c r="L297" s="10">
        <v>-64.879024000000001</v>
      </c>
      <c r="O297" s="6"/>
      <c r="Q297" s="6" t="s">
        <v>419</v>
      </c>
      <c r="R297" s="6" t="s">
        <v>420</v>
      </c>
      <c r="S297" s="6" t="s">
        <v>239</v>
      </c>
      <c r="T297" s="11">
        <v>21650142</v>
      </c>
      <c r="U297" s="7">
        <v>10</v>
      </c>
      <c r="V297" s="6" t="s">
        <v>36</v>
      </c>
      <c r="W297" s="7">
        <v>15.7</v>
      </c>
      <c r="X297" s="6" t="s">
        <v>35</v>
      </c>
      <c r="Y297" s="7"/>
      <c r="Z297" s="7">
        <v>1</v>
      </c>
      <c r="AA297" s="6"/>
      <c r="AB297" s="6" t="s">
        <v>321</v>
      </c>
      <c r="AD297" s="6" t="s">
        <v>39</v>
      </c>
      <c r="AE297" s="6"/>
      <c r="AG297" s="6" t="s">
        <v>37</v>
      </c>
      <c r="AH297" s="7"/>
      <c r="AI297" s="6" t="s">
        <v>40</v>
      </c>
      <c r="AJ297" s="6" t="s">
        <v>238</v>
      </c>
      <c r="AK297" s="6" t="s">
        <v>35</v>
      </c>
      <c r="AL297" s="6" t="s">
        <v>283</v>
      </c>
      <c r="AM297" s="6" t="s">
        <v>41</v>
      </c>
    </row>
    <row r="298" spans="1:40" hidden="1" x14ac:dyDescent="0.25">
      <c r="A298" s="12">
        <v>45678</v>
      </c>
      <c r="B298" s="6" t="s">
        <v>157</v>
      </c>
      <c r="C298" t="str">
        <f>_xlfn.XLOOKUP(Table3[[#This Row],[station]],station_waterbody_county!A:A, station_waterbody_county!B:B)</f>
        <v>Sandy Bay</v>
      </c>
      <c r="D298" t="str">
        <f>_xlfn.XLOOKUP(Table3[[#This Row],[station]],station_waterbody_county!A:A, station_waterbody_county!C:C)</f>
        <v>Queens</v>
      </c>
      <c r="E298" s="6"/>
      <c r="F298" s="6" t="s">
        <v>310</v>
      </c>
      <c r="G298" s="12">
        <v>45120</v>
      </c>
      <c r="H298" s="5"/>
      <c r="I298" s="4">
        <v>45495</v>
      </c>
      <c r="J298" s="5">
        <v>0.82291666666666663</v>
      </c>
      <c r="K298" s="10">
        <v>43.799374</v>
      </c>
      <c r="L298" s="10">
        <v>-64.879024000000001</v>
      </c>
      <c r="O298" s="6"/>
      <c r="Q298" s="6" t="s">
        <v>419</v>
      </c>
      <c r="R298" s="6" t="s">
        <v>420</v>
      </c>
      <c r="S298" s="6" t="s">
        <v>42</v>
      </c>
      <c r="T298" s="11">
        <v>551263</v>
      </c>
      <c r="U298" s="7">
        <v>15</v>
      </c>
      <c r="V298" s="6" t="s">
        <v>36</v>
      </c>
      <c r="W298" s="7">
        <v>15.7</v>
      </c>
      <c r="X298" s="6" t="s">
        <v>35</v>
      </c>
      <c r="Y298" s="7"/>
      <c r="Z298" s="7">
        <v>1</v>
      </c>
      <c r="AA298" s="6"/>
      <c r="AB298" s="6" t="s">
        <v>321</v>
      </c>
      <c r="AD298" s="6" t="s">
        <v>39</v>
      </c>
      <c r="AE298" s="6"/>
      <c r="AG298" s="6" t="s">
        <v>37</v>
      </c>
      <c r="AH298" s="7"/>
      <c r="AI298" s="6" t="s">
        <v>40</v>
      </c>
      <c r="AJ298" s="6" t="s">
        <v>238</v>
      </c>
      <c r="AK298" s="6" t="s">
        <v>35</v>
      </c>
      <c r="AL298" s="6" t="s">
        <v>283</v>
      </c>
      <c r="AM298" s="6" t="s">
        <v>41</v>
      </c>
    </row>
    <row r="299" spans="1:40" x14ac:dyDescent="0.25">
      <c r="A299" s="4">
        <v>45856</v>
      </c>
      <c r="B299" s="6" t="s">
        <v>157</v>
      </c>
      <c r="C299" t="str">
        <f>_xlfn.XLOOKUP(Table3[[#This Row],[station]],station_waterbody_county!A:A, station_waterbody_county!B:B)</f>
        <v>Sandy Bay</v>
      </c>
      <c r="D299" t="str">
        <f>_xlfn.XLOOKUP(Table3[[#This Row],[station]],station_waterbody_county!A:A, station_waterbody_county!C:C)</f>
        <v>Queens</v>
      </c>
      <c r="E299" s="6"/>
      <c r="F299" s="6" t="s">
        <v>310</v>
      </c>
      <c r="G299" s="4">
        <v>45495</v>
      </c>
      <c r="H299" s="5">
        <v>0.83819444444444446</v>
      </c>
      <c r="I299" s="4">
        <v>45848</v>
      </c>
      <c r="J299" s="5">
        <v>0.51458333333333328</v>
      </c>
      <c r="K299" s="10"/>
      <c r="O299" s="6" t="s">
        <v>421</v>
      </c>
      <c r="P299" s="6" t="s">
        <v>422</v>
      </c>
      <c r="Q299" s="6" t="s">
        <v>1348</v>
      </c>
      <c r="R299" s="6" t="s">
        <v>1349</v>
      </c>
      <c r="S299" s="6" t="s">
        <v>239</v>
      </c>
      <c r="T299" s="11">
        <v>21465762</v>
      </c>
      <c r="U299" s="7">
        <v>2</v>
      </c>
      <c r="V299" s="6" t="s">
        <v>36</v>
      </c>
      <c r="W299" s="7">
        <v>15.2</v>
      </c>
      <c r="X299" s="6" t="s">
        <v>35</v>
      </c>
      <c r="Y299" s="7">
        <v>0.7</v>
      </c>
      <c r="Z299" s="7">
        <v>0.5</v>
      </c>
      <c r="AA299" s="6" t="s">
        <v>243</v>
      </c>
      <c r="AD299" s="6" t="s">
        <v>39</v>
      </c>
      <c r="AE299" s="6"/>
      <c r="AG299" s="6" t="s">
        <v>37</v>
      </c>
      <c r="AH299" s="7">
        <v>60</v>
      </c>
      <c r="AI299" s="6" t="s">
        <v>40</v>
      </c>
      <c r="AJ299" s="6" t="s">
        <v>238</v>
      </c>
      <c r="AL299" s="6" t="s">
        <v>41</v>
      </c>
      <c r="AM299" s="6" t="s">
        <v>41</v>
      </c>
    </row>
    <row r="300" spans="1:40" x14ac:dyDescent="0.25">
      <c r="A300" s="4">
        <v>45856</v>
      </c>
      <c r="B300" s="6" t="s">
        <v>157</v>
      </c>
      <c r="C300" t="str">
        <f>_xlfn.XLOOKUP(Table3[[#This Row],[station]],station_waterbody_county!A:A, station_waterbody_county!B:B)</f>
        <v>Sandy Bay</v>
      </c>
      <c r="D300" t="str">
        <f>_xlfn.XLOOKUP(Table3[[#This Row],[station]],station_waterbody_county!A:A, station_waterbody_county!C:C)</f>
        <v>Queens</v>
      </c>
      <c r="E300" s="6"/>
      <c r="F300" s="6" t="s">
        <v>310</v>
      </c>
      <c r="G300" s="4">
        <v>45495</v>
      </c>
      <c r="H300" s="5">
        <v>0.83819444444444446</v>
      </c>
      <c r="I300" s="4">
        <v>45848</v>
      </c>
      <c r="J300" s="5">
        <v>0.51458333333333328</v>
      </c>
      <c r="K300" s="10"/>
      <c r="O300" s="6" t="s">
        <v>421</v>
      </c>
      <c r="P300" s="6" t="s">
        <v>422</v>
      </c>
      <c r="Q300" s="6" t="s">
        <v>1348</v>
      </c>
      <c r="R300" s="6" t="s">
        <v>1349</v>
      </c>
      <c r="S300" s="6" t="s">
        <v>240</v>
      </c>
      <c r="T300" s="11">
        <v>670287</v>
      </c>
      <c r="U300" s="7">
        <v>5</v>
      </c>
      <c r="V300" s="6" t="s">
        <v>36</v>
      </c>
      <c r="W300" s="7">
        <v>15.2</v>
      </c>
      <c r="X300" s="6" t="s">
        <v>35</v>
      </c>
      <c r="Y300" s="7">
        <v>0.7</v>
      </c>
      <c r="Z300" s="7">
        <v>0.5</v>
      </c>
      <c r="AA300" s="6" t="s">
        <v>243</v>
      </c>
      <c r="AD300" s="6" t="s">
        <v>39</v>
      </c>
      <c r="AE300" s="6"/>
      <c r="AG300" s="6" t="s">
        <v>37</v>
      </c>
      <c r="AH300" s="7">
        <v>60</v>
      </c>
      <c r="AI300" s="6" t="s">
        <v>40</v>
      </c>
      <c r="AJ300" s="6" t="s">
        <v>238</v>
      </c>
      <c r="AL300" s="6" t="s">
        <v>41</v>
      </c>
      <c r="AM300" s="6" t="s">
        <v>41</v>
      </c>
    </row>
    <row r="301" spans="1:40" x14ac:dyDescent="0.25">
      <c r="A301" s="4">
        <v>45856</v>
      </c>
      <c r="B301" s="6" t="s">
        <v>157</v>
      </c>
      <c r="C301" t="str">
        <f>_xlfn.XLOOKUP(Table3[[#This Row],[station]],station_waterbody_county!A:A, station_waterbody_county!B:B)</f>
        <v>Sandy Bay</v>
      </c>
      <c r="D301" t="str">
        <f>_xlfn.XLOOKUP(Table3[[#This Row],[station]],station_waterbody_county!A:A, station_waterbody_county!C:C)</f>
        <v>Queens</v>
      </c>
      <c r="E301" s="6"/>
      <c r="F301" s="6" t="s">
        <v>310</v>
      </c>
      <c r="G301" s="4">
        <v>45495</v>
      </c>
      <c r="H301" s="5">
        <v>0.83819444444444446</v>
      </c>
      <c r="I301" s="4">
        <v>45848</v>
      </c>
      <c r="J301" s="5">
        <v>0.51458333333333328</v>
      </c>
      <c r="K301" s="10"/>
      <c r="O301" s="6" t="s">
        <v>421</v>
      </c>
      <c r="P301" s="6" t="s">
        <v>422</v>
      </c>
      <c r="Q301" s="6" t="s">
        <v>1348</v>
      </c>
      <c r="R301" s="6" t="s">
        <v>1349</v>
      </c>
      <c r="S301" s="6" t="s">
        <v>239</v>
      </c>
      <c r="T301" s="11">
        <v>20900983</v>
      </c>
      <c r="U301" s="7">
        <v>10</v>
      </c>
      <c r="V301" s="6" t="s">
        <v>36</v>
      </c>
      <c r="W301" s="7">
        <v>15.2</v>
      </c>
      <c r="X301" s="6" t="s">
        <v>35</v>
      </c>
      <c r="Y301" s="7">
        <v>0.7</v>
      </c>
      <c r="Z301" s="7">
        <v>0.5</v>
      </c>
      <c r="AA301" s="6" t="s">
        <v>243</v>
      </c>
      <c r="AD301" s="6" t="s">
        <v>39</v>
      </c>
      <c r="AE301" s="6"/>
      <c r="AG301" s="6" t="s">
        <v>37</v>
      </c>
      <c r="AH301" s="7">
        <v>60</v>
      </c>
      <c r="AI301" s="6" t="s">
        <v>40</v>
      </c>
      <c r="AJ301" s="6" t="s">
        <v>238</v>
      </c>
      <c r="AL301" s="6" t="s">
        <v>41</v>
      </c>
      <c r="AM301" s="6" t="s">
        <v>41</v>
      </c>
    </row>
    <row r="302" spans="1:40" x14ac:dyDescent="0.25">
      <c r="A302" s="4">
        <v>45856</v>
      </c>
      <c r="B302" s="6" t="s">
        <v>157</v>
      </c>
      <c r="C302" t="str">
        <f>_xlfn.XLOOKUP(Table3[[#This Row],[station]],station_waterbody_county!A:A, station_waterbody_county!B:B)</f>
        <v>Sandy Bay</v>
      </c>
      <c r="D302" t="str">
        <f>_xlfn.XLOOKUP(Table3[[#This Row],[station]],station_waterbody_county!A:A, station_waterbody_county!C:C)</f>
        <v>Queens</v>
      </c>
      <c r="E302" s="6"/>
      <c r="F302" s="6" t="s">
        <v>310</v>
      </c>
      <c r="G302" s="4">
        <v>45495</v>
      </c>
      <c r="H302" s="5">
        <v>0.83819444444444446</v>
      </c>
      <c r="I302" s="4">
        <v>45848</v>
      </c>
      <c r="J302" s="5">
        <v>0.51458333333333328</v>
      </c>
      <c r="K302" s="10"/>
      <c r="O302" s="6" t="s">
        <v>421</v>
      </c>
      <c r="P302" s="6" t="s">
        <v>422</v>
      </c>
      <c r="Q302" s="6" t="s">
        <v>1348</v>
      </c>
      <c r="R302" s="6" t="s">
        <v>1349</v>
      </c>
      <c r="S302" s="6" t="s">
        <v>42</v>
      </c>
      <c r="T302" s="11">
        <v>548572</v>
      </c>
      <c r="U302" s="7">
        <v>14</v>
      </c>
      <c r="V302" s="6" t="s">
        <v>36</v>
      </c>
      <c r="W302" s="7">
        <v>15.2</v>
      </c>
      <c r="X302" s="6" t="s">
        <v>35</v>
      </c>
      <c r="Y302" s="7">
        <v>0.7</v>
      </c>
      <c r="Z302" s="7">
        <v>0.5</v>
      </c>
      <c r="AA302" s="6" t="s">
        <v>243</v>
      </c>
      <c r="AD302" s="6" t="s">
        <v>39</v>
      </c>
      <c r="AE302" s="6"/>
      <c r="AG302" s="6" t="s">
        <v>37</v>
      </c>
      <c r="AH302" s="7">
        <v>60</v>
      </c>
      <c r="AI302" s="6" t="s">
        <v>40</v>
      </c>
      <c r="AJ302" s="6" t="s">
        <v>238</v>
      </c>
      <c r="AL302" s="6" t="s">
        <v>41</v>
      </c>
      <c r="AM302" s="6" t="s">
        <v>41</v>
      </c>
    </row>
    <row r="303" spans="1:40" hidden="1" x14ac:dyDescent="0.25">
      <c r="A303" s="12">
        <v>45678</v>
      </c>
      <c r="B303" s="6" t="s">
        <v>78</v>
      </c>
      <c r="C303" t="str">
        <f>_xlfn.XLOOKUP(Table3[[#This Row],[station]],station_waterbody_county!A:A, station_waterbody_county!B:B)</f>
        <v>Little Harbour</v>
      </c>
      <c r="D303" t="str">
        <f>_xlfn.XLOOKUP(Table3[[#This Row],[station]],station_waterbody_county!A:A, station_waterbody_county!C:C)</f>
        <v>Shelburne</v>
      </c>
      <c r="E303" s="6"/>
      <c r="F303" s="6" t="s">
        <v>311</v>
      </c>
      <c r="G303" s="12">
        <v>45120</v>
      </c>
      <c r="H303" s="5"/>
      <c r="I303" s="4"/>
      <c r="J303" s="5"/>
      <c r="K303" s="10">
        <v>43.715564000000001</v>
      </c>
      <c r="L303" s="10">
        <v>-65.008534699999998</v>
      </c>
      <c r="O303" s="6"/>
      <c r="S303" s="6" t="s">
        <v>239</v>
      </c>
      <c r="T303" s="11">
        <v>21444891</v>
      </c>
      <c r="U303" s="7">
        <v>2</v>
      </c>
      <c r="V303" s="6" t="s">
        <v>36</v>
      </c>
      <c r="W303" s="7">
        <v>15.2</v>
      </c>
      <c r="X303" s="6" t="s">
        <v>35</v>
      </c>
      <c r="Y303" s="7"/>
      <c r="Z303" s="7">
        <v>1</v>
      </c>
      <c r="AA303" s="6"/>
      <c r="AB303" s="6" t="s">
        <v>321</v>
      </c>
      <c r="AC303" s="6" t="s">
        <v>39</v>
      </c>
      <c r="AD303" s="6" t="s">
        <v>39</v>
      </c>
      <c r="AE303" s="6"/>
      <c r="AG303" s="6" t="s">
        <v>37</v>
      </c>
      <c r="AH303" s="7"/>
      <c r="AI303" s="6" t="s">
        <v>40</v>
      </c>
      <c r="AJ303" s="6" t="s">
        <v>238</v>
      </c>
      <c r="AL303" s="6" t="s">
        <v>283</v>
      </c>
      <c r="AM303" s="6" t="s">
        <v>41</v>
      </c>
      <c r="AN303" s="6" t="s">
        <v>417</v>
      </c>
    </row>
    <row r="304" spans="1:40" hidden="1" x14ac:dyDescent="0.25">
      <c r="A304" s="12">
        <v>45678</v>
      </c>
      <c r="B304" s="6" t="s">
        <v>78</v>
      </c>
      <c r="C304" t="str">
        <f>_xlfn.XLOOKUP(Table3[[#This Row],[station]],station_waterbody_county!A:A, station_waterbody_county!B:B)</f>
        <v>Little Harbour</v>
      </c>
      <c r="D304" t="str">
        <f>_xlfn.XLOOKUP(Table3[[#This Row],[station]],station_waterbody_county!A:A, station_waterbody_county!C:C)</f>
        <v>Shelburne</v>
      </c>
      <c r="E304" s="6"/>
      <c r="F304" s="6" t="s">
        <v>311</v>
      </c>
      <c r="G304" s="12">
        <v>45120</v>
      </c>
      <c r="H304" s="5"/>
      <c r="I304" s="4"/>
      <c r="J304" s="5"/>
      <c r="K304" s="10">
        <v>43.715564000000001</v>
      </c>
      <c r="L304" s="10">
        <v>-65.008534699999998</v>
      </c>
      <c r="O304" s="6"/>
      <c r="S304" s="6" t="s">
        <v>240</v>
      </c>
      <c r="T304" s="11">
        <v>671135</v>
      </c>
      <c r="U304" s="7">
        <v>5</v>
      </c>
      <c r="V304" s="6" t="s">
        <v>36</v>
      </c>
      <c r="W304" s="7">
        <v>15.2</v>
      </c>
      <c r="X304" s="6" t="s">
        <v>35</v>
      </c>
      <c r="Y304" s="7"/>
      <c r="Z304" s="7">
        <v>1</v>
      </c>
      <c r="AA304" s="6"/>
      <c r="AB304" s="6" t="s">
        <v>321</v>
      </c>
      <c r="AC304" s="6" t="s">
        <v>39</v>
      </c>
      <c r="AD304" s="6" t="s">
        <v>39</v>
      </c>
      <c r="AE304" s="6"/>
      <c r="AG304" s="6" t="s">
        <v>37</v>
      </c>
      <c r="AH304" s="7"/>
      <c r="AI304" s="6" t="s">
        <v>40</v>
      </c>
      <c r="AJ304" s="6" t="s">
        <v>238</v>
      </c>
      <c r="AL304" s="6" t="s">
        <v>283</v>
      </c>
      <c r="AM304" s="6" t="s">
        <v>41</v>
      </c>
      <c r="AN304" s="6" t="s">
        <v>417</v>
      </c>
    </row>
    <row r="305" spans="1:40" hidden="1" x14ac:dyDescent="0.25">
      <c r="A305" s="12">
        <v>45678</v>
      </c>
      <c r="B305" s="6" t="s">
        <v>78</v>
      </c>
      <c r="C305" t="str">
        <f>_xlfn.XLOOKUP(Table3[[#This Row],[station]],station_waterbody_county!A:A, station_waterbody_county!B:B)</f>
        <v>Little Harbour</v>
      </c>
      <c r="D305" t="str">
        <f>_xlfn.XLOOKUP(Table3[[#This Row],[station]],station_waterbody_county!A:A, station_waterbody_county!C:C)</f>
        <v>Shelburne</v>
      </c>
      <c r="E305" s="6"/>
      <c r="F305" s="6" t="s">
        <v>311</v>
      </c>
      <c r="G305" s="12">
        <v>45120</v>
      </c>
      <c r="H305" s="5"/>
      <c r="I305" s="4"/>
      <c r="J305" s="5"/>
      <c r="K305" s="10">
        <v>43.715564000000001</v>
      </c>
      <c r="L305" s="10">
        <v>-65.008534699999998</v>
      </c>
      <c r="O305" s="6"/>
      <c r="S305" s="6" t="s">
        <v>239</v>
      </c>
      <c r="T305" s="11">
        <v>21414848</v>
      </c>
      <c r="U305" s="7">
        <v>8</v>
      </c>
      <c r="V305" s="6" t="s">
        <v>36</v>
      </c>
      <c r="W305" s="7">
        <v>15.2</v>
      </c>
      <c r="X305" s="6" t="s">
        <v>35</v>
      </c>
      <c r="Y305" s="7"/>
      <c r="Z305" s="7">
        <v>1</v>
      </c>
      <c r="AA305" s="6"/>
      <c r="AB305" s="6" t="s">
        <v>321</v>
      </c>
      <c r="AC305" s="6" t="s">
        <v>39</v>
      </c>
      <c r="AD305" s="6" t="s">
        <v>39</v>
      </c>
      <c r="AE305" s="6"/>
      <c r="AG305" s="6" t="s">
        <v>37</v>
      </c>
      <c r="AH305" s="7"/>
      <c r="AI305" s="6" t="s">
        <v>40</v>
      </c>
      <c r="AJ305" s="6" t="s">
        <v>238</v>
      </c>
      <c r="AL305" s="6" t="s">
        <v>283</v>
      </c>
      <c r="AM305" s="6" t="s">
        <v>41</v>
      </c>
      <c r="AN305" s="6" t="s">
        <v>417</v>
      </c>
    </row>
    <row r="306" spans="1:40" hidden="1" x14ac:dyDescent="0.25">
      <c r="A306" s="12">
        <v>45678</v>
      </c>
      <c r="B306" s="6" t="s">
        <v>78</v>
      </c>
      <c r="C306" t="str">
        <f>_xlfn.XLOOKUP(Table3[[#This Row],[station]],station_waterbody_county!A:A, station_waterbody_county!B:B)</f>
        <v>Little Harbour</v>
      </c>
      <c r="D306" t="str">
        <f>_xlfn.XLOOKUP(Table3[[#This Row],[station]],station_waterbody_county!A:A, station_waterbody_county!C:C)</f>
        <v>Shelburne</v>
      </c>
      <c r="E306" s="6"/>
      <c r="F306" s="6" t="s">
        <v>311</v>
      </c>
      <c r="G306" s="12">
        <v>45120</v>
      </c>
      <c r="H306" s="5"/>
      <c r="I306" s="4"/>
      <c r="J306" s="5"/>
      <c r="K306" s="10">
        <v>43.715564000000001</v>
      </c>
      <c r="L306" s="10">
        <v>-65.008534699999998</v>
      </c>
      <c r="O306" s="6"/>
      <c r="S306" s="6" t="s">
        <v>42</v>
      </c>
      <c r="T306" s="11">
        <v>548558</v>
      </c>
      <c r="U306" s="7">
        <v>10</v>
      </c>
      <c r="V306" s="6" t="s">
        <v>36</v>
      </c>
      <c r="W306" s="7">
        <v>15.2</v>
      </c>
      <c r="X306" s="6" t="s">
        <v>35</v>
      </c>
      <c r="Y306" s="7"/>
      <c r="Z306" s="7">
        <v>1</v>
      </c>
      <c r="AA306" s="6"/>
      <c r="AB306" s="6" t="s">
        <v>321</v>
      </c>
      <c r="AC306" s="6" t="s">
        <v>39</v>
      </c>
      <c r="AD306" s="6" t="s">
        <v>39</v>
      </c>
      <c r="AE306" s="6"/>
      <c r="AG306" s="6" t="s">
        <v>37</v>
      </c>
      <c r="AH306" s="7"/>
      <c r="AI306" s="6" t="s">
        <v>40</v>
      </c>
      <c r="AJ306" s="6" t="s">
        <v>238</v>
      </c>
      <c r="AL306" s="6" t="s">
        <v>283</v>
      </c>
      <c r="AM306" s="6" t="s">
        <v>41</v>
      </c>
      <c r="AN306" s="6" t="s">
        <v>417</v>
      </c>
    </row>
    <row r="307" spans="1:40" x14ac:dyDescent="0.25">
      <c r="A307" s="4">
        <v>45623</v>
      </c>
      <c r="B307" s="6" t="s">
        <v>161</v>
      </c>
      <c r="C307" t="str">
        <f>_xlfn.XLOOKUP(Table3[[#This Row],[station]],station_waterbody_county!A:A, station_waterbody_county!B:B)</f>
        <v>Mahone Bay</v>
      </c>
      <c r="D307" t="str">
        <f>_xlfn.XLOOKUP(Table3[[#This Row],[station]],station_waterbody_county!A:A, station_waterbody_county!C:C)</f>
        <v>Lunenburg</v>
      </c>
      <c r="E307" s="6"/>
      <c r="F307" s="6" t="s">
        <v>310</v>
      </c>
      <c r="G307" s="4">
        <v>45414</v>
      </c>
      <c r="H307" s="5">
        <v>0.50347222222222221</v>
      </c>
      <c r="I307" s="4">
        <v>45617</v>
      </c>
      <c r="J307" s="5">
        <v>0.55277777777777781</v>
      </c>
      <c r="K307" s="10">
        <v>44.4373</v>
      </c>
      <c r="L307" s="10">
        <v>-64.250632999999993</v>
      </c>
      <c r="O307" s="6" t="s">
        <v>345</v>
      </c>
      <c r="P307" s="6" t="s">
        <v>346</v>
      </c>
      <c r="Q307" s="6" t="s">
        <v>594</v>
      </c>
      <c r="R307" s="6" t="s">
        <v>595</v>
      </c>
      <c r="S307" s="6" t="s">
        <v>239</v>
      </c>
      <c r="T307" s="11">
        <v>20687286</v>
      </c>
      <c r="U307" s="7">
        <v>2</v>
      </c>
      <c r="V307" s="6" t="s">
        <v>36</v>
      </c>
      <c r="W307" s="7">
        <v>28.7</v>
      </c>
      <c r="X307" s="6" t="s">
        <v>35</v>
      </c>
      <c r="Y307" s="7">
        <v>0.5</v>
      </c>
      <c r="Z307" s="7">
        <v>1</v>
      </c>
      <c r="AA307" s="6" t="s">
        <v>251</v>
      </c>
      <c r="AB307" s="6" t="s">
        <v>38</v>
      </c>
      <c r="AD307" s="6" t="s">
        <v>39</v>
      </c>
      <c r="AE307" s="6"/>
      <c r="AG307" s="6" t="s">
        <v>37</v>
      </c>
      <c r="AH307" s="7">
        <v>60</v>
      </c>
      <c r="AI307" s="6" t="s">
        <v>40</v>
      </c>
      <c r="AJ307" s="6" t="s">
        <v>238</v>
      </c>
      <c r="AK307" s="6" t="s">
        <v>35</v>
      </c>
      <c r="AL307" s="6" t="s">
        <v>41</v>
      </c>
      <c r="AM307" s="6" t="s">
        <v>41</v>
      </c>
      <c r="AN307" s="6" t="s">
        <v>343</v>
      </c>
    </row>
    <row r="308" spans="1:40" x14ac:dyDescent="0.25">
      <c r="A308" s="4">
        <v>45623</v>
      </c>
      <c r="B308" s="6" t="s">
        <v>161</v>
      </c>
      <c r="C308" t="str">
        <f>_xlfn.XLOOKUP(Table3[[#This Row],[station]],station_waterbody_county!A:A, station_waterbody_county!B:B)</f>
        <v>Mahone Bay</v>
      </c>
      <c r="D308" t="str">
        <f>_xlfn.XLOOKUP(Table3[[#This Row],[station]],station_waterbody_county!A:A, station_waterbody_county!C:C)</f>
        <v>Lunenburg</v>
      </c>
      <c r="E308" s="6"/>
      <c r="F308" s="6" t="s">
        <v>310</v>
      </c>
      <c r="G308" s="4">
        <v>45414</v>
      </c>
      <c r="H308" s="5">
        <v>0.50347222222222221</v>
      </c>
      <c r="I308" s="4">
        <v>45617</v>
      </c>
      <c r="J308" s="5">
        <v>0.55277777777777781</v>
      </c>
      <c r="K308" s="10">
        <v>44.4373</v>
      </c>
      <c r="L308" s="10">
        <v>-64.250632999999993</v>
      </c>
      <c r="O308" s="6" t="s">
        <v>345</v>
      </c>
      <c r="P308" s="6" t="s">
        <v>346</v>
      </c>
      <c r="Q308" s="6" t="s">
        <v>594</v>
      </c>
      <c r="R308" s="6" t="s">
        <v>595</v>
      </c>
      <c r="S308" s="6" t="s">
        <v>244</v>
      </c>
      <c r="T308" s="11">
        <v>21473802</v>
      </c>
      <c r="U308" s="7">
        <v>5</v>
      </c>
      <c r="V308" s="6" t="s">
        <v>36</v>
      </c>
      <c r="W308" s="7">
        <v>28.7</v>
      </c>
      <c r="X308" s="6" t="s">
        <v>35</v>
      </c>
      <c r="Y308" s="7">
        <v>0.5</v>
      </c>
      <c r="Z308" s="7">
        <v>1</v>
      </c>
      <c r="AA308" s="6" t="s">
        <v>251</v>
      </c>
      <c r="AB308" s="6" t="s">
        <v>38</v>
      </c>
      <c r="AD308" s="6" t="s">
        <v>39</v>
      </c>
      <c r="AE308" s="6"/>
      <c r="AG308" s="6" t="s">
        <v>37</v>
      </c>
      <c r="AH308" s="7">
        <v>60</v>
      </c>
      <c r="AI308" s="6" t="s">
        <v>40</v>
      </c>
      <c r="AJ308" s="6" t="s">
        <v>238</v>
      </c>
      <c r="AK308" s="6" t="s">
        <v>35</v>
      </c>
      <c r="AL308" s="6" t="s">
        <v>41</v>
      </c>
      <c r="AM308" s="6" t="s">
        <v>41</v>
      </c>
      <c r="AN308" s="6" t="s">
        <v>343</v>
      </c>
    </row>
    <row r="309" spans="1:40" x14ac:dyDescent="0.25">
      <c r="A309" s="4">
        <v>45623</v>
      </c>
      <c r="B309" s="6" t="s">
        <v>161</v>
      </c>
      <c r="C309" t="str">
        <f>_xlfn.XLOOKUP(Table3[[#This Row],[station]],station_waterbody_county!A:A, station_waterbody_county!B:B)</f>
        <v>Mahone Bay</v>
      </c>
      <c r="D309" t="str">
        <f>_xlfn.XLOOKUP(Table3[[#This Row],[station]],station_waterbody_county!A:A, station_waterbody_county!C:C)</f>
        <v>Lunenburg</v>
      </c>
      <c r="E309" s="6"/>
      <c r="F309" s="6" t="s">
        <v>310</v>
      </c>
      <c r="G309" s="4">
        <v>45414</v>
      </c>
      <c r="H309" s="5">
        <v>0.50347222222222221</v>
      </c>
      <c r="I309" s="4">
        <v>45617</v>
      </c>
      <c r="J309" s="5">
        <v>0.55277777777777781</v>
      </c>
      <c r="K309" s="10">
        <v>44.4373</v>
      </c>
      <c r="L309" s="10">
        <v>-64.250632999999993</v>
      </c>
      <c r="O309" s="6" t="s">
        <v>345</v>
      </c>
      <c r="P309" s="6" t="s">
        <v>346</v>
      </c>
      <c r="Q309" s="6" t="s">
        <v>594</v>
      </c>
      <c r="R309" s="6" t="s">
        <v>595</v>
      </c>
      <c r="S309" s="6" t="s">
        <v>239</v>
      </c>
      <c r="T309" s="11">
        <v>20495220</v>
      </c>
      <c r="U309" s="7">
        <v>10</v>
      </c>
      <c r="V309" s="6" t="s">
        <v>36</v>
      </c>
      <c r="W309" s="7">
        <v>28.7</v>
      </c>
      <c r="X309" s="6" t="s">
        <v>35</v>
      </c>
      <c r="Y309" s="7">
        <v>0.5</v>
      </c>
      <c r="Z309" s="7">
        <v>1</v>
      </c>
      <c r="AA309" s="6" t="s">
        <v>251</v>
      </c>
      <c r="AB309" s="6" t="s">
        <v>38</v>
      </c>
      <c r="AD309" s="6" t="s">
        <v>39</v>
      </c>
      <c r="AE309" s="6"/>
      <c r="AG309" s="6" t="s">
        <v>37</v>
      </c>
      <c r="AH309" s="7">
        <v>60</v>
      </c>
      <c r="AI309" s="6" t="s">
        <v>40</v>
      </c>
      <c r="AJ309" s="6" t="s">
        <v>238</v>
      </c>
      <c r="AK309" s="6" t="s">
        <v>35</v>
      </c>
      <c r="AL309" s="6" t="s">
        <v>41</v>
      </c>
      <c r="AM309" s="6" t="s">
        <v>41</v>
      </c>
      <c r="AN309" s="6" t="s">
        <v>343</v>
      </c>
    </row>
    <row r="310" spans="1:40" x14ac:dyDescent="0.25">
      <c r="A310" s="4">
        <v>45623</v>
      </c>
      <c r="B310" s="6" t="s">
        <v>161</v>
      </c>
      <c r="C310" t="str">
        <f>_xlfn.XLOOKUP(Table3[[#This Row],[station]],station_waterbody_county!A:A, station_waterbody_county!B:B)</f>
        <v>Mahone Bay</v>
      </c>
      <c r="D310" t="str">
        <f>_xlfn.XLOOKUP(Table3[[#This Row],[station]],station_waterbody_county!A:A, station_waterbody_county!C:C)</f>
        <v>Lunenburg</v>
      </c>
      <c r="E310" s="6"/>
      <c r="F310" s="6" t="s">
        <v>310</v>
      </c>
      <c r="G310" s="4">
        <v>45414</v>
      </c>
      <c r="H310" s="5">
        <v>0.50347222222222221</v>
      </c>
      <c r="I310" s="4">
        <v>45617</v>
      </c>
      <c r="J310" s="5">
        <v>0.55277777777777781</v>
      </c>
      <c r="K310" s="10">
        <v>44.4373</v>
      </c>
      <c r="L310" s="10">
        <v>-64.250632999999993</v>
      </c>
      <c r="O310" s="6" t="s">
        <v>345</v>
      </c>
      <c r="P310" s="6" t="s">
        <v>346</v>
      </c>
      <c r="Q310" s="6" t="s">
        <v>594</v>
      </c>
      <c r="R310" s="6" t="s">
        <v>595</v>
      </c>
      <c r="S310" s="6" t="s">
        <v>239</v>
      </c>
      <c r="T310" s="11">
        <v>20291432</v>
      </c>
      <c r="U310" s="7">
        <v>15</v>
      </c>
      <c r="V310" s="6" t="s">
        <v>36</v>
      </c>
      <c r="W310" s="7">
        <v>28.7</v>
      </c>
      <c r="X310" s="6" t="s">
        <v>35</v>
      </c>
      <c r="Y310" s="7">
        <v>0.5</v>
      </c>
      <c r="Z310" s="7">
        <v>1</v>
      </c>
      <c r="AA310" s="6" t="s">
        <v>251</v>
      </c>
      <c r="AB310" s="6" t="s">
        <v>38</v>
      </c>
      <c r="AD310" s="6" t="s">
        <v>39</v>
      </c>
      <c r="AE310" s="6"/>
      <c r="AG310" s="6" t="s">
        <v>37</v>
      </c>
      <c r="AH310" s="7">
        <v>60</v>
      </c>
      <c r="AI310" s="6" t="s">
        <v>40</v>
      </c>
      <c r="AJ310" s="6" t="s">
        <v>238</v>
      </c>
      <c r="AK310" s="6" t="s">
        <v>35</v>
      </c>
      <c r="AL310" s="6" t="s">
        <v>41</v>
      </c>
      <c r="AM310" s="6" t="s">
        <v>41</v>
      </c>
      <c r="AN310" s="6" t="s">
        <v>343</v>
      </c>
    </row>
    <row r="311" spans="1:40" x14ac:dyDescent="0.25">
      <c r="A311" s="4">
        <v>45623</v>
      </c>
      <c r="B311" s="6" t="s">
        <v>161</v>
      </c>
      <c r="C311" t="str">
        <f>_xlfn.XLOOKUP(Table3[[#This Row],[station]],station_waterbody_county!A:A, station_waterbody_county!B:B)</f>
        <v>Mahone Bay</v>
      </c>
      <c r="D311" t="str">
        <f>_xlfn.XLOOKUP(Table3[[#This Row],[station]],station_waterbody_county!A:A, station_waterbody_county!C:C)</f>
        <v>Lunenburg</v>
      </c>
      <c r="E311" s="6"/>
      <c r="F311" s="6" t="s">
        <v>310</v>
      </c>
      <c r="G311" s="4">
        <v>45414</v>
      </c>
      <c r="H311" s="5">
        <v>0.50347222222222221</v>
      </c>
      <c r="I311" s="4">
        <v>45617</v>
      </c>
      <c r="J311" s="5">
        <v>0.55277777777777781</v>
      </c>
      <c r="K311" s="10">
        <v>44.4373</v>
      </c>
      <c r="L311" s="10">
        <v>-64.250632999999993</v>
      </c>
      <c r="O311" s="6" t="s">
        <v>345</v>
      </c>
      <c r="P311" s="6" t="s">
        <v>346</v>
      </c>
      <c r="Q311" s="6" t="s">
        <v>594</v>
      </c>
      <c r="R311" s="6" t="s">
        <v>595</v>
      </c>
      <c r="S311" s="6" t="s">
        <v>239</v>
      </c>
      <c r="T311" s="11">
        <v>20495211</v>
      </c>
      <c r="U311" s="7">
        <v>20</v>
      </c>
      <c r="V311" s="6" t="s">
        <v>36</v>
      </c>
      <c r="W311" s="7">
        <v>28.7</v>
      </c>
      <c r="X311" s="6" t="s">
        <v>35</v>
      </c>
      <c r="Y311" s="7">
        <v>0.5</v>
      </c>
      <c r="Z311" s="7">
        <v>1</v>
      </c>
      <c r="AA311" s="6" t="s">
        <v>251</v>
      </c>
      <c r="AB311" s="6" t="s">
        <v>38</v>
      </c>
      <c r="AD311" s="6" t="s">
        <v>39</v>
      </c>
      <c r="AE311" s="6"/>
      <c r="AG311" s="6" t="s">
        <v>37</v>
      </c>
      <c r="AH311" s="7">
        <v>60</v>
      </c>
      <c r="AI311" s="6" t="s">
        <v>40</v>
      </c>
      <c r="AJ311" s="6" t="s">
        <v>238</v>
      </c>
      <c r="AK311" s="6" t="s">
        <v>35</v>
      </c>
      <c r="AL311" s="6" t="s">
        <v>41</v>
      </c>
      <c r="AM311" s="6" t="s">
        <v>41</v>
      </c>
      <c r="AN311" s="6" t="s">
        <v>343</v>
      </c>
    </row>
    <row r="312" spans="1:40" x14ac:dyDescent="0.25">
      <c r="A312" s="4">
        <v>45623</v>
      </c>
      <c r="B312" s="6" t="s">
        <v>161</v>
      </c>
      <c r="C312" t="str">
        <f>_xlfn.XLOOKUP(Table3[[#This Row],[station]],station_waterbody_county!A:A, station_waterbody_county!B:B)</f>
        <v>Mahone Bay</v>
      </c>
      <c r="D312" t="str">
        <f>_xlfn.XLOOKUP(Table3[[#This Row],[station]],station_waterbody_county!A:A, station_waterbody_county!C:C)</f>
        <v>Lunenburg</v>
      </c>
      <c r="E312" s="6"/>
      <c r="F312" s="6" t="s">
        <v>310</v>
      </c>
      <c r="G312" s="4">
        <v>45414</v>
      </c>
      <c r="H312" s="5">
        <v>0.50347222222222221</v>
      </c>
      <c r="I312" s="4">
        <v>45617</v>
      </c>
      <c r="J312" s="5">
        <v>0.55277777777777781</v>
      </c>
      <c r="K312" s="10">
        <v>44.4373</v>
      </c>
      <c r="L312" s="10">
        <v>-64.250632999999993</v>
      </c>
      <c r="O312" s="6" t="s">
        <v>345</v>
      </c>
      <c r="P312" s="6" t="s">
        <v>346</v>
      </c>
      <c r="Q312" s="6" t="s">
        <v>594</v>
      </c>
      <c r="R312" s="6" t="s">
        <v>595</v>
      </c>
      <c r="S312" s="6" t="s">
        <v>42</v>
      </c>
      <c r="T312" s="11">
        <v>549340</v>
      </c>
      <c r="U312" s="7">
        <v>25</v>
      </c>
      <c r="V312" s="6" t="s">
        <v>36</v>
      </c>
      <c r="W312" s="7">
        <v>28.7</v>
      </c>
      <c r="X312" s="6" t="s">
        <v>35</v>
      </c>
      <c r="Y312" s="7">
        <v>0.5</v>
      </c>
      <c r="Z312" s="7">
        <v>1</v>
      </c>
      <c r="AA312" s="6" t="s">
        <v>251</v>
      </c>
      <c r="AB312" s="6" t="s">
        <v>38</v>
      </c>
      <c r="AD312" s="6" t="s">
        <v>39</v>
      </c>
      <c r="AE312" s="6"/>
      <c r="AG312" s="6" t="s">
        <v>37</v>
      </c>
      <c r="AH312" s="7">
        <v>60</v>
      </c>
      <c r="AI312" s="6" t="s">
        <v>40</v>
      </c>
      <c r="AJ312" s="6" t="s">
        <v>238</v>
      </c>
      <c r="AK312" s="6" t="s">
        <v>35</v>
      </c>
      <c r="AL312" s="6" t="s">
        <v>41</v>
      </c>
      <c r="AM312" s="6" t="s">
        <v>41</v>
      </c>
      <c r="AN312" s="6" t="s">
        <v>344</v>
      </c>
    </row>
    <row r="313" spans="1:40" hidden="1" x14ac:dyDescent="0.25">
      <c r="A313" s="4">
        <v>45678</v>
      </c>
      <c r="B313" s="6" t="s">
        <v>161</v>
      </c>
      <c r="C313" t="str">
        <f>_xlfn.XLOOKUP(Table3[[#This Row],[station]],station_waterbody_county!A:A, station_waterbody_county!B:B)</f>
        <v>Mahone Bay</v>
      </c>
      <c r="D313" t="str">
        <f>_xlfn.XLOOKUP(Table3[[#This Row],[station]],station_waterbody_county!A:A, station_waterbody_county!C:C)</f>
        <v>Lunenburg</v>
      </c>
      <c r="E313" s="6"/>
      <c r="F313" s="6" t="s">
        <v>310</v>
      </c>
      <c r="G313" s="12">
        <v>45239</v>
      </c>
      <c r="H313" s="5"/>
      <c r="I313" s="4">
        <v>45414</v>
      </c>
      <c r="J313" s="5">
        <v>0.46527777777777779</v>
      </c>
      <c r="K313" s="10">
        <v>44.437299000000003</v>
      </c>
      <c r="L313" s="10">
        <v>-64.250557000000001</v>
      </c>
      <c r="O313" s="6"/>
      <c r="Q313" s="6" t="s">
        <v>341</v>
      </c>
      <c r="R313" s="6" t="s">
        <v>342</v>
      </c>
      <c r="S313" s="6" t="s">
        <v>239</v>
      </c>
      <c r="T313" s="11">
        <v>20291485</v>
      </c>
      <c r="U313" s="7">
        <v>2</v>
      </c>
      <c r="V313" s="6" t="s">
        <v>36</v>
      </c>
      <c r="W313" s="7">
        <v>27.8</v>
      </c>
      <c r="X313" s="6" t="s">
        <v>35</v>
      </c>
      <c r="Y313" s="7">
        <v>0.8</v>
      </c>
      <c r="Z313" s="7">
        <v>1.5</v>
      </c>
      <c r="AA313" s="6" t="s">
        <v>243</v>
      </c>
      <c r="AB313" s="6" t="s">
        <v>38</v>
      </c>
      <c r="AD313" s="6" t="s">
        <v>39</v>
      </c>
      <c r="AE313" s="6"/>
      <c r="AG313" s="6" t="s">
        <v>37</v>
      </c>
      <c r="AH313" s="7"/>
      <c r="AI313" s="6" t="s">
        <v>40</v>
      </c>
      <c r="AJ313" s="6" t="s">
        <v>238</v>
      </c>
      <c r="AK313" s="6" t="s">
        <v>35</v>
      </c>
      <c r="AL313" s="6" t="s">
        <v>271</v>
      </c>
      <c r="AM313" s="6" t="s">
        <v>41</v>
      </c>
    </row>
    <row r="314" spans="1:40" hidden="1" x14ac:dyDescent="0.25">
      <c r="A314" s="4">
        <v>45678</v>
      </c>
      <c r="B314" s="6" t="s">
        <v>161</v>
      </c>
      <c r="C314" t="str">
        <f>_xlfn.XLOOKUP(Table3[[#This Row],[station]],station_waterbody_county!A:A, station_waterbody_county!B:B)</f>
        <v>Mahone Bay</v>
      </c>
      <c r="D314" t="str">
        <f>_xlfn.XLOOKUP(Table3[[#This Row],[station]],station_waterbody_county!A:A, station_waterbody_county!C:C)</f>
        <v>Lunenburg</v>
      </c>
      <c r="E314" s="6"/>
      <c r="F314" s="6" t="s">
        <v>310</v>
      </c>
      <c r="G314" s="12">
        <v>45239</v>
      </c>
      <c r="H314" s="5"/>
      <c r="I314" s="4">
        <v>45414</v>
      </c>
      <c r="J314" s="5">
        <v>0.46527777777777779</v>
      </c>
      <c r="K314" s="10">
        <v>44.437299000000003</v>
      </c>
      <c r="L314" s="10">
        <v>-64.250557000000001</v>
      </c>
      <c r="O314" s="6"/>
      <c r="Q314" s="6" t="s">
        <v>341</v>
      </c>
      <c r="R314" s="6" t="s">
        <v>342</v>
      </c>
      <c r="S314" s="6" t="s">
        <v>244</v>
      </c>
      <c r="T314" s="11">
        <v>21309144</v>
      </c>
      <c r="U314" s="7">
        <v>5</v>
      </c>
      <c r="V314" s="6" t="s">
        <v>36</v>
      </c>
      <c r="W314" s="7">
        <v>27.8</v>
      </c>
      <c r="X314" s="6" t="s">
        <v>35</v>
      </c>
      <c r="Y314" s="7">
        <v>0.8</v>
      </c>
      <c r="Z314" s="7">
        <v>1.5</v>
      </c>
      <c r="AA314" s="6" t="s">
        <v>243</v>
      </c>
      <c r="AB314" s="6" t="s">
        <v>38</v>
      </c>
      <c r="AD314" s="6" t="s">
        <v>39</v>
      </c>
      <c r="AE314" s="6"/>
      <c r="AG314" s="6" t="s">
        <v>37</v>
      </c>
      <c r="AH314" s="7"/>
      <c r="AI314" s="6" t="s">
        <v>40</v>
      </c>
      <c r="AJ314" s="6" t="s">
        <v>238</v>
      </c>
      <c r="AK314" s="6" t="s">
        <v>35</v>
      </c>
      <c r="AL314" s="6" t="s">
        <v>271</v>
      </c>
      <c r="AM314" s="6" t="s">
        <v>41</v>
      </c>
    </row>
    <row r="315" spans="1:40" hidden="1" x14ac:dyDescent="0.25">
      <c r="A315" s="4">
        <v>45678</v>
      </c>
      <c r="B315" s="6" t="s">
        <v>161</v>
      </c>
      <c r="C315" t="str">
        <f>_xlfn.XLOOKUP(Table3[[#This Row],[station]],station_waterbody_county!A:A, station_waterbody_county!B:B)</f>
        <v>Mahone Bay</v>
      </c>
      <c r="D315" t="str">
        <f>_xlfn.XLOOKUP(Table3[[#This Row],[station]],station_waterbody_county!A:A, station_waterbody_county!C:C)</f>
        <v>Lunenburg</v>
      </c>
      <c r="E315" s="6"/>
      <c r="F315" s="6" t="s">
        <v>310</v>
      </c>
      <c r="G315" s="12">
        <v>45239</v>
      </c>
      <c r="H315" s="5"/>
      <c r="I315" s="4">
        <v>45414</v>
      </c>
      <c r="J315" s="5">
        <v>0.46527777777777779</v>
      </c>
      <c r="K315" s="10">
        <v>44.437299000000003</v>
      </c>
      <c r="L315" s="10">
        <v>-64.250557000000001</v>
      </c>
      <c r="O315" s="6"/>
      <c r="Q315" s="6" t="s">
        <v>341</v>
      </c>
      <c r="R315" s="6" t="s">
        <v>342</v>
      </c>
      <c r="S315" s="6" t="s">
        <v>239</v>
      </c>
      <c r="T315" s="11">
        <v>21152408</v>
      </c>
      <c r="U315" s="7">
        <v>10</v>
      </c>
      <c r="V315" s="6" t="s">
        <v>36</v>
      </c>
      <c r="W315" s="7">
        <v>27.8</v>
      </c>
      <c r="X315" s="6" t="s">
        <v>35</v>
      </c>
      <c r="Y315" s="7">
        <v>0.8</v>
      </c>
      <c r="Z315" s="7">
        <v>1.5</v>
      </c>
      <c r="AA315" s="6" t="s">
        <v>243</v>
      </c>
      <c r="AB315" s="6" t="s">
        <v>38</v>
      </c>
      <c r="AD315" s="6" t="s">
        <v>39</v>
      </c>
      <c r="AE315" s="6"/>
      <c r="AG315" s="6" t="s">
        <v>37</v>
      </c>
      <c r="AH315" s="7"/>
      <c r="AI315" s="6" t="s">
        <v>40</v>
      </c>
      <c r="AJ315" s="6" t="s">
        <v>238</v>
      </c>
      <c r="AK315" s="6" t="s">
        <v>35</v>
      </c>
      <c r="AL315" s="6" t="s">
        <v>271</v>
      </c>
      <c r="AM315" s="6" t="s">
        <v>41</v>
      </c>
    </row>
    <row r="316" spans="1:40" hidden="1" x14ac:dyDescent="0.25">
      <c r="A316" s="4">
        <v>45678</v>
      </c>
      <c r="B316" s="6" t="s">
        <v>161</v>
      </c>
      <c r="C316" t="str">
        <f>_xlfn.XLOOKUP(Table3[[#This Row],[station]],station_waterbody_county!A:A, station_waterbody_county!B:B)</f>
        <v>Mahone Bay</v>
      </c>
      <c r="D316" t="str">
        <f>_xlfn.XLOOKUP(Table3[[#This Row],[station]],station_waterbody_county!A:A, station_waterbody_county!C:C)</f>
        <v>Lunenburg</v>
      </c>
      <c r="E316" s="6"/>
      <c r="F316" s="6" t="s">
        <v>310</v>
      </c>
      <c r="G316" s="12">
        <v>45239</v>
      </c>
      <c r="H316" s="5"/>
      <c r="I316" s="4">
        <v>45414</v>
      </c>
      <c r="J316" s="5">
        <v>0.46527777777777779</v>
      </c>
      <c r="K316" s="10">
        <v>44.437299000000003</v>
      </c>
      <c r="L316" s="10">
        <v>-64.250557000000001</v>
      </c>
      <c r="O316" s="6"/>
      <c r="Q316" s="6" t="s">
        <v>341</v>
      </c>
      <c r="R316" s="6" t="s">
        <v>342</v>
      </c>
      <c r="S316" s="6" t="s">
        <v>239</v>
      </c>
      <c r="T316" s="11">
        <v>20291484</v>
      </c>
      <c r="U316" s="7">
        <v>15</v>
      </c>
      <c r="V316" s="6" t="s">
        <v>36</v>
      </c>
      <c r="W316" s="7">
        <v>27.8</v>
      </c>
      <c r="X316" s="6" t="s">
        <v>35</v>
      </c>
      <c r="Y316" s="7">
        <v>0.8</v>
      </c>
      <c r="Z316" s="7">
        <v>1.5</v>
      </c>
      <c r="AA316" s="6" t="s">
        <v>243</v>
      </c>
      <c r="AB316" s="6" t="s">
        <v>38</v>
      </c>
      <c r="AD316" s="6" t="s">
        <v>39</v>
      </c>
      <c r="AE316" s="6"/>
      <c r="AG316" s="6" t="s">
        <v>37</v>
      </c>
      <c r="AH316" s="7"/>
      <c r="AI316" s="6" t="s">
        <v>40</v>
      </c>
      <c r="AJ316" s="6" t="s">
        <v>238</v>
      </c>
      <c r="AK316" s="6" t="s">
        <v>35</v>
      </c>
      <c r="AL316" s="6" t="s">
        <v>271</v>
      </c>
      <c r="AM316" s="6" t="s">
        <v>41</v>
      </c>
    </row>
    <row r="317" spans="1:40" hidden="1" x14ac:dyDescent="0.25">
      <c r="A317" s="4">
        <v>45678</v>
      </c>
      <c r="B317" s="6" t="s">
        <v>161</v>
      </c>
      <c r="C317" t="str">
        <f>_xlfn.XLOOKUP(Table3[[#This Row],[station]],station_waterbody_county!A:A, station_waterbody_county!B:B)</f>
        <v>Mahone Bay</v>
      </c>
      <c r="D317" t="str">
        <f>_xlfn.XLOOKUP(Table3[[#This Row],[station]],station_waterbody_county!A:A, station_waterbody_county!C:C)</f>
        <v>Lunenburg</v>
      </c>
      <c r="E317" s="6"/>
      <c r="F317" s="6" t="s">
        <v>310</v>
      </c>
      <c r="G317" s="12">
        <v>45239</v>
      </c>
      <c r="H317" s="5"/>
      <c r="I317" s="4">
        <v>45414</v>
      </c>
      <c r="J317" s="5">
        <v>0.46527777777777779</v>
      </c>
      <c r="K317" s="10">
        <v>44.437299000000003</v>
      </c>
      <c r="L317" s="10">
        <v>-64.250557000000001</v>
      </c>
      <c r="O317" s="6"/>
      <c r="Q317" s="6" t="s">
        <v>341</v>
      </c>
      <c r="R317" s="6" t="s">
        <v>342</v>
      </c>
      <c r="S317" s="6" t="s">
        <v>239</v>
      </c>
      <c r="T317" s="11">
        <v>20291467</v>
      </c>
      <c r="U317" s="7">
        <v>20</v>
      </c>
      <c r="V317" s="6" t="s">
        <v>36</v>
      </c>
      <c r="W317" s="7">
        <v>27.8</v>
      </c>
      <c r="X317" s="6" t="s">
        <v>35</v>
      </c>
      <c r="Y317" s="7">
        <v>0.8</v>
      </c>
      <c r="Z317" s="7">
        <v>1.5</v>
      </c>
      <c r="AA317" s="6" t="s">
        <v>243</v>
      </c>
      <c r="AB317" s="6" t="s">
        <v>38</v>
      </c>
      <c r="AD317" s="6" t="s">
        <v>39</v>
      </c>
      <c r="AE317" s="6"/>
      <c r="AG317" s="6" t="s">
        <v>37</v>
      </c>
      <c r="AH317" s="7"/>
      <c r="AI317" s="6" t="s">
        <v>40</v>
      </c>
      <c r="AJ317" s="6" t="s">
        <v>238</v>
      </c>
      <c r="AK317" s="6" t="s">
        <v>35</v>
      </c>
      <c r="AL317" s="6" t="s">
        <v>271</v>
      </c>
      <c r="AM317" s="6" t="s">
        <v>41</v>
      </c>
    </row>
    <row r="318" spans="1:40" hidden="1" x14ac:dyDescent="0.25">
      <c r="A318" s="4">
        <v>45678</v>
      </c>
      <c r="B318" s="6" t="s">
        <v>161</v>
      </c>
      <c r="C318" t="str">
        <f>_xlfn.XLOOKUP(Table3[[#This Row],[station]],station_waterbody_county!A:A, station_waterbody_county!B:B)</f>
        <v>Mahone Bay</v>
      </c>
      <c r="D318" t="str">
        <f>_xlfn.XLOOKUP(Table3[[#This Row],[station]],station_waterbody_county!A:A, station_waterbody_county!C:C)</f>
        <v>Lunenburg</v>
      </c>
      <c r="E318" s="6"/>
      <c r="F318" s="6" t="s">
        <v>310</v>
      </c>
      <c r="G318" s="12">
        <v>45239</v>
      </c>
      <c r="H318" s="5"/>
      <c r="I318" s="4">
        <v>45414</v>
      </c>
      <c r="J318" s="5">
        <v>0.46527777777777779</v>
      </c>
      <c r="K318" s="10">
        <v>44.437299000000003</v>
      </c>
      <c r="L318" s="10">
        <v>-64.250557000000001</v>
      </c>
      <c r="O318" s="6"/>
      <c r="Q318" s="6" t="s">
        <v>341</v>
      </c>
      <c r="R318" s="6" t="s">
        <v>342</v>
      </c>
      <c r="S318" s="6" t="s">
        <v>42</v>
      </c>
      <c r="T318" s="11">
        <v>549346</v>
      </c>
      <c r="U318" s="7">
        <v>25</v>
      </c>
      <c r="V318" s="6" t="s">
        <v>36</v>
      </c>
      <c r="W318" s="7">
        <v>27.8</v>
      </c>
      <c r="X318" s="6" t="s">
        <v>35</v>
      </c>
      <c r="Y318" s="7">
        <v>0.8</v>
      </c>
      <c r="Z318" s="7">
        <v>1.5</v>
      </c>
      <c r="AA318" s="6" t="s">
        <v>243</v>
      </c>
      <c r="AB318" s="6" t="s">
        <v>38</v>
      </c>
      <c r="AD318" s="6" t="s">
        <v>39</v>
      </c>
      <c r="AE318" s="6"/>
      <c r="AG318" s="6" t="s">
        <v>37</v>
      </c>
      <c r="AH318" s="7"/>
      <c r="AI318" s="6" t="s">
        <v>40</v>
      </c>
      <c r="AJ318" s="6" t="s">
        <v>238</v>
      </c>
      <c r="AK318" s="6" t="s">
        <v>35</v>
      </c>
      <c r="AL318" s="6" t="s">
        <v>271</v>
      </c>
      <c r="AM318" s="6" t="s">
        <v>41</v>
      </c>
    </row>
    <row r="319" spans="1:40" x14ac:dyDescent="0.25">
      <c r="A319" s="4">
        <v>45784</v>
      </c>
      <c r="B319" s="6" t="s">
        <v>161</v>
      </c>
      <c r="C319" t="str">
        <f>_xlfn.XLOOKUP(Table3[[#This Row],[station]],station_waterbody_county!A:A, station_waterbody_county!B:B)</f>
        <v>Mahone Bay</v>
      </c>
      <c r="D319" t="str">
        <f>_xlfn.XLOOKUP(Table3[[#This Row],[station]],station_waterbody_county!A:A, station_waterbody_county!C:C)</f>
        <v>Lunenburg</v>
      </c>
      <c r="E319" s="6"/>
      <c r="F319" s="6" t="s">
        <v>310</v>
      </c>
      <c r="G319" s="4">
        <v>45617</v>
      </c>
      <c r="H319" s="5">
        <v>0.57430555555555551</v>
      </c>
      <c r="I319" s="4">
        <v>45779</v>
      </c>
      <c r="J319" s="5">
        <v>0.64027777777777772</v>
      </c>
      <c r="K319" s="10"/>
      <c r="O319" s="6" t="s">
        <v>594</v>
      </c>
      <c r="P319" s="6" t="s">
        <v>596</v>
      </c>
      <c r="Q319" s="6" t="s">
        <v>1231</v>
      </c>
      <c r="R319" s="6" t="s">
        <v>1232</v>
      </c>
      <c r="S319" s="6" t="s">
        <v>239</v>
      </c>
      <c r="T319" s="11">
        <v>21981721</v>
      </c>
      <c r="U319" s="7">
        <v>2</v>
      </c>
      <c r="V319" s="6" t="s">
        <v>36</v>
      </c>
      <c r="W319" s="7">
        <v>29.8</v>
      </c>
      <c r="X319" s="6" t="s">
        <v>35</v>
      </c>
      <c r="Y319" s="7">
        <v>1.4</v>
      </c>
      <c r="Z319" s="7">
        <v>1.5</v>
      </c>
      <c r="AA319" s="6" t="s">
        <v>243</v>
      </c>
      <c r="AB319" s="6" t="s">
        <v>38</v>
      </c>
      <c r="AD319" s="6" t="s">
        <v>39</v>
      </c>
      <c r="AE319" s="6"/>
      <c r="AG319" s="6" t="s">
        <v>37</v>
      </c>
      <c r="AH319" s="7">
        <v>60</v>
      </c>
      <c r="AI319" s="6" t="s">
        <v>40</v>
      </c>
      <c r="AJ319" s="6" t="s">
        <v>238</v>
      </c>
      <c r="AK319" s="6" t="s">
        <v>35</v>
      </c>
      <c r="AL319" s="6" t="s">
        <v>41</v>
      </c>
      <c r="AM319" s="6" t="s">
        <v>41</v>
      </c>
    </row>
    <row r="320" spans="1:40" x14ac:dyDescent="0.25">
      <c r="A320" s="4">
        <v>45784</v>
      </c>
      <c r="B320" s="6" t="s">
        <v>161</v>
      </c>
      <c r="C320" t="str">
        <f>_xlfn.XLOOKUP(Table3[[#This Row],[station]],station_waterbody_county!A:A, station_waterbody_county!B:B)</f>
        <v>Mahone Bay</v>
      </c>
      <c r="D320" t="str">
        <f>_xlfn.XLOOKUP(Table3[[#This Row],[station]],station_waterbody_county!A:A, station_waterbody_county!C:C)</f>
        <v>Lunenburg</v>
      </c>
      <c r="E320" s="6"/>
      <c r="F320" s="6" t="s">
        <v>310</v>
      </c>
      <c r="G320" s="4">
        <v>45617</v>
      </c>
      <c r="H320" s="5">
        <v>0.57430555555555551</v>
      </c>
      <c r="I320" s="4">
        <v>45779</v>
      </c>
      <c r="J320" s="5">
        <v>0.64027777777777772</v>
      </c>
      <c r="K320" s="10"/>
      <c r="O320" s="6" t="s">
        <v>594</v>
      </c>
      <c r="P320" s="6" t="s">
        <v>596</v>
      </c>
      <c r="Q320" s="6" t="s">
        <v>1231</v>
      </c>
      <c r="R320" s="6" t="s">
        <v>1232</v>
      </c>
      <c r="S320" s="6" t="s">
        <v>244</v>
      </c>
      <c r="T320" s="11">
        <v>21452279</v>
      </c>
      <c r="U320" s="7">
        <v>5</v>
      </c>
      <c r="V320" s="6" t="s">
        <v>36</v>
      </c>
      <c r="W320" s="7">
        <v>29.8</v>
      </c>
      <c r="X320" s="6" t="s">
        <v>35</v>
      </c>
      <c r="Y320" s="7">
        <v>1.4</v>
      </c>
      <c r="Z320" s="7">
        <v>1.5</v>
      </c>
      <c r="AA320" s="6" t="s">
        <v>243</v>
      </c>
      <c r="AB320" s="6" t="s">
        <v>38</v>
      </c>
      <c r="AD320" s="6" t="s">
        <v>39</v>
      </c>
      <c r="AE320" s="6"/>
      <c r="AG320" s="6" t="s">
        <v>37</v>
      </c>
      <c r="AH320" s="7">
        <v>60</v>
      </c>
      <c r="AI320" s="6" t="s">
        <v>40</v>
      </c>
      <c r="AJ320" s="6" t="s">
        <v>238</v>
      </c>
      <c r="AK320" s="6" t="s">
        <v>35</v>
      </c>
      <c r="AL320" s="6" t="s">
        <v>41</v>
      </c>
      <c r="AM320" s="6" t="s">
        <v>41</v>
      </c>
    </row>
    <row r="321" spans="1:39" x14ac:dyDescent="0.25">
      <c r="A321" s="4">
        <v>45784</v>
      </c>
      <c r="B321" s="6" t="s">
        <v>161</v>
      </c>
      <c r="C321" t="str">
        <f>_xlfn.XLOOKUP(Table3[[#This Row],[station]],station_waterbody_county!A:A, station_waterbody_county!B:B)</f>
        <v>Mahone Bay</v>
      </c>
      <c r="D321" t="str">
        <f>_xlfn.XLOOKUP(Table3[[#This Row],[station]],station_waterbody_county!A:A, station_waterbody_county!C:C)</f>
        <v>Lunenburg</v>
      </c>
      <c r="E321" s="6"/>
      <c r="F321" s="6" t="s">
        <v>310</v>
      </c>
      <c r="G321" s="4">
        <v>45617</v>
      </c>
      <c r="H321" s="5">
        <v>0.57430555555555551</v>
      </c>
      <c r="I321" s="4">
        <v>45779</v>
      </c>
      <c r="J321" s="5">
        <v>0.64027777777777772</v>
      </c>
      <c r="K321" s="10"/>
      <c r="O321" s="6" t="s">
        <v>594</v>
      </c>
      <c r="P321" s="6" t="s">
        <v>596</v>
      </c>
      <c r="Q321" s="6" t="s">
        <v>1231</v>
      </c>
      <c r="R321" s="6" t="s">
        <v>1232</v>
      </c>
      <c r="S321" s="6" t="s">
        <v>239</v>
      </c>
      <c r="T321" s="11">
        <v>21152409</v>
      </c>
      <c r="U321" s="7">
        <v>10</v>
      </c>
      <c r="V321" s="6" t="s">
        <v>36</v>
      </c>
      <c r="W321" s="7">
        <v>29.8</v>
      </c>
      <c r="X321" s="6" t="s">
        <v>35</v>
      </c>
      <c r="Y321" s="7">
        <v>1.4</v>
      </c>
      <c r="Z321" s="7">
        <v>1.5</v>
      </c>
      <c r="AA321" s="6" t="s">
        <v>243</v>
      </c>
      <c r="AB321" s="6" t="s">
        <v>38</v>
      </c>
      <c r="AD321" s="6" t="s">
        <v>39</v>
      </c>
      <c r="AE321" s="6"/>
      <c r="AG321" s="6" t="s">
        <v>37</v>
      </c>
      <c r="AH321" s="7">
        <v>60</v>
      </c>
      <c r="AI321" s="6" t="s">
        <v>40</v>
      </c>
      <c r="AJ321" s="6" t="s">
        <v>238</v>
      </c>
      <c r="AK321" s="6" t="s">
        <v>35</v>
      </c>
      <c r="AL321" s="6" t="s">
        <v>41</v>
      </c>
      <c r="AM321" s="6" t="s">
        <v>41</v>
      </c>
    </row>
    <row r="322" spans="1:39" x14ac:dyDescent="0.25">
      <c r="A322" s="4">
        <v>45784</v>
      </c>
      <c r="B322" s="6" t="s">
        <v>161</v>
      </c>
      <c r="C322" t="str">
        <f>_xlfn.XLOOKUP(Table3[[#This Row],[station]],station_waterbody_county!A:A, station_waterbody_county!B:B)</f>
        <v>Mahone Bay</v>
      </c>
      <c r="D322" t="str">
        <f>_xlfn.XLOOKUP(Table3[[#This Row],[station]],station_waterbody_county!A:A, station_waterbody_county!C:C)</f>
        <v>Lunenburg</v>
      </c>
      <c r="E322" s="6"/>
      <c r="F322" s="6" t="s">
        <v>310</v>
      </c>
      <c r="G322" s="4">
        <v>45617</v>
      </c>
      <c r="H322" s="5">
        <v>0.57430555555555551</v>
      </c>
      <c r="I322" s="4">
        <v>45779</v>
      </c>
      <c r="J322" s="5">
        <v>0.64027777777777772</v>
      </c>
      <c r="K322" s="10"/>
      <c r="O322" s="6" t="s">
        <v>594</v>
      </c>
      <c r="P322" s="6" t="s">
        <v>596</v>
      </c>
      <c r="Q322" s="6" t="s">
        <v>1231</v>
      </c>
      <c r="R322" s="6" t="s">
        <v>1232</v>
      </c>
      <c r="S322" s="6" t="s">
        <v>239</v>
      </c>
      <c r="T322" s="11">
        <v>20495249</v>
      </c>
      <c r="U322" s="7">
        <v>15</v>
      </c>
      <c r="V322" s="6" t="s">
        <v>36</v>
      </c>
      <c r="W322" s="7">
        <v>29.8</v>
      </c>
      <c r="X322" s="6" t="s">
        <v>35</v>
      </c>
      <c r="Y322" s="7">
        <v>1.4</v>
      </c>
      <c r="Z322" s="7">
        <v>1.5</v>
      </c>
      <c r="AA322" s="6" t="s">
        <v>243</v>
      </c>
      <c r="AB322" s="6" t="s">
        <v>38</v>
      </c>
      <c r="AD322" s="6" t="s">
        <v>39</v>
      </c>
      <c r="AE322" s="6"/>
      <c r="AG322" s="6" t="s">
        <v>37</v>
      </c>
      <c r="AH322" s="7">
        <v>60</v>
      </c>
      <c r="AI322" s="6" t="s">
        <v>40</v>
      </c>
      <c r="AJ322" s="6" t="s">
        <v>238</v>
      </c>
      <c r="AK322" s="6" t="s">
        <v>35</v>
      </c>
      <c r="AL322" s="6" t="s">
        <v>41</v>
      </c>
      <c r="AM322" s="6" t="s">
        <v>41</v>
      </c>
    </row>
    <row r="323" spans="1:39" x14ac:dyDescent="0.25">
      <c r="A323" s="4">
        <v>45784</v>
      </c>
      <c r="B323" s="6" t="s">
        <v>161</v>
      </c>
      <c r="C323" t="str">
        <f>_xlfn.XLOOKUP(Table3[[#This Row],[station]],station_waterbody_county!A:A, station_waterbody_county!B:B)</f>
        <v>Mahone Bay</v>
      </c>
      <c r="D323" t="str">
        <f>_xlfn.XLOOKUP(Table3[[#This Row],[station]],station_waterbody_county!A:A, station_waterbody_county!C:C)</f>
        <v>Lunenburg</v>
      </c>
      <c r="E323" s="6"/>
      <c r="F323" s="6" t="s">
        <v>310</v>
      </c>
      <c r="G323" s="4">
        <v>45617</v>
      </c>
      <c r="H323" s="5">
        <v>0.57430555555555551</v>
      </c>
      <c r="I323" s="4">
        <v>45779</v>
      </c>
      <c r="J323" s="5">
        <v>0.64027777777777772</v>
      </c>
      <c r="K323" s="10"/>
      <c r="O323" s="6" t="s">
        <v>594</v>
      </c>
      <c r="P323" s="6" t="s">
        <v>596</v>
      </c>
      <c r="Q323" s="6" t="s">
        <v>1231</v>
      </c>
      <c r="R323" s="6" t="s">
        <v>1232</v>
      </c>
      <c r="S323" s="6" t="s">
        <v>239</v>
      </c>
      <c r="T323" s="11">
        <v>20291422</v>
      </c>
      <c r="U323" s="7">
        <v>20</v>
      </c>
      <c r="V323" s="6" t="s">
        <v>36</v>
      </c>
      <c r="W323" s="7">
        <v>29.8</v>
      </c>
      <c r="X323" s="6" t="s">
        <v>35</v>
      </c>
      <c r="Y323" s="7">
        <v>1.4</v>
      </c>
      <c r="Z323" s="7">
        <v>1.5</v>
      </c>
      <c r="AA323" s="6" t="s">
        <v>243</v>
      </c>
      <c r="AB323" s="6" t="s">
        <v>38</v>
      </c>
      <c r="AD323" s="6" t="s">
        <v>39</v>
      </c>
      <c r="AE323" s="6"/>
      <c r="AG323" s="6" t="s">
        <v>37</v>
      </c>
      <c r="AH323" s="7">
        <v>60</v>
      </c>
      <c r="AI323" s="6" t="s">
        <v>40</v>
      </c>
      <c r="AJ323" s="6" t="s">
        <v>238</v>
      </c>
      <c r="AK323" s="6" t="s">
        <v>35</v>
      </c>
      <c r="AL323" s="6" t="s">
        <v>41</v>
      </c>
      <c r="AM323" s="6" t="s">
        <v>41</v>
      </c>
    </row>
    <row r="324" spans="1:39" x14ac:dyDescent="0.25">
      <c r="A324" s="4">
        <v>45784</v>
      </c>
      <c r="B324" s="6" t="s">
        <v>161</v>
      </c>
      <c r="C324" t="str">
        <f>_xlfn.XLOOKUP(Table3[[#This Row],[station]],station_waterbody_county!A:A, station_waterbody_county!B:B)</f>
        <v>Mahone Bay</v>
      </c>
      <c r="D324" t="str">
        <f>_xlfn.XLOOKUP(Table3[[#This Row],[station]],station_waterbody_county!A:A, station_waterbody_county!C:C)</f>
        <v>Lunenburg</v>
      </c>
      <c r="E324" s="6"/>
      <c r="F324" s="6" t="s">
        <v>310</v>
      </c>
      <c r="G324" s="4">
        <v>45617</v>
      </c>
      <c r="H324" s="5">
        <v>0.57430555555555551</v>
      </c>
      <c r="I324" s="4">
        <v>45779</v>
      </c>
      <c r="J324" s="5">
        <v>0.64027777777777772</v>
      </c>
      <c r="K324" s="10"/>
      <c r="O324" s="6" t="s">
        <v>594</v>
      </c>
      <c r="P324" s="6" t="s">
        <v>596</v>
      </c>
      <c r="Q324" s="6" t="s">
        <v>1231</v>
      </c>
      <c r="R324" s="6" t="s">
        <v>1232</v>
      </c>
      <c r="S324" s="6" t="s">
        <v>42</v>
      </c>
      <c r="T324" s="11">
        <v>600010</v>
      </c>
      <c r="U324" s="7">
        <v>25</v>
      </c>
      <c r="V324" s="6" t="s">
        <v>36</v>
      </c>
      <c r="W324" s="7">
        <v>29.8</v>
      </c>
      <c r="X324" s="6" t="s">
        <v>35</v>
      </c>
      <c r="Y324" s="7">
        <v>1.4</v>
      </c>
      <c r="Z324" s="7">
        <v>1.5</v>
      </c>
      <c r="AA324" s="6" t="s">
        <v>243</v>
      </c>
      <c r="AB324" s="6" t="s">
        <v>38</v>
      </c>
      <c r="AD324" s="6" t="s">
        <v>39</v>
      </c>
      <c r="AE324" s="6"/>
      <c r="AG324" s="6" t="s">
        <v>37</v>
      </c>
      <c r="AH324" s="7">
        <v>60</v>
      </c>
      <c r="AI324" s="6" t="s">
        <v>40</v>
      </c>
      <c r="AJ324" s="6" t="s">
        <v>238</v>
      </c>
      <c r="AK324" s="6" t="s">
        <v>35</v>
      </c>
      <c r="AL324" s="6" t="s">
        <v>41</v>
      </c>
      <c r="AM324" s="6" t="s">
        <v>41</v>
      </c>
    </row>
    <row r="325" spans="1:39" x14ac:dyDescent="0.25">
      <c r="A325" s="4">
        <v>45784</v>
      </c>
      <c r="B325" s="6" t="s">
        <v>161</v>
      </c>
      <c r="C325" t="str">
        <f>_xlfn.XLOOKUP(Table3[[#This Row],[station]],station_waterbody_county!A:A, station_waterbody_county!B:B)</f>
        <v>Mahone Bay</v>
      </c>
      <c r="D325" t="str">
        <f>_xlfn.XLOOKUP(Table3[[#This Row],[station]],station_waterbody_county!A:A, station_waterbody_county!C:C)</f>
        <v>Lunenburg</v>
      </c>
      <c r="E325" s="6"/>
      <c r="F325" s="6" t="s">
        <v>310</v>
      </c>
      <c r="G325" s="4">
        <v>45617</v>
      </c>
      <c r="H325" s="5">
        <v>0.57430555555555551</v>
      </c>
      <c r="I325" s="4">
        <v>45779</v>
      </c>
      <c r="J325" s="5">
        <v>0.64027777777777772</v>
      </c>
      <c r="K325" s="10"/>
      <c r="O325" s="6" t="s">
        <v>594</v>
      </c>
      <c r="P325" s="6" t="s">
        <v>596</v>
      </c>
      <c r="Q325" s="6" t="s">
        <v>1231</v>
      </c>
      <c r="R325" s="6" t="s">
        <v>1232</v>
      </c>
      <c r="S325" s="6" t="s">
        <v>239</v>
      </c>
      <c r="T325" s="11">
        <v>22048583</v>
      </c>
      <c r="U325" s="7">
        <v>25</v>
      </c>
      <c r="V325" s="6" t="s">
        <v>36</v>
      </c>
      <c r="W325" s="7">
        <v>29.8</v>
      </c>
      <c r="X325" s="6" t="s">
        <v>35</v>
      </c>
      <c r="Y325" s="7">
        <v>1.4</v>
      </c>
      <c r="Z325" s="7">
        <v>1.5</v>
      </c>
      <c r="AA325" s="6" t="s">
        <v>243</v>
      </c>
      <c r="AB325" s="6" t="s">
        <v>38</v>
      </c>
      <c r="AD325" s="6" t="s">
        <v>39</v>
      </c>
      <c r="AE325" s="6"/>
      <c r="AG325" s="6" t="s">
        <v>37</v>
      </c>
      <c r="AH325" s="7">
        <v>60</v>
      </c>
      <c r="AI325" s="6" t="s">
        <v>40</v>
      </c>
      <c r="AJ325" s="6" t="s">
        <v>238</v>
      </c>
      <c r="AK325" s="6" t="s">
        <v>35</v>
      </c>
      <c r="AL325" s="6" t="s">
        <v>41</v>
      </c>
      <c r="AM325" s="6" t="s">
        <v>41</v>
      </c>
    </row>
    <row r="326" spans="1:39" hidden="1" x14ac:dyDescent="0.25">
      <c r="A326" s="4">
        <v>45784</v>
      </c>
      <c r="B326" s="6" t="s">
        <v>161</v>
      </c>
      <c r="C326" t="str">
        <f>_xlfn.XLOOKUP(Table3[[#This Row],[station]],station_waterbody_county!A:A, station_waterbody_county!B:B)</f>
        <v>Mahone Bay</v>
      </c>
      <c r="D326" t="str">
        <f>_xlfn.XLOOKUP(Table3[[#This Row],[station]],station_waterbody_county!A:A, station_waterbody_county!C:C)</f>
        <v>Lunenburg</v>
      </c>
      <c r="E326" s="6"/>
      <c r="F326" s="6" t="s">
        <v>34</v>
      </c>
      <c r="G326" s="12">
        <v>45779</v>
      </c>
      <c r="H326" s="5">
        <v>0.65833333333333333</v>
      </c>
      <c r="I326" s="4"/>
      <c r="J326" s="5"/>
      <c r="K326" s="10"/>
      <c r="O326" s="6" t="s">
        <v>1231</v>
      </c>
      <c r="P326" s="6" t="s">
        <v>1235</v>
      </c>
      <c r="S326" s="6" t="s">
        <v>239</v>
      </c>
      <c r="T326" s="11">
        <v>20922072</v>
      </c>
      <c r="U326" s="7">
        <v>2</v>
      </c>
      <c r="V326" s="6" t="s">
        <v>36</v>
      </c>
      <c r="W326" s="7">
        <v>29.8</v>
      </c>
      <c r="X326" s="6" t="s">
        <v>35</v>
      </c>
      <c r="Y326" s="7">
        <v>1.74</v>
      </c>
      <c r="Z326" s="7">
        <v>1.5</v>
      </c>
      <c r="AA326" s="6" t="s">
        <v>370</v>
      </c>
      <c r="AB326" s="6" t="s">
        <v>38</v>
      </c>
      <c r="AD326" s="6" t="s">
        <v>39</v>
      </c>
      <c r="AE326" s="6" t="s">
        <v>40</v>
      </c>
      <c r="AG326" s="6" t="s">
        <v>37</v>
      </c>
      <c r="AH326" s="7">
        <v>60</v>
      </c>
      <c r="AI326" s="6" t="s">
        <v>40</v>
      </c>
      <c r="AJ326" s="6" t="s">
        <v>238</v>
      </c>
      <c r="AL326" s="6" t="s">
        <v>41</v>
      </c>
    </row>
    <row r="327" spans="1:39" hidden="1" x14ac:dyDescent="0.25">
      <c r="A327" s="4">
        <v>45784</v>
      </c>
      <c r="B327" s="6" t="s">
        <v>161</v>
      </c>
      <c r="C327" t="str">
        <f>_xlfn.XLOOKUP(Table3[[#This Row],[station]],station_waterbody_county!A:A, station_waterbody_county!B:B)</f>
        <v>Mahone Bay</v>
      </c>
      <c r="D327" t="str">
        <f>_xlfn.XLOOKUP(Table3[[#This Row],[station]],station_waterbody_county!A:A, station_waterbody_county!C:C)</f>
        <v>Lunenburg</v>
      </c>
      <c r="E327" s="6"/>
      <c r="F327" s="6" t="s">
        <v>34</v>
      </c>
      <c r="G327" s="12">
        <v>45779</v>
      </c>
      <c r="H327" s="5">
        <v>0.65833333333333333</v>
      </c>
      <c r="I327" s="4"/>
      <c r="J327" s="5"/>
      <c r="K327" s="10"/>
      <c r="O327" s="6" t="s">
        <v>1231</v>
      </c>
      <c r="P327" s="6" t="s">
        <v>1235</v>
      </c>
      <c r="S327" s="6" t="s">
        <v>244</v>
      </c>
      <c r="T327" s="11">
        <v>21473802</v>
      </c>
      <c r="U327" s="7">
        <v>5</v>
      </c>
      <c r="V327" s="6" t="s">
        <v>36</v>
      </c>
      <c r="W327" s="7">
        <v>29.8</v>
      </c>
      <c r="X327" s="6" t="s">
        <v>35</v>
      </c>
      <c r="Y327" s="7">
        <v>1.74</v>
      </c>
      <c r="Z327" s="7">
        <v>1.5</v>
      </c>
      <c r="AA327" s="6" t="s">
        <v>370</v>
      </c>
      <c r="AB327" s="6" t="s">
        <v>38</v>
      </c>
      <c r="AD327" s="6" t="s">
        <v>39</v>
      </c>
      <c r="AE327" s="6" t="s">
        <v>40</v>
      </c>
      <c r="AG327" s="6" t="s">
        <v>37</v>
      </c>
      <c r="AH327" s="7">
        <v>60</v>
      </c>
      <c r="AI327" s="6" t="s">
        <v>40</v>
      </c>
      <c r="AJ327" s="6" t="s">
        <v>238</v>
      </c>
      <c r="AL327" s="6" t="s">
        <v>41</v>
      </c>
    </row>
    <row r="328" spans="1:39" hidden="1" x14ac:dyDescent="0.25">
      <c r="A328" s="4">
        <v>45784</v>
      </c>
      <c r="B328" s="6" t="s">
        <v>161</v>
      </c>
      <c r="C328" t="str">
        <f>_xlfn.XLOOKUP(Table3[[#This Row],[station]],station_waterbody_county!A:A, station_waterbody_county!B:B)</f>
        <v>Mahone Bay</v>
      </c>
      <c r="D328" t="str">
        <f>_xlfn.XLOOKUP(Table3[[#This Row],[station]],station_waterbody_county!A:A, station_waterbody_county!C:C)</f>
        <v>Lunenburg</v>
      </c>
      <c r="E328" s="6"/>
      <c r="F328" s="6" t="s">
        <v>34</v>
      </c>
      <c r="G328" s="12">
        <v>45779</v>
      </c>
      <c r="H328" s="5">
        <v>0.65833333333333333</v>
      </c>
      <c r="I328" s="4"/>
      <c r="J328" s="5"/>
      <c r="K328" s="10"/>
      <c r="O328" s="6" t="s">
        <v>1231</v>
      </c>
      <c r="P328" s="6" t="s">
        <v>1235</v>
      </c>
      <c r="S328" s="6" t="s">
        <v>239</v>
      </c>
      <c r="T328" s="11">
        <v>22278868</v>
      </c>
      <c r="U328" s="7">
        <v>10</v>
      </c>
      <c r="V328" s="6" t="s">
        <v>36</v>
      </c>
      <c r="W328" s="7">
        <v>29.8</v>
      </c>
      <c r="X328" s="6" t="s">
        <v>35</v>
      </c>
      <c r="Y328" s="7">
        <v>1.74</v>
      </c>
      <c r="Z328" s="7">
        <v>1.5</v>
      </c>
      <c r="AA328" s="6" t="s">
        <v>370</v>
      </c>
      <c r="AB328" s="6" t="s">
        <v>38</v>
      </c>
      <c r="AD328" s="6" t="s">
        <v>39</v>
      </c>
      <c r="AE328" s="6" t="s">
        <v>40</v>
      </c>
      <c r="AG328" s="6" t="s">
        <v>37</v>
      </c>
      <c r="AH328" s="7">
        <v>60</v>
      </c>
      <c r="AI328" s="6" t="s">
        <v>40</v>
      </c>
      <c r="AJ328" s="6" t="s">
        <v>238</v>
      </c>
      <c r="AL328" s="6" t="s">
        <v>41</v>
      </c>
    </row>
    <row r="329" spans="1:39" hidden="1" x14ac:dyDescent="0.25">
      <c r="A329" s="4">
        <v>45784</v>
      </c>
      <c r="B329" s="6" t="s">
        <v>161</v>
      </c>
      <c r="C329" t="str">
        <f>_xlfn.XLOOKUP(Table3[[#This Row],[station]],station_waterbody_county!A:A, station_waterbody_county!B:B)</f>
        <v>Mahone Bay</v>
      </c>
      <c r="D329" t="str">
        <f>_xlfn.XLOOKUP(Table3[[#This Row],[station]],station_waterbody_county!A:A, station_waterbody_county!C:C)</f>
        <v>Lunenburg</v>
      </c>
      <c r="E329" s="6"/>
      <c r="F329" s="6" t="s">
        <v>34</v>
      </c>
      <c r="G329" s="12">
        <v>45779</v>
      </c>
      <c r="H329" s="5">
        <v>0.65833333333333333</v>
      </c>
      <c r="I329" s="4"/>
      <c r="J329" s="5"/>
      <c r="K329" s="10"/>
      <c r="O329" s="6" t="s">
        <v>1231</v>
      </c>
      <c r="P329" s="6" t="s">
        <v>1235</v>
      </c>
      <c r="S329" s="6" t="s">
        <v>239</v>
      </c>
      <c r="T329" s="11">
        <v>22278831</v>
      </c>
      <c r="U329" s="7">
        <v>15</v>
      </c>
      <c r="V329" s="6" t="s">
        <v>36</v>
      </c>
      <c r="W329" s="7">
        <v>29.8</v>
      </c>
      <c r="X329" s="6" t="s">
        <v>35</v>
      </c>
      <c r="Y329" s="7">
        <v>1.74</v>
      </c>
      <c r="Z329" s="7">
        <v>1.5</v>
      </c>
      <c r="AA329" s="6" t="s">
        <v>370</v>
      </c>
      <c r="AB329" s="6" t="s">
        <v>38</v>
      </c>
      <c r="AD329" s="6" t="s">
        <v>39</v>
      </c>
      <c r="AE329" s="6" t="s">
        <v>40</v>
      </c>
      <c r="AG329" s="6" t="s">
        <v>37</v>
      </c>
      <c r="AH329" s="7">
        <v>60</v>
      </c>
      <c r="AI329" s="6" t="s">
        <v>40</v>
      </c>
      <c r="AJ329" s="6" t="s">
        <v>238</v>
      </c>
      <c r="AL329" s="6" t="s">
        <v>41</v>
      </c>
    </row>
    <row r="330" spans="1:39" hidden="1" x14ac:dyDescent="0.25">
      <c r="A330" s="4">
        <v>45784</v>
      </c>
      <c r="B330" s="6" t="s">
        <v>161</v>
      </c>
      <c r="C330" t="str">
        <f>_xlfn.XLOOKUP(Table3[[#This Row],[station]],station_waterbody_county!A:A, station_waterbody_county!B:B)</f>
        <v>Mahone Bay</v>
      </c>
      <c r="D330" t="str">
        <f>_xlfn.XLOOKUP(Table3[[#This Row],[station]],station_waterbody_county!A:A, station_waterbody_county!C:C)</f>
        <v>Lunenburg</v>
      </c>
      <c r="E330" s="6"/>
      <c r="F330" s="6" t="s">
        <v>34</v>
      </c>
      <c r="G330" s="12">
        <v>45779</v>
      </c>
      <c r="H330" s="5">
        <v>0.65833333333333333</v>
      </c>
      <c r="I330" s="4"/>
      <c r="J330" s="5"/>
      <c r="K330" s="10"/>
      <c r="O330" s="6" t="s">
        <v>1231</v>
      </c>
      <c r="P330" s="6" t="s">
        <v>1235</v>
      </c>
      <c r="S330" s="6" t="s">
        <v>239</v>
      </c>
      <c r="T330" s="11">
        <v>22048803</v>
      </c>
      <c r="U330" s="7">
        <v>20</v>
      </c>
      <c r="V330" s="6" t="s">
        <v>36</v>
      </c>
      <c r="W330" s="7">
        <v>29.8</v>
      </c>
      <c r="X330" s="6" t="s">
        <v>35</v>
      </c>
      <c r="Y330" s="7">
        <v>1.74</v>
      </c>
      <c r="Z330" s="7">
        <v>1.5</v>
      </c>
      <c r="AA330" s="6" t="s">
        <v>370</v>
      </c>
      <c r="AB330" s="6" t="s">
        <v>38</v>
      </c>
      <c r="AD330" s="6" t="s">
        <v>39</v>
      </c>
      <c r="AE330" s="6" t="s">
        <v>40</v>
      </c>
      <c r="AG330" s="6" t="s">
        <v>37</v>
      </c>
      <c r="AH330" s="7">
        <v>60</v>
      </c>
      <c r="AI330" s="6" t="s">
        <v>40</v>
      </c>
      <c r="AJ330" s="6" t="s">
        <v>238</v>
      </c>
      <c r="AL330" s="6" t="s">
        <v>41</v>
      </c>
    </row>
    <row r="331" spans="1:39" hidden="1" x14ac:dyDescent="0.25">
      <c r="A331" s="4">
        <v>45784</v>
      </c>
      <c r="B331" s="6" t="s">
        <v>161</v>
      </c>
      <c r="C331" t="str">
        <f>_xlfn.XLOOKUP(Table3[[#This Row],[station]],station_waterbody_county!A:A, station_waterbody_county!B:B)</f>
        <v>Mahone Bay</v>
      </c>
      <c r="D331" t="str">
        <f>_xlfn.XLOOKUP(Table3[[#This Row],[station]],station_waterbody_county!A:A, station_waterbody_county!C:C)</f>
        <v>Lunenburg</v>
      </c>
      <c r="E331" s="6"/>
      <c r="F331" s="6" t="s">
        <v>34</v>
      </c>
      <c r="G331" s="12">
        <v>45779</v>
      </c>
      <c r="H331" s="5">
        <v>0.65833333333333333</v>
      </c>
      <c r="I331" s="4"/>
      <c r="J331" s="5"/>
      <c r="K331" s="10"/>
      <c r="O331" s="6" t="s">
        <v>1231</v>
      </c>
      <c r="P331" s="6" t="s">
        <v>1235</v>
      </c>
      <c r="S331" s="6" t="s">
        <v>42</v>
      </c>
      <c r="T331" s="11">
        <v>549347</v>
      </c>
      <c r="U331" s="7">
        <v>25</v>
      </c>
      <c r="V331" s="6" t="s">
        <v>36</v>
      </c>
      <c r="W331" s="7">
        <v>29.8</v>
      </c>
      <c r="X331" s="6" t="s">
        <v>35</v>
      </c>
      <c r="Y331" s="7">
        <v>1.74</v>
      </c>
      <c r="Z331" s="7">
        <v>1.5</v>
      </c>
      <c r="AA331" s="6" t="s">
        <v>370</v>
      </c>
      <c r="AB331" s="6" t="s">
        <v>38</v>
      </c>
      <c r="AD331" s="6" t="s">
        <v>39</v>
      </c>
      <c r="AE331" s="6" t="s">
        <v>40</v>
      </c>
      <c r="AG331" s="6" t="s">
        <v>37</v>
      </c>
      <c r="AH331" s="7">
        <v>60</v>
      </c>
      <c r="AI331" s="6" t="s">
        <v>40</v>
      </c>
      <c r="AJ331" s="6" t="s">
        <v>238</v>
      </c>
      <c r="AL331" s="6" t="s">
        <v>41</v>
      </c>
    </row>
    <row r="332" spans="1:39" hidden="1" x14ac:dyDescent="0.25">
      <c r="A332" s="4">
        <v>45784</v>
      </c>
      <c r="B332" s="6" t="s">
        <v>161</v>
      </c>
      <c r="C332" t="str">
        <f>_xlfn.XLOOKUP(Table3[[#This Row],[station]],station_waterbody_county!A:A, station_waterbody_county!B:B)</f>
        <v>Mahone Bay</v>
      </c>
      <c r="D332" t="str">
        <f>_xlfn.XLOOKUP(Table3[[#This Row],[station]],station_waterbody_county!A:A, station_waterbody_county!C:C)</f>
        <v>Lunenburg</v>
      </c>
      <c r="E332" s="6"/>
      <c r="F332" s="6" t="s">
        <v>34</v>
      </c>
      <c r="G332" s="12">
        <v>45779</v>
      </c>
      <c r="H332" s="5">
        <v>0.65833333333333333</v>
      </c>
      <c r="I332" s="4"/>
      <c r="J332" s="5"/>
      <c r="K332" s="10"/>
      <c r="O332" s="6" t="s">
        <v>1231</v>
      </c>
      <c r="P332" s="6" t="s">
        <v>1235</v>
      </c>
      <c r="S332" s="6" t="s">
        <v>239</v>
      </c>
      <c r="T332" s="11">
        <v>22224440</v>
      </c>
      <c r="U332" s="7">
        <v>25</v>
      </c>
      <c r="V332" s="6" t="s">
        <v>36</v>
      </c>
      <c r="W332" s="7">
        <v>29.8</v>
      </c>
      <c r="X332" s="6" t="s">
        <v>35</v>
      </c>
      <c r="Y332" s="7">
        <v>1.74</v>
      </c>
      <c r="Z332" s="7">
        <v>1.5</v>
      </c>
      <c r="AA332" s="6" t="s">
        <v>370</v>
      </c>
      <c r="AB332" s="6" t="s">
        <v>38</v>
      </c>
      <c r="AD332" s="6" t="s">
        <v>39</v>
      </c>
      <c r="AE332" s="6" t="s">
        <v>40</v>
      </c>
      <c r="AG332" s="6" t="s">
        <v>37</v>
      </c>
      <c r="AH332" s="7">
        <v>60</v>
      </c>
      <c r="AI332" s="6" t="s">
        <v>40</v>
      </c>
      <c r="AJ332" s="6" t="s">
        <v>238</v>
      </c>
      <c r="AL332" s="6" t="s">
        <v>41</v>
      </c>
    </row>
    <row r="333" spans="1:39" x14ac:dyDescent="0.25">
      <c r="A333" s="4">
        <v>45884</v>
      </c>
      <c r="B333" s="6" t="s">
        <v>80</v>
      </c>
      <c r="C333" t="str">
        <f>_xlfn.XLOOKUP(Table3[[#This Row],[station]],station_waterbody_county!A:A, station_waterbody_county!B:B)</f>
        <v>Lobster Bay</v>
      </c>
      <c r="D333" t="str">
        <f>_xlfn.XLOOKUP(Table3[[#This Row],[station]],station_waterbody_county!A:A, station_waterbody_county!C:C)</f>
        <v>Yarmouth</v>
      </c>
      <c r="E333" s="6"/>
      <c r="F333" s="6" t="s">
        <v>310</v>
      </c>
      <c r="G333" s="4">
        <v>45511</v>
      </c>
      <c r="H333" s="5">
        <v>0.50277777777777777</v>
      </c>
      <c r="I333" s="4">
        <v>45869</v>
      </c>
      <c r="J333" s="5">
        <v>0.70416666666666672</v>
      </c>
      <c r="K333" s="10"/>
      <c r="O333" s="6" t="s">
        <v>455</v>
      </c>
      <c r="P333" s="6" t="s">
        <v>456</v>
      </c>
      <c r="Q333" s="6" t="s">
        <v>1392</v>
      </c>
      <c r="R333" s="6" t="s">
        <v>1393</v>
      </c>
      <c r="S333" s="6" t="s">
        <v>253</v>
      </c>
      <c r="T333" s="11">
        <v>686010</v>
      </c>
      <c r="U333" s="7">
        <v>2</v>
      </c>
      <c r="V333" s="6" t="s">
        <v>36</v>
      </c>
      <c r="W333" s="7">
        <v>11.6</v>
      </c>
      <c r="X333" s="6" t="s">
        <v>35</v>
      </c>
      <c r="Y333" s="7">
        <v>1.6</v>
      </c>
      <c r="Z333" s="7">
        <v>0.5</v>
      </c>
      <c r="AA333" s="6" t="s">
        <v>243</v>
      </c>
      <c r="AB333" s="6" t="s">
        <v>39</v>
      </c>
      <c r="AC333" s="6" t="s">
        <v>39</v>
      </c>
      <c r="AD333" s="6" t="s">
        <v>39</v>
      </c>
      <c r="AE333" s="6"/>
      <c r="AG333" s="6" t="s">
        <v>37</v>
      </c>
      <c r="AH333" s="7">
        <v>60</v>
      </c>
      <c r="AI333" s="6" t="s">
        <v>40</v>
      </c>
      <c r="AJ333" s="6" t="s">
        <v>238</v>
      </c>
      <c r="AL333" s="6" t="s">
        <v>41</v>
      </c>
      <c r="AM333" s="6" t="s">
        <v>41</v>
      </c>
    </row>
    <row r="334" spans="1:39" x14ac:dyDescent="0.25">
      <c r="A334" s="4">
        <v>45884</v>
      </c>
      <c r="B334" s="6" t="s">
        <v>80</v>
      </c>
      <c r="C334" t="str">
        <f>_xlfn.XLOOKUP(Table3[[#This Row],[station]],station_waterbody_county!A:A, station_waterbody_county!B:B)</f>
        <v>Lobster Bay</v>
      </c>
      <c r="D334" t="str">
        <f>_xlfn.XLOOKUP(Table3[[#This Row],[station]],station_waterbody_county!A:A, station_waterbody_county!C:C)</f>
        <v>Yarmouth</v>
      </c>
      <c r="E334" s="6"/>
      <c r="F334" s="6" t="s">
        <v>310</v>
      </c>
      <c r="G334" s="4">
        <v>45511</v>
      </c>
      <c r="H334" s="5">
        <v>0.50277777777777777</v>
      </c>
      <c r="I334" s="4">
        <v>45869</v>
      </c>
      <c r="J334" s="5">
        <v>0.70416666666666672</v>
      </c>
      <c r="K334" s="10"/>
      <c r="O334" s="6" t="s">
        <v>455</v>
      </c>
      <c r="P334" s="6" t="s">
        <v>456</v>
      </c>
      <c r="Q334" s="6" t="s">
        <v>1392</v>
      </c>
      <c r="R334" s="6" t="s">
        <v>1393</v>
      </c>
      <c r="S334" s="6" t="s">
        <v>240</v>
      </c>
      <c r="T334" s="11">
        <v>671426</v>
      </c>
      <c r="U334" s="7">
        <v>4</v>
      </c>
      <c r="V334" s="6" t="s">
        <v>36</v>
      </c>
      <c r="W334" s="7">
        <v>11.6</v>
      </c>
      <c r="X334" s="6" t="s">
        <v>35</v>
      </c>
      <c r="Y334" s="7">
        <v>1.6</v>
      </c>
      <c r="Z334" s="7">
        <v>0.5</v>
      </c>
      <c r="AA334" s="6" t="s">
        <v>243</v>
      </c>
      <c r="AB334" s="6" t="s">
        <v>39</v>
      </c>
      <c r="AC334" s="6" t="s">
        <v>39</v>
      </c>
      <c r="AD334" s="6" t="s">
        <v>39</v>
      </c>
      <c r="AE334" s="6"/>
      <c r="AG334" s="6" t="s">
        <v>37</v>
      </c>
      <c r="AH334" s="7">
        <v>60</v>
      </c>
      <c r="AI334" s="6" t="s">
        <v>40</v>
      </c>
      <c r="AJ334" s="6" t="s">
        <v>238</v>
      </c>
      <c r="AL334" s="6" t="s">
        <v>41</v>
      </c>
      <c r="AM334" s="6" t="s">
        <v>41</v>
      </c>
    </row>
    <row r="335" spans="1:39" x14ac:dyDescent="0.25">
      <c r="A335" s="4">
        <v>45884</v>
      </c>
      <c r="B335" s="6" t="s">
        <v>80</v>
      </c>
      <c r="C335" t="str">
        <f>_xlfn.XLOOKUP(Table3[[#This Row],[station]],station_waterbody_county!A:A, station_waterbody_county!B:B)</f>
        <v>Lobster Bay</v>
      </c>
      <c r="D335" t="str">
        <f>_xlfn.XLOOKUP(Table3[[#This Row],[station]],station_waterbody_county!A:A, station_waterbody_county!C:C)</f>
        <v>Yarmouth</v>
      </c>
      <c r="E335" s="6"/>
      <c r="F335" s="6" t="s">
        <v>310</v>
      </c>
      <c r="G335" s="4">
        <v>45511</v>
      </c>
      <c r="H335" s="5">
        <v>0.50277777777777777</v>
      </c>
      <c r="I335" s="4">
        <v>45869</v>
      </c>
      <c r="J335" s="5">
        <v>0.70416666666666672</v>
      </c>
      <c r="K335" s="10"/>
      <c r="O335" s="6" t="s">
        <v>455</v>
      </c>
      <c r="P335" s="6" t="s">
        <v>456</v>
      </c>
      <c r="Q335" s="6" t="s">
        <v>1392</v>
      </c>
      <c r="R335" s="6" t="s">
        <v>1393</v>
      </c>
      <c r="S335" s="6" t="s">
        <v>239</v>
      </c>
      <c r="T335" s="11">
        <v>20900985</v>
      </c>
      <c r="U335" s="7">
        <v>4.5</v>
      </c>
      <c r="V335" s="6" t="s">
        <v>36</v>
      </c>
      <c r="W335" s="7">
        <v>11.6</v>
      </c>
      <c r="X335" s="6" t="s">
        <v>35</v>
      </c>
      <c r="Y335" s="7">
        <v>1.6</v>
      </c>
      <c r="Z335" s="7">
        <v>0.5</v>
      </c>
      <c r="AA335" s="6" t="s">
        <v>243</v>
      </c>
      <c r="AB335" s="6" t="s">
        <v>39</v>
      </c>
      <c r="AC335" s="6" t="s">
        <v>39</v>
      </c>
      <c r="AD335" s="6" t="s">
        <v>39</v>
      </c>
      <c r="AE335" s="6"/>
      <c r="AG335" s="6" t="s">
        <v>37</v>
      </c>
      <c r="AH335" s="7">
        <v>60</v>
      </c>
      <c r="AI335" s="6" t="s">
        <v>40</v>
      </c>
      <c r="AJ335" s="6" t="s">
        <v>238</v>
      </c>
      <c r="AL335" s="6" t="s">
        <v>41</v>
      </c>
      <c r="AM335" s="6" t="s">
        <v>41</v>
      </c>
    </row>
    <row r="336" spans="1:39" x14ac:dyDescent="0.25">
      <c r="A336" s="4">
        <v>45884</v>
      </c>
      <c r="B336" s="6" t="s">
        <v>80</v>
      </c>
      <c r="C336" t="str">
        <f>_xlfn.XLOOKUP(Table3[[#This Row],[station]],station_waterbody_county!A:A, station_waterbody_county!B:B)</f>
        <v>Lobster Bay</v>
      </c>
      <c r="D336" t="str">
        <f>_xlfn.XLOOKUP(Table3[[#This Row],[station]],station_waterbody_county!A:A, station_waterbody_county!C:C)</f>
        <v>Yarmouth</v>
      </c>
      <c r="E336" s="6"/>
      <c r="F336" s="6" t="s">
        <v>310</v>
      </c>
      <c r="G336" s="4">
        <v>45511</v>
      </c>
      <c r="H336" s="5">
        <v>0.50277777777777777</v>
      </c>
      <c r="I336" s="4">
        <v>45869</v>
      </c>
      <c r="J336" s="5">
        <v>0.70416666666666672</v>
      </c>
      <c r="K336" s="10"/>
      <c r="O336" s="6" t="s">
        <v>455</v>
      </c>
      <c r="P336" s="6" t="s">
        <v>456</v>
      </c>
      <c r="Q336" s="6" t="s">
        <v>1392</v>
      </c>
      <c r="R336" s="6" t="s">
        <v>1393</v>
      </c>
      <c r="S336" s="6" t="s">
        <v>42</v>
      </c>
      <c r="T336" s="11">
        <v>550756</v>
      </c>
      <c r="U336" s="7">
        <v>5</v>
      </c>
      <c r="V336" s="6" t="s">
        <v>36</v>
      </c>
      <c r="W336" s="7">
        <v>11.6</v>
      </c>
      <c r="X336" s="6" t="s">
        <v>35</v>
      </c>
      <c r="Y336" s="7">
        <v>1.6</v>
      </c>
      <c r="Z336" s="7">
        <v>0.5</v>
      </c>
      <c r="AA336" s="6" t="s">
        <v>243</v>
      </c>
      <c r="AB336" s="6" t="s">
        <v>39</v>
      </c>
      <c r="AC336" s="6" t="s">
        <v>39</v>
      </c>
      <c r="AD336" s="6" t="s">
        <v>39</v>
      </c>
      <c r="AE336" s="6"/>
      <c r="AG336" s="6" t="s">
        <v>37</v>
      </c>
      <c r="AH336" s="7">
        <v>60</v>
      </c>
      <c r="AI336" s="6" t="s">
        <v>40</v>
      </c>
      <c r="AJ336" s="6" t="s">
        <v>238</v>
      </c>
      <c r="AL336" s="6" t="s">
        <v>41</v>
      </c>
      <c r="AM336" s="6" t="s">
        <v>41</v>
      </c>
    </row>
    <row r="337" spans="1:40" hidden="1" x14ac:dyDescent="0.25">
      <c r="A337" s="12">
        <v>45678</v>
      </c>
      <c r="B337" s="6" t="s">
        <v>80</v>
      </c>
      <c r="C337" t="str">
        <f>_xlfn.XLOOKUP(Table3[[#This Row],[station]],station_waterbody_county!A:A, station_waterbody_county!B:B)</f>
        <v>Lobster Bay</v>
      </c>
      <c r="D337" t="str">
        <f>_xlfn.XLOOKUP(Table3[[#This Row],[station]],station_waterbody_county!A:A, station_waterbody_county!C:C)</f>
        <v>Yarmouth</v>
      </c>
      <c r="E337" s="6"/>
      <c r="F337" s="6" t="s">
        <v>310</v>
      </c>
      <c r="G337" s="12">
        <v>45140</v>
      </c>
      <c r="H337" s="5"/>
      <c r="I337" s="4">
        <v>45511</v>
      </c>
      <c r="J337" s="5">
        <v>0.48125000000000001</v>
      </c>
      <c r="K337" s="10">
        <v>43.679034999999999</v>
      </c>
      <c r="L337" s="10">
        <v>-65.897953999999999</v>
      </c>
      <c r="O337" s="6"/>
      <c r="Q337" s="6" t="s">
        <v>453</v>
      </c>
      <c r="R337" s="6" t="s">
        <v>454</v>
      </c>
      <c r="S337" s="6" t="s">
        <v>253</v>
      </c>
      <c r="T337" s="11">
        <v>686256</v>
      </c>
      <c r="U337" s="7">
        <v>2</v>
      </c>
      <c r="V337" s="6" t="s">
        <v>36</v>
      </c>
      <c r="W337" s="7">
        <v>11.7</v>
      </c>
      <c r="X337" s="6" t="s">
        <v>35</v>
      </c>
      <c r="Y337" s="7">
        <v>1.1000000000000001</v>
      </c>
      <c r="Z337" s="7">
        <v>0.9</v>
      </c>
      <c r="AA337" s="6" t="s">
        <v>251</v>
      </c>
      <c r="AB337" s="6" t="s">
        <v>38</v>
      </c>
      <c r="AD337" s="6" t="s">
        <v>39</v>
      </c>
      <c r="AE337" s="6"/>
      <c r="AG337" s="6" t="s">
        <v>37</v>
      </c>
      <c r="AH337" s="7"/>
      <c r="AI337" s="6" t="s">
        <v>40</v>
      </c>
      <c r="AJ337" s="6" t="s">
        <v>238</v>
      </c>
      <c r="AK337" s="6" t="s">
        <v>35</v>
      </c>
      <c r="AL337" s="6" t="s">
        <v>269</v>
      </c>
      <c r="AM337" s="6" t="s">
        <v>41</v>
      </c>
    </row>
    <row r="338" spans="1:40" hidden="1" x14ac:dyDescent="0.25">
      <c r="A338" s="12">
        <v>45678</v>
      </c>
      <c r="B338" s="6" t="s">
        <v>80</v>
      </c>
      <c r="C338" t="str">
        <f>_xlfn.XLOOKUP(Table3[[#This Row],[station]],station_waterbody_county!A:A, station_waterbody_county!B:B)</f>
        <v>Lobster Bay</v>
      </c>
      <c r="D338" t="str">
        <f>_xlfn.XLOOKUP(Table3[[#This Row],[station]],station_waterbody_county!A:A, station_waterbody_county!C:C)</f>
        <v>Yarmouth</v>
      </c>
      <c r="E338" s="6"/>
      <c r="F338" s="6" t="s">
        <v>310</v>
      </c>
      <c r="G338" s="12">
        <v>45140</v>
      </c>
      <c r="H338" s="5"/>
      <c r="I338" s="4">
        <v>45511</v>
      </c>
      <c r="J338" s="5">
        <v>0.48125000000000001</v>
      </c>
      <c r="K338" s="10">
        <v>43.679034999999999</v>
      </c>
      <c r="L338" s="10">
        <v>-65.897953999999999</v>
      </c>
      <c r="O338" s="6"/>
      <c r="Q338" s="6" t="s">
        <v>453</v>
      </c>
      <c r="R338" s="6" t="s">
        <v>454</v>
      </c>
      <c r="S338" s="6" t="s">
        <v>240</v>
      </c>
      <c r="T338" s="11">
        <v>675014</v>
      </c>
      <c r="U338" s="7">
        <v>4</v>
      </c>
      <c r="V338" s="6" t="s">
        <v>36</v>
      </c>
      <c r="W338" s="7">
        <v>11.7</v>
      </c>
      <c r="X338" s="6" t="s">
        <v>35</v>
      </c>
      <c r="Y338" s="7">
        <v>1.1000000000000001</v>
      </c>
      <c r="Z338" s="7">
        <v>0.9</v>
      </c>
      <c r="AA338" s="6" t="s">
        <v>251</v>
      </c>
      <c r="AB338" s="6" t="s">
        <v>38</v>
      </c>
      <c r="AD338" s="6" t="s">
        <v>39</v>
      </c>
      <c r="AE338" s="6"/>
      <c r="AG338" s="6" t="s">
        <v>37</v>
      </c>
      <c r="AH338" s="7"/>
      <c r="AI338" s="6" t="s">
        <v>40</v>
      </c>
      <c r="AJ338" s="6" t="s">
        <v>238</v>
      </c>
      <c r="AK338" s="6" t="s">
        <v>35</v>
      </c>
      <c r="AL338" s="6" t="s">
        <v>269</v>
      </c>
      <c r="AM338" s="6" t="s">
        <v>41</v>
      </c>
    </row>
    <row r="339" spans="1:40" hidden="1" x14ac:dyDescent="0.25">
      <c r="A339" s="12">
        <v>45678</v>
      </c>
      <c r="B339" s="6" t="s">
        <v>80</v>
      </c>
      <c r="C339" t="str">
        <f>_xlfn.XLOOKUP(Table3[[#This Row],[station]],station_waterbody_county!A:A, station_waterbody_county!B:B)</f>
        <v>Lobster Bay</v>
      </c>
      <c r="D339" t="str">
        <f>_xlfn.XLOOKUP(Table3[[#This Row],[station]],station_waterbody_county!A:A, station_waterbody_county!C:C)</f>
        <v>Yarmouth</v>
      </c>
      <c r="E339" s="6"/>
      <c r="F339" s="6" t="s">
        <v>310</v>
      </c>
      <c r="G339" s="12">
        <v>45140</v>
      </c>
      <c r="H339" s="5"/>
      <c r="I339" s="4">
        <v>45511</v>
      </c>
      <c r="J339" s="5">
        <v>0.48125000000000001</v>
      </c>
      <c r="K339" s="10">
        <v>43.679034999999999</v>
      </c>
      <c r="L339" s="10">
        <v>-65.897953999999999</v>
      </c>
      <c r="O339" s="6"/>
      <c r="Q339" s="6" t="s">
        <v>453</v>
      </c>
      <c r="R339" s="6" t="s">
        <v>454</v>
      </c>
      <c r="S339" s="6" t="s">
        <v>239</v>
      </c>
      <c r="T339" s="11">
        <v>20291446</v>
      </c>
      <c r="U339" s="7">
        <v>4.5</v>
      </c>
      <c r="V339" s="6" t="s">
        <v>36</v>
      </c>
      <c r="W339" s="7">
        <v>11.7</v>
      </c>
      <c r="X339" s="6" t="s">
        <v>35</v>
      </c>
      <c r="Y339" s="7">
        <v>1.1000000000000001</v>
      </c>
      <c r="Z339" s="7">
        <v>0.9</v>
      </c>
      <c r="AA339" s="6" t="s">
        <v>251</v>
      </c>
      <c r="AB339" s="6" t="s">
        <v>38</v>
      </c>
      <c r="AD339" s="6" t="s">
        <v>39</v>
      </c>
      <c r="AE339" s="6"/>
      <c r="AG339" s="6" t="s">
        <v>37</v>
      </c>
      <c r="AH339" s="7"/>
      <c r="AI339" s="6" t="s">
        <v>40</v>
      </c>
      <c r="AJ339" s="6" t="s">
        <v>238</v>
      </c>
      <c r="AK339" s="6" t="s">
        <v>35</v>
      </c>
      <c r="AL339" s="6" t="s">
        <v>269</v>
      </c>
      <c r="AM339" s="6" t="s">
        <v>41</v>
      </c>
    </row>
    <row r="340" spans="1:40" hidden="1" x14ac:dyDescent="0.25">
      <c r="A340" s="12">
        <v>45678</v>
      </c>
      <c r="B340" s="6" t="s">
        <v>80</v>
      </c>
      <c r="C340" t="str">
        <f>_xlfn.XLOOKUP(Table3[[#This Row],[station]],station_waterbody_county!A:A, station_waterbody_county!B:B)</f>
        <v>Lobster Bay</v>
      </c>
      <c r="D340" t="str">
        <f>_xlfn.XLOOKUP(Table3[[#This Row],[station]],station_waterbody_county!A:A, station_waterbody_county!C:C)</f>
        <v>Yarmouth</v>
      </c>
      <c r="E340" s="6"/>
      <c r="F340" s="6" t="s">
        <v>310</v>
      </c>
      <c r="G340" s="12">
        <v>45140</v>
      </c>
      <c r="H340" s="5"/>
      <c r="I340" s="4">
        <v>45511</v>
      </c>
      <c r="J340" s="5">
        <v>0.48125000000000001</v>
      </c>
      <c r="K340" s="10">
        <v>43.679034999999999</v>
      </c>
      <c r="L340" s="10">
        <v>-65.897953999999999</v>
      </c>
      <c r="O340" s="6"/>
      <c r="Q340" s="6" t="s">
        <v>453</v>
      </c>
      <c r="R340" s="6" t="s">
        <v>454</v>
      </c>
      <c r="S340" s="6" t="s">
        <v>42</v>
      </c>
      <c r="T340" s="11">
        <v>548559</v>
      </c>
      <c r="U340" s="7">
        <v>5</v>
      </c>
      <c r="V340" s="6" t="s">
        <v>36</v>
      </c>
      <c r="W340" s="7">
        <v>11.7</v>
      </c>
      <c r="X340" s="6" t="s">
        <v>35</v>
      </c>
      <c r="Y340" s="7">
        <v>1.1000000000000001</v>
      </c>
      <c r="Z340" s="7">
        <v>0.9</v>
      </c>
      <c r="AA340" s="6" t="s">
        <v>251</v>
      </c>
      <c r="AB340" s="6" t="s">
        <v>38</v>
      </c>
      <c r="AD340" s="6" t="s">
        <v>39</v>
      </c>
      <c r="AE340" s="6"/>
      <c r="AG340" s="6" t="s">
        <v>37</v>
      </c>
      <c r="AH340" s="7"/>
      <c r="AI340" s="6" t="s">
        <v>40</v>
      </c>
      <c r="AJ340" s="6" t="s">
        <v>238</v>
      </c>
      <c r="AK340" s="6" t="s">
        <v>35</v>
      </c>
      <c r="AL340" s="6" t="s">
        <v>269</v>
      </c>
      <c r="AM340" s="6" t="s">
        <v>41</v>
      </c>
    </row>
    <row r="341" spans="1:40" hidden="1" x14ac:dyDescent="0.25">
      <c r="A341" s="12">
        <v>45678</v>
      </c>
      <c r="B341" s="6" t="s">
        <v>80</v>
      </c>
      <c r="C341" t="str">
        <f>_xlfn.XLOOKUP(Table3[[#This Row],[station]],station_waterbody_county!A:A, station_waterbody_county!B:B)</f>
        <v>Lobster Bay</v>
      </c>
      <c r="D341" t="str">
        <f>_xlfn.XLOOKUP(Table3[[#This Row],[station]],station_waterbody_county!A:A, station_waterbody_county!C:C)</f>
        <v>Yarmouth</v>
      </c>
      <c r="E341" s="6"/>
      <c r="F341" s="6" t="s">
        <v>310</v>
      </c>
      <c r="G341" s="12">
        <v>45140</v>
      </c>
      <c r="H341" s="5"/>
      <c r="I341" s="4">
        <v>45511</v>
      </c>
      <c r="J341" s="5">
        <v>0.48125000000000001</v>
      </c>
      <c r="K341" s="10">
        <v>43.679034999999999</v>
      </c>
      <c r="L341" s="10">
        <v>-65.897953999999999</v>
      </c>
      <c r="O341" s="6"/>
      <c r="Q341" s="6" t="s">
        <v>453</v>
      </c>
      <c r="R341" s="6" t="s">
        <v>454</v>
      </c>
      <c r="S341" s="6" t="s">
        <v>239</v>
      </c>
      <c r="T341" s="11">
        <v>20495241</v>
      </c>
      <c r="U341" s="7">
        <v>6</v>
      </c>
      <c r="V341" s="6" t="s">
        <v>36</v>
      </c>
      <c r="W341" s="7">
        <v>11.7</v>
      </c>
      <c r="X341" s="6" t="s">
        <v>35</v>
      </c>
      <c r="Y341" s="7">
        <v>1.1000000000000001</v>
      </c>
      <c r="Z341" s="7">
        <v>0.9</v>
      </c>
      <c r="AA341" s="6" t="s">
        <v>251</v>
      </c>
      <c r="AB341" s="6" t="s">
        <v>38</v>
      </c>
      <c r="AD341" s="6" t="s">
        <v>39</v>
      </c>
      <c r="AE341" s="6"/>
      <c r="AG341" s="6" t="s">
        <v>37</v>
      </c>
      <c r="AH341" s="7"/>
      <c r="AI341" s="6" t="s">
        <v>40</v>
      </c>
      <c r="AJ341" s="6" t="s">
        <v>238</v>
      </c>
      <c r="AK341" s="6" t="s">
        <v>35</v>
      </c>
      <c r="AL341" s="6" t="s">
        <v>269</v>
      </c>
      <c r="AM341" s="6" t="s">
        <v>41</v>
      </c>
      <c r="AN341" s="6" t="s">
        <v>617</v>
      </c>
    </row>
    <row r="342" spans="1:40" hidden="1" x14ac:dyDescent="0.25">
      <c r="A342" s="12">
        <v>45848</v>
      </c>
      <c r="B342" s="6" t="s">
        <v>80</v>
      </c>
      <c r="C342" s="6" t="str">
        <f>_xlfn.XLOOKUP(Table3[[#This Row],[station]],station_waterbody_county!A:A, station_waterbody_county!B:B)</f>
        <v>Lobster Bay</v>
      </c>
      <c r="D342" s="3" t="str">
        <f>_xlfn.XLOOKUP(Table3[[#This Row],[station]],station_waterbody_county!A:A, station_waterbody_county!C:C)</f>
        <v>Yarmouth</v>
      </c>
      <c r="E342" s="6"/>
      <c r="F342" s="6" t="s">
        <v>310</v>
      </c>
      <c r="G342" s="12">
        <v>44090</v>
      </c>
      <c r="H342" s="5"/>
      <c r="I342" s="4">
        <v>45821</v>
      </c>
      <c r="J342" s="5"/>
      <c r="K342" s="10"/>
      <c r="O342" s="6" t="s">
        <v>1332</v>
      </c>
      <c r="P342" s="6" t="s">
        <v>1333</v>
      </c>
      <c r="S342" s="6" t="s">
        <v>253</v>
      </c>
      <c r="T342" s="11">
        <v>680326</v>
      </c>
      <c r="U342" s="7">
        <v>2</v>
      </c>
      <c r="V342" s="6" t="s">
        <v>36</v>
      </c>
      <c r="W342" s="7">
        <v>13</v>
      </c>
      <c r="X342" s="6" t="s">
        <v>35</v>
      </c>
      <c r="Y342" s="7"/>
      <c r="Z342" s="7">
        <v>1.3</v>
      </c>
      <c r="AA342" s="6"/>
      <c r="AB342" s="6" t="s">
        <v>38</v>
      </c>
      <c r="AE342" s="6"/>
      <c r="AG342" s="6" t="s">
        <v>278</v>
      </c>
      <c r="AH342" s="7"/>
      <c r="AI342" s="6" t="s">
        <v>40</v>
      </c>
      <c r="AJ342" s="6" t="s">
        <v>238</v>
      </c>
      <c r="AL342" s="6" t="s">
        <v>1334</v>
      </c>
      <c r="AM342" s="6" t="s">
        <v>1335</v>
      </c>
      <c r="AN342" s="6" t="s">
        <v>1336</v>
      </c>
    </row>
    <row r="343" spans="1:40" hidden="1" x14ac:dyDescent="0.25">
      <c r="A343" s="12">
        <v>45848</v>
      </c>
      <c r="B343" s="6" t="s">
        <v>80</v>
      </c>
      <c r="C343" s="6" t="str">
        <f>_xlfn.XLOOKUP(Table3[[#This Row],[station]],station_waterbody_county!A:A, station_waterbody_county!B:B)</f>
        <v>Lobster Bay</v>
      </c>
      <c r="D343" s="3" t="str">
        <f>_xlfn.XLOOKUP(Table3[[#This Row],[station]],station_waterbody_county!A:A, station_waterbody_county!C:C)</f>
        <v>Yarmouth</v>
      </c>
      <c r="E343" s="6"/>
      <c r="F343" s="6" t="s">
        <v>310</v>
      </c>
      <c r="G343" s="12">
        <v>44090</v>
      </c>
      <c r="H343" s="5"/>
      <c r="I343" s="4">
        <v>45821</v>
      </c>
      <c r="J343" s="5"/>
      <c r="K343" s="10"/>
      <c r="O343" s="6" t="s">
        <v>1332</v>
      </c>
      <c r="P343" s="6" t="s">
        <v>1333</v>
      </c>
      <c r="S343" s="6" t="s">
        <v>240</v>
      </c>
      <c r="T343" s="11">
        <v>671008</v>
      </c>
      <c r="U343" s="7">
        <v>4</v>
      </c>
      <c r="V343" s="6" t="s">
        <v>36</v>
      </c>
      <c r="W343" s="7">
        <v>13</v>
      </c>
      <c r="X343" s="6" t="s">
        <v>35</v>
      </c>
      <c r="Y343" s="7"/>
      <c r="Z343" s="7">
        <v>1.3</v>
      </c>
      <c r="AA343" s="6"/>
      <c r="AB343" s="6" t="s">
        <v>38</v>
      </c>
      <c r="AE343" s="6"/>
      <c r="AG343" s="6" t="s">
        <v>278</v>
      </c>
      <c r="AH343" s="7"/>
      <c r="AI343" s="6" t="s">
        <v>40</v>
      </c>
      <c r="AJ343" s="6" t="s">
        <v>238</v>
      </c>
      <c r="AL343" s="6" t="s">
        <v>1334</v>
      </c>
      <c r="AM343" s="6" t="s">
        <v>1335</v>
      </c>
      <c r="AN343" s="6" t="s">
        <v>1336</v>
      </c>
    </row>
    <row r="344" spans="1:40" hidden="1" x14ac:dyDescent="0.25">
      <c r="A344" s="12">
        <v>45848</v>
      </c>
      <c r="B344" s="6" t="s">
        <v>80</v>
      </c>
      <c r="C344" s="6" t="str">
        <f>_xlfn.XLOOKUP(Table3[[#This Row],[station]],station_waterbody_county!A:A, station_waterbody_county!B:B)</f>
        <v>Lobster Bay</v>
      </c>
      <c r="D344" s="3" t="str">
        <f>_xlfn.XLOOKUP(Table3[[#This Row],[station]],station_waterbody_county!A:A, station_waterbody_county!C:C)</f>
        <v>Yarmouth</v>
      </c>
      <c r="E344" s="6"/>
      <c r="F344" s="6" t="s">
        <v>311</v>
      </c>
      <c r="G344" s="12">
        <v>44090</v>
      </c>
      <c r="H344" s="5"/>
      <c r="I344" s="4">
        <v>45821</v>
      </c>
      <c r="J344" s="5"/>
      <c r="K344" s="10"/>
      <c r="O344" s="6" t="s">
        <v>1332</v>
      </c>
      <c r="P344" s="6" t="s">
        <v>1333</v>
      </c>
      <c r="S344" s="6" t="s">
        <v>239</v>
      </c>
      <c r="T344" s="11">
        <v>20495250</v>
      </c>
      <c r="U344" s="7">
        <v>4.5</v>
      </c>
      <c r="V344" s="6" t="s">
        <v>36</v>
      </c>
      <c r="W344" s="7">
        <v>13</v>
      </c>
      <c r="X344" s="6" t="s">
        <v>35</v>
      </c>
      <c r="Y344" s="7"/>
      <c r="Z344" s="7">
        <v>1.3</v>
      </c>
      <c r="AA344" s="6"/>
      <c r="AB344" s="6" t="s">
        <v>38</v>
      </c>
      <c r="AE344" s="6"/>
      <c r="AG344" s="6" t="s">
        <v>278</v>
      </c>
      <c r="AH344" s="7"/>
      <c r="AI344" s="6" t="s">
        <v>40</v>
      </c>
      <c r="AJ344" s="6" t="s">
        <v>238</v>
      </c>
      <c r="AL344" s="6" t="s">
        <v>1334</v>
      </c>
      <c r="AM344" s="6" t="s">
        <v>1335</v>
      </c>
      <c r="AN344" s="6" t="s">
        <v>1336</v>
      </c>
    </row>
    <row r="345" spans="1:40" hidden="1" x14ac:dyDescent="0.25">
      <c r="A345" s="12">
        <v>45848</v>
      </c>
      <c r="B345" s="6" t="s">
        <v>80</v>
      </c>
      <c r="C345" s="6" t="str">
        <f>_xlfn.XLOOKUP(Table3[[#This Row],[station]],station_waterbody_county!A:A, station_waterbody_county!B:B)</f>
        <v>Lobster Bay</v>
      </c>
      <c r="D345" s="3" t="str">
        <f>_xlfn.XLOOKUP(Table3[[#This Row],[station]],station_waterbody_county!A:A, station_waterbody_county!C:C)</f>
        <v>Yarmouth</v>
      </c>
      <c r="E345" s="6"/>
      <c r="F345" s="6" t="s">
        <v>310</v>
      </c>
      <c r="G345" s="12">
        <v>44090</v>
      </c>
      <c r="H345" s="5"/>
      <c r="I345" s="4">
        <v>45821</v>
      </c>
      <c r="J345" s="5"/>
      <c r="K345" s="10"/>
      <c r="O345" s="6" t="s">
        <v>1332</v>
      </c>
      <c r="P345" s="6" t="s">
        <v>1333</v>
      </c>
      <c r="S345" s="6" t="s">
        <v>42</v>
      </c>
      <c r="T345" s="11">
        <v>545777</v>
      </c>
      <c r="U345" s="7">
        <v>5</v>
      </c>
      <c r="V345" s="6" t="s">
        <v>36</v>
      </c>
      <c r="W345" s="7">
        <v>13</v>
      </c>
      <c r="X345" s="6" t="s">
        <v>35</v>
      </c>
      <c r="Y345" s="7"/>
      <c r="Z345" s="7">
        <v>1.3</v>
      </c>
      <c r="AA345" s="6"/>
      <c r="AB345" s="6" t="s">
        <v>38</v>
      </c>
      <c r="AE345" s="6"/>
      <c r="AG345" s="6" t="s">
        <v>278</v>
      </c>
      <c r="AH345" s="7"/>
      <c r="AI345" s="6" t="s">
        <v>40</v>
      </c>
      <c r="AJ345" s="6" t="s">
        <v>238</v>
      </c>
      <c r="AL345" s="6" t="s">
        <v>1334</v>
      </c>
      <c r="AM345" s="6" t="s">
        <v>1335</v>
      </c>
      <c r="AN345" s="6" t="s">
        <v>1336</v>
      </c>
    </row>
    <row r="346" spans="1:40" hidden="1" x14ac:dyDescent="0.25">
      <c r="A346" s="4">
        <v>45884</v>
      </c>
      <c r="B346" s="6" t="s">
        <v>80</v>
      </c>
      <c r="C346" s="6" t="str">
        <f>_xlfn.XLOOKUP(Table3[[#This Row],[station]],station_waterbody_county!A:A, station_waterbody_county!B:B)</f>
        <v>Lobster Bay</v>
      </c>
      <c r="D346" s="3" t="str">
        <f>_xlfn.XLOOKUP(Table3[[#This Row],[station]],station_waterbody_county!A:A, station_waterbody_county!C:C)</f>
        <v>Yarmouth</v>
      </c>
      <c r="E346" s="6"/>
      <c r="F346" s="6" t="s">
        <v>34</v>
      </c>
      <c r="G346" s="12">
        <v>45869</v>
      </c>
      <c r="H346" s="5">
        <v>0.71666666666666667</v>
      </c>
      <c r="I346" s="4"/>
      <c r="J346" s="5"/>
      <c r="K346" s="10"/>
      <c r="O346" s="6" t="s">
        <v>1394</v>
      </c>
      <c r="P346" s="6" t="s">
        <v>1395</v>
      </c>
      <c r="S346" s="6" t="s">
        <v>253</v>
      </c>
      <c r="T346" s="11">
        <v>687254</v>
      </c>
      <c r="U346" s="7">
        <v>2</v>
      </c>
      <c r="V346" s="6" t="s">
        <v>36</v>
      </c>
      <c r="W346" s="7">
        <v>13.5</v>
      </c>
      <c r="X346" s="6" t="s">
        <v>35</v>
      </c>
      <c r="Y346" s="7">
        <v>2.8</v>
      </c>
      <c r="Z346" s="7">
        <v>1</v>
      </c>
      <c r="AA346" s="6" t="s">
        <v>243</v>
      </c>
      <c r="AB346" s="6" t="s">
        <v>39</v>
      </c>
      <c r="AC346" s="6" t="s">
        <v>39</v>
      </c>
      <c r="AD346" s="6" t="s">
        <v>39</v>
      </c>
      <c r="AE346" s="6" t="s">
        <v>40</v>
      </c>
      <c r="AG346" s="6" t="s">
        <v>37</v>
      </c>
      <c r="AH346" s="7">
        <v>60</v>
      </c>
      <c r="AI346" s="6" t="s">
        <v>40</v>
      </c>
      <c r="AJ346" s="6" t="s">
        <v>238</v>
      </c>
      <c r="AL346" s="6" t="s">
        <v>41</v>
      </c>
    </row>
    <row r="347" spans="1:40" hidden="1" x14ac:dyDescent="0.25">
      <c r="A347" s="4">
        <v>45884</v>
      </c>
      <c r="B347" s="6" t="s">
        <v>80</v>
      </c>
      <c r="C347" s="6" t="str">
        <f>_xlfn.XLOOKUP(Table3[[#This Row],[station]],station_waterbody_county!A:A, station_waterbody_county!B:B)</f>
        <v>Lobster Bay</v>
      </c>
      <c r="D347" s="3" t="str">
        <f>_xlfn.XLOOKUP(Table3[[#This Row],[station]],station_waterbody_county!A:A, station_waterbody_county!C:C)</f>
        <v>Yarmouth</v>
      </c>
      <c r="E347" s="6"/>
      <c r="F347" s="6" t="s">
        <v>34</v>
      </c>
      <c r="G347" s="12">
        <v>45869</v>
      </c>
      <c r="H347" s="5">
        <v>0.71666666666666667</v>
      </c>
      <c r="I347" s="4"/>
      <c r="J347" s="5"/>
      <c r="K347" s="10"/>
      <c r="O347" s="6" t="s">
        <v>1394</v>
      </c>
      <c r="P347" s="6" t="s">
        <v>1395</v>
      </c>
      <c r="S347" s="6" t="s">
        <v>240</v>
      </c>
      <c r="T347" s="11">
        <v>670357</v>
      </c>
      <c r="U347" s="7">
        <v>4</v>
      </c>
      <c r="V347" s="6" t="s">
        <v>36</v>
      </c>
      <c r="W347" s="7">
        <v>13.5</v>
      </c>
      <c r="X347" s="6" t="s">
        <v>35</v>
      </c>
      <c r="Y347" s="7">
        <v>2.8</v>
      </c>
      <c r="Z347" s="7">
        <v>1</v>
      </c>
      <c r="AA347" s="6" t="s">
        <v>243</v>
      </c>
      <c r="AB347" s="6" t="s">
        <v>39</v>
      </c>
      <c r="AC347" s="6" t="s">
        <v>39</v>
      </c>
      <c r="AD347" s="6" t="s">
        <v>39</v>
      </c>
      <c r="AE347" s="6" t="s">
        <v>40</v>
      </c>
      <c r="AG347" s="6" t="s">
        <v>37</v>
      </c>
      <c r="AH347" s="7">
        <v>60</v>
      </c>
      <c r="AI347" s="6" t="s">
        <v>1396</v>
      </c>
      <c r="AJ347" s="6" t="s">
        <v>238</v>
      </c>
      <c r="AL347" s="6" t="s">
        <v>41</v>
      </c>
    </row>
    <row r="348" spans="1:40" hidden="1" x14ac:dyDescent="0.25">
      <c r="A348" s="4">
        <v>45884</v>
      </c>
      <c r="B348" s="6" t="s">
        <v>80</v>
      </c>
      <c r="C348" s="6" t="str">
        <f>_xlfn.XLOOKUP(Table3[[#This Row],[station]],station_waterbody_county!A:A, station_waterbody_county!B:B)</f>
        <v>Lobster Bay</v>
      </c>
      <c r="D348" s="3" t="str">
        <f>_xlfn.XLOOKUP(Table3[[#This Row],[station]],station_waterbody_county!A:A, station_waterbody_county!C:C)</f>
        <v>Yarmouth</v>
      </c>
      <c r="E348" s="6"/>
      <c r="F348" s="6" t="s">
        <v>34</v>
      </c>
      <c r="G348" s="12">
        <v>45869</v>
      </c>
      <c r="H348" s="5">
        <v>0.71666666666666667</v>
      </c>
      <c r="I348" s="4"/>
      <c r="J348" s="5"/>
      <c r="K348" s="10"/>
      <c r="O348" s="6" t="s">
        <v>1394</v>
      </c>
      <c r="P348" s="6" t="s">
        <v>1395</v>
      </c>
      <c r="S348" s="6" t="s">
        <v>239</v>
      </c>
      <c r="T348" s="11">
        <v>22310006</v>
      </c>
      <c r="U348" s="7">
        <v>4.5</v>
      </c>
      <c r="V348" s="6" t="s">
        <v>36</v>
      </c>
      <c r="W348" s="7">
        <v>13.5</v>
      </c>
      <c r="X348" s="6" t="s">
        <v>35</v>
      </c>
      <c r="Y348" s="7">
        <v>2.8</v>
      </c>
      <c r="Z348" s="7">
        <v>1</v>
      </c>
      <c r="AA348" s="6" t="s">
        <v>243</v>
      </c>
      <c r="AB348" s="6" t="s">
        <v>39</v>
      </c>
      <c r="AC348" s="6" t="s">
        <v>39</v>
      </c>
      <c r="AD348" s="6" t="s">
        <v>39</v>
      </c>
      <c r="AE348" s="6" t="s">
        <v>40</v>
      </c>
      <c r="AG348" s="6" t="s">
        <v>37</v>
      </c>
      <c r="AH348" s="7">
        <v>60</v>
      </c>
      <c r="AI348" s="6" t="s">
        <v>40</v>
      </c>
      <c r="AJ348" s="6" t="s">
        <v>238</v>
      </c>
      <c r="AL348" s="6" t="s">
        <v>41</v>
      </c>
    </row>
    <row r="349" spans="1:40" hidden="1" x14ac:dyDescent="0.25">
      <c r="A349" s="4">
        <v>45884</v>
      </c>
      <c r="B349" s="6" t="s">
        <v>80</v>
      </c>
      <c r="C349" s="6" t="str">
        <f>_xlfn.XLOOKUP(Table3[[#This Row],[station]],station_waterbody_county!A:A, station_waterbody_county!B:B)</f>
        <v>Lobster Bay</v>
      </c>
      <c r="D349" s="3" t="str">
        <f>_xlfn.XLOOKUP(Table3[[#This Row],[station]],station_waterbody_county!A:A, station_waterbody_county!C:C)</f>
        <v>Yarmouth</v>
      </c>
      <c r="E349" s="6"/>
      <c r="F349" s="6" t="s">
        <v>34</v>
      </c>
      <c r="G349" s="12">
        <v>45869</v>
      </c>
      <c r="H349" s="5">
        <v>0.71666666666666667</v>
      </c>
      <c r="I349" s="4"/>
      <c r="J349" s="5"/>
      <c r="K349" s="10"/>
      <c r="O349" s="6" t="s">
        <v>1394</v>
      </c>
      <c r="P349" s="6" t="s">
        <v>1395</v>
      </c>
      <c r="S349" s="6" t="s">
        <v>42</v>
      </c>
      <c r="T349" s="11">
        <v>548044</v>
      </c>
      <c r="U349" s="7">
        <v>5</v>
      </c>
      <c r="V349" s="6" t="s">
        <v>36</v>
      </c>
      <c r="W349" s="7">
        <v>13.5</v>
      </c>
      <c r="X349" s="6" t="s">
        <v>35</v>
      </c>
      <c r="Y349" s="7">
        <v>2.8</v>
      </c>
      <c r="Z349" s="7">
        <v>1</v>
      </c>
      <c r="AA349" s="6" t="s">
        <v>243</v>
      </c>
      <c r="AB349" s="6" t="s">
        <v>39</v>
      </c>
      <c r="AC349" s="6" t="s">
        <v>39</v>
      </c>
      <c r="AD349" s="6" t="s">
        <v>39</v>
      </c>
      <c r="AE349" s="6" t="s">
        <v>40</v>
      </c>
      <c r="AG349" s="6" t="s">
        <v>37</v>
      </c>
      <c r="AH349" s="7">
        <v>60</v>
      </c>
      <c r="AI349" s="6" t="s">
        <v>40</v>
      </c>
      <c r="AJ349" s="6" t="s">
        <v>238</v>
      </c>
      <c r="AL349" s="6" t="s">
        <v>41</v>
      </c>
    </row>
    <row r="350" spans="1:40" hidden="1" x14ac:dyDescent="0.25">
      <c r="A350" s="4">
        <v>45884</v>
      </c>
      <c r="B350" s="6" t="s">
        <v>80</v>
      </c>
      <c r="C350" s="6" t="str">
        <f>_xlfn.XLOOKUP(Table3[[#This Row],[station]],station_waterbody_county!A:A, station_waterbody_county!B:B)</f>
        <v>Lobster Bay</v>
      </c>
      <c r="D350" s="3" t="str">
        <f>_xlfn.XLOOKUP(Table3[[#This Row],[station]],station_waterbody_county!A:A, station_waterbody_county!C:C)</f>
        <v>Yarmouth</v>
      </c>
      <c r="E350" s="6"/>
      <c r="F350" s="6" t="s">
        <v>34</v>
      </c>
      <c r="G350" s="12">
        <v>45869</v>
      </c>
      <c r="H350" s="5">
        <v>0.71666666666666667</v>
      </c>
      <c r="I350" s="4"/>
      <c r="J350" s="5"/>
      <c r="K350" s="10"/>
      <c r="O350" s="6" t="s">
        <v>1394</v>
      </c>
      <c r="P350" s="6" t="s">
        <v>1395</v>
      </c>
      <c r="S350" s="6" t="s">
        <v>239</v>
      </c>
      <c r="T350" s="11">
        <v>22285947</v>
      </c>
      <c r="U350" s="7">
        <v>5</v>
      </c>
      <c r="V350" s="6" t="s">
        <v>36</v>
      </c>
      <c r="W350" s="7">
        <v>13.5</v>
      </c>
      <c r="X350" s="6" t="s">
        <v>35</v>
      </c>
      <c r="Y350" s="7">
        <v>2.8</v>
      </c>
      <c r="Z350" s="7">
        <v>1</v>
      </c>
      <c r="AA350" s="6" t="s">
        <v>243</v>
      </c>
      <c r="AB350" s="6" t="s">
        <v>39</v>
      </c>
      <c r="AC350" s="6" t="s">
        <v>39</v>
      </c>
      <c r="AD350" s="6" t="s">
        <v>39</v>
      </c>
      <c r="AE350" s="6" t="s">
        <v>40</v>
      </c>
      <c r="AG350" s="6" t="s">
        <v>37</v>
      </c>
      <c r="AH350" s="7">
        <v>60</v>
      </c>
      <c r="AI350" s="6" t="s">
        <v>40</v>
      </c>
      <c r="AJ350" s="6" t="s">
        <v>238</v>
      </c>
      <c r="AL350" s="6" t="s">
        <v>41</v>
      </c>
    </row>
    <row r="351" spans="1:40" hidden="1" x14ac:dyDescent="0.25">
      <c r="A351" s="12">
        <v>45678</v>
      </c>
      <c r="B351" s="6" t="s">
        <v>167</v>
      </c>
      <c r="C351" t="str">
        <f>_xlfn.XLOOKUP(Table3[[#This Row],[station]],station_waterbody_county!A:A, station_waterbody_county!B:B)</f>
        <v>St. Marys Bay</v>
      </c>
      <c r="D351" t="str">
        <f>_xlfn.XLOOKUP(Table3[[#This Row],[station]],station_waterbody_county!A:A, station_waterbody_county!C:C)</f>
        <v>Digby</v>
      </c>
      <c r="E351" s="6"/>
      <c r="F351" s="6" t="s">
        <v>310</v>
      </c>
      <c r="G351" s="12">
        <v>45212</v>
      </c>
      <c r="H351" s="5"/>
      <c r="I351" s="4">
        <v>45447</v>
      </c>
      <c r="J351" s="5">
        <v>0.51041666666666663</v>
      </c>
      <c r="K351" s="10">
        <v>44.381841000000001</v>
      </c>
      <c r="L351" s="10">
        <v>-66.177394000000007</v>
      </c>
      <c r="O351" s="6"/>
      <c r="Q351" s="6" t="s">
        <v>371</v>
      </c>
      <c r="R351" s="6" t="s">
        <v>372</v>
      </c>
      <c r="S351" s="6" t="s">
        <v>239</v>
      </c>
      <c r="T351" s="11">
        <v>20291428</v>
      </c>
      <c r="U351" s="7">
        <v>2</v>
      </c>
      <c r="V351" s="6" t="s">
        <v>36</v>
      </c>
      <c r="W351" s="7">
        <v>49.7</v>
      </c>
      <c r="X351" s="6" t="s">
        <v>35</v>
      </c>
      <c r="Y351" s="7">
        <v>4.2</v>
      </c>
      <c r="Z351" s="7">
        <v>2</v>
      </c>
      <c r="AA351" s="6"/>
      <c r="AB351" s="6" t="s">
        <v>38</v>
      </c>
      <c r="AD351" s="6" t="s">
        <v>39</v>
      </c>
      <c r="AE351" s="6"/>
      <c r="AG351" s="6" t="s">
        <v>256</v>
      </c>
      <c r="AH351" s="7"/>
      <c r="AI351" s="6" t="s">
        <v>40</v>
      </c>
      <c r="AJ351" s="6" t="s">
        <v>238</v>
      </c>
      <c r="AK351" s="6" t="s">
        <v>35</v>
      </c>
      <c r="AL351" s="6" t="s">
        <v>268</v>
      </c>
      <c r="AN351" s="6" t="s">
        <v>257</v>
      </c>
    </row>
    <row r="352" spans="1:40" hidden="1" x14ac:dyDescent="0.25">
      <c r="A352" s="12">
        <v>45678</v>
      </c>
      <c r="B352" s="6" t="s">
        <v>167</v>
      </c>
      <c r="C352" t="str">
        <f>_xlfn.XLOOKUP(Table3[[#This Row],[station]],station_waterbody_county!A:A, station_waterbody_county!B:B)</f>
        <v>St. Marys Bay</v>
      </c>
      <c r="D352" t="str">
        <f>_xlfn.XLOOKUP(Table3[[#This Row],[station]],station_waterbody_county!A:A, station_waterbody_county!C:C)</f>
        <v>Digby</v>
      </c>
      <c r="E352" s="6"/>
      <c r="F352" s="6" t="s">
        <v>310</v>
      </c>
      <c r="G352" s="12">
        <v>45212</v>
      </c>
      <c r="H352" s="5"/>
      <c r="I352" s="4">
        <v>45447</v>
      </c>
      <c r="J352" s="5">
        <v>0.51041666666666663</v>
      </c>
      <c r="K352" s="10">
        <v>44.381841000000001</v>
      </c>
      <c r="L352" s="10">
        <v>-66.177394000000007</v>
      </c>
      <c r="O352" s="6"/>
      <c r="Q352" s="6" t="s">
        <v>371</v>
      </c>
      <c r="R352" s="6" t="s">
        <v>372</v>
      </c>
      <c r="S352" s="6" t="s">
        <v>240</v>
      </c>
      <c r="T352" s="11">
        <v>671015</v>
      </c>
      <c r="U352" s="7">
        <v>5</v>
      </c>
      <c r="V352" s="6" t="s">
        <v>36</v>
      </c>
      <c r="W352" s="7">
        <v>49.7</v>
      </c>
      <c r="X352" s="6" t="s">
        <v>35</v>
      </c>
      <c r="Y352" s="7">
        <v>4.2</v>
      </c>
      <c r="Z352" s="7">
        <v>2</v>
      </c>
      <c r="AA352" s="6"/>
      <c r="AB352" s="6" t="s">
        <v>38</v>
      </c>
      <c r="AD352" s="6" t="s">
        <v>39</v>
      </c>
      <c r="AE352" s="6"/>
      <c r="AG352" s="6" t="s">
        <v>256</v>
      </c>
      <c r="AH352" s="7"/>
      <c r="AI352" s="6" t="s">
        <v>40</v>
      </c>
      <c r="AJ352" s="6" t="s">
        <v>238</v>
      </c>
      <c r="AK352" s="6" t="s">
        <v>35</v>
      </c>
      <c r="AL352" s="6" t="s">
        <v>268</v>
      </c>
      <c r="AN352" s="6" t="s">
        <v>257</v>
      </c>
    </row>
    <row r="353" spans="1:40" hidden="1" x14ac:dyDescent="0.25">
      <c r="A353" s="12">
        <v>45678</v>
      </c>
      <c r="B353" s="6" t="s">
        <v>167</v>
      </c>
      <c r="C353" t="str">
        <f>_xlfn.XLOOKUP(Table3[[#This Row],[station]],station_waterbody_county!A:A, station_waterbody_county!B:B)</f>
        <v>St. Marys Bay</v>
      </c>
      <c r="D353" t="str">
        <f>_xlfn.XLOOKUP(Table3[[#This Row],[station]],station_waterbody_county!A:A, station_waterbody_county!C:C)</f>
        <v>Digby</v>
      </c>
      <c r="E353" s="6"/>
      <c r="F353" s="6" t="s">
        <v>310</v>
      </c>
      <c r="G353" s="12">
        <v>45212</v>
      </c>
      <c r="H353" s="5"/>
      <c r="I353" s="4">
        <v>45447</v>
      </c>
      <c r="J353" s="5">
        <v>0.51041666666666663</v>
      </c>
      <c r="K353" s="10">
        <v>44.381841000000001</v>
      </c>
      <c r="L353" s="10">
        <v>-66.177394000000007</v>
      </c>
      <c r="O353" s="6"/>
      <c r="Q353" s="6" t="s">
        <v>371</v>
      </c>
      <c r="R353" s="6" t="s">
        <v>372</v>
      </c>
      <c r="S353" s="6" t="s">
        <v>239</v>
      </c>
      <c r="T353" s="11">
        <v>21083007</v>
      </c>
      <c r="U353" s="7">
        <v>10</v>
      </c>
      <c r="V353" s="6" t="s">
        <v>36</v>
      </c>
      <c r="W353" s="7">
        <v>49.7</v>
      </c>
      <c r="X353" s="6" t="s">
        <v>35</v>
      </c>
      <c r="Y353" s="7">
        <v>4.2</v>
      </c>
      <c r="Z353" s="7">
        <v>2</v>
      </c>
      <c r="AA353" s="6"/>
      <c r="AB353" s="6" t="s">
        <v>38</v>
      </c>
      <c r="AD353" s="6" t="s">
        <v>39</v>
      </c>
      <c r="AE353" s="6"/>
      <c r="AG353" s="6" t="s">
        <v>256</v>
      </c>
      <c r="AH353" s="7"/>
      <c r="AI353" s="6" t="s">
        <v>40</v>
      </c>
      <c r="AJ353" s="6" t="s">
        <v>238</v>
      </c>
      <c r="AK353" s="6" t="s">
        <v>35</v>
      </c>
      <c r="AL353" s="6" t="s">
        <v>268</v>
      </c>
      <c r="AN353" s="6" t="s">
        <v>258</v>
      </c>
    </row>
    <row r="354" spans="1:40" hidden="1" x14ac:dyDescent="0.25">
      <c r="A354" s="12">
        <v>45678</v>
      </c>
      <c r="B354" s="6" t="s">
        <v>167</v>
      </c>
      <c r="C354" t="str">
        <f>_xlfn.XLOOKUP(Table3[[#This Row],[station]],station_waterbody_county!A:A, station_waterbody_county!B:B)</f>
        <v>St. Marys Bay</v>
      </c>
      <c r="D354" t="str">
        <f>_xlfn.XLOOKUP(Table3[[#This Row],[station]],station_waterbody_county!A:A, station_waterbody_county!C:C)</f>
        <v>Digby</v>
      </c>
      <c r="E354" s="6"/>
      <c r="F354" s="6" t="s">
        <v>310</v>
      </c>
      <c r="G354" s="12">
        <v>45212</v>
      </c>
      <c r="H354" s="5"/>
      <c r="I354" s="4">
        <v>45447</v>
      </c>
      <c r="J354" s="5">
        <v>0.51041666666666663</v>
      </c>
      <c r="K354" s="10">
        <v>44.381841000000001</v>
      </c>
      <c r="L354" s="10">
        <v>-66.177394000000007</v>
      </c>
      <c r="O354" s="6"/>
      <c r="Q354" s="6" t="s">
        <v>371</v>
      </c>
      <c r="R354" s="6" t="s">
        <v>372</v>
      </c>
      <c r="S354" s="6" t="s">
        <v>239</v>
      </c>
      <c r="T354" s="11">
        <v>20291435</v>
      </c>
      <c r="U354" s="7">
        <v>15</v>
      </c>
      <c r="V354" s="6" t="s">
        <v>36</v>
      </c>
      <c r="W354" s="7">
        <v>49.7</v>
      </c>
      <c r="X354" s="6" t="s">
        <v>35</v>
      </c>
      <c r="Y354" s="7">
        <v>4.2</v>
      </c>
      <c r="Z354" s="7">
        <v>2</v>
      </c>
      <c r="AA354" s="6"/>
      <c r="AB354" s="6" t="s">
        <v>38</v>
      </c>
      <c r="AD354" s="6" t="s">
        <v>39</v>
      </c>
      <c r="AE354" s="6"/>
      <c r="AG354" s="6" t="s">
        <v>256</v>
      </c>
      <c r="AH354" s="7"/>
      <c r="AI354" s="6" t="s">
        <v>40</v>
      </c>
      <c r="AJ354" s="6" t="s">
        <v>238</v>
      </c>
      <c r="AK354" s="6" t="s">
        <v>35</v>
      </c>
      <c r="AL354" s="6" t="s">
        <v>268</v>
      </c>
      <c r="AN354" s="6" t="s">
        <v>257</v>
      </c>
    </row>
    <row r="355" spans="1:40" hidden="1" x14ac:dyDescent="0.25">
      <c r="A355" s="12">
        <v>45678</v>
      </c>
      <c r="B355" s="6" t="s">
        <v>167</v>
      </c>
      <c r="C355" t="str">
        <f>_xlfn.XLOOKUP(Table3[[#This Row],[station]],station_waterbody_county!A:A, station_waterbody_county!B:B)</f>
        <v>St. Marys Bay</v>
      </c>
      <c r="D355" t="str">
        <f>_xlfn.XLOOKUP(Table3[[#This Row],[station]],station_waterbody_county!A:A, station_waterbody_county!C:C)</f>
        <v>Digby</v>
      </c>
      <c r="E355" s="6"/>
      <c r="F355" s="6" t="s">
        <v>310</v>
      </c>
      <c r="G355" s="12">
        <v>45212</v>
      </c>
      <c r="H355" s="5"/>
      <c r="I355" s="4">
        <v>45447</v>
      </c>
      <c r="J355" s="5">
        <v>0.51041666666666663</v>
      </c>
      <c r="K355" s="10">
        <v>44.381841000000001</v>
      </c>
      <c r="L355" s="10">
        <v>-66.177394000000007</v>
      </c>
      <c r="O355" s="6"/>
      <c r="Q355" s="6" t="s">
        <v>371</v>
      </c>
      <c r="R355" s="6" t="s">
        <v>372</v>
      </c>
      <c r="S355" s="6" t="s">
        <v>239</v>
      </c>
      <c r="T355" s="11">
        <v>21152400</v>
      </c>
      <c r="U355" s="7">
        <v>20</v>
      </c>
      <c r="V355" s="6" t="s">
        <v>36</v>
      </c>
      <c r="W355" s="7">
        <v>49.7</v>
      </c>
      <c r="X355" s="6" t="s">
        <v>35</v>
      </c>
      <c r="Y355" s="7">
        <v>4.2</v>
      </c>
      <c r="Z355" s="7">
        <v>2</v>
      </c>
      <c r="AA355" s="6"/>
      <c r="AB355" s="6" t="s">
        <v>38</v>
      </c>
      <c r="AD355" s="6" t="s">
        <v>39</v>
      </c>
      <c r="AE355" s="6"/>
      <c r="AG355" s="6" t="s">
        <v>256</v>
      </c>
      <c r="AH355" s="7"/>
      <c r="AI355" s="6" t="s">
        <v>40</v>
      </c>
      <c r="AJ355" s="6" t="s">
        <v>238</v>
      </c>
      <c r="AK355" s="6" t="s">
        <v>35</v>
      </c>
      <c r="AL355" s="6" t="s">
        <v>268</v>
      </c>
      <c r="AN355" s="6" t="s">
        <v>257</v>
      </c>
    </row>
    <row r="356" spans="1:40" hidden="1" x14ac:dyDescent="0.25">
      <c r="A356" s="12">
        <v>45678</v>
      </c>
      <c r="B356" s="6" t="s">
        <v>167</v>
      </c>
      <c r="C356" t="str">
        <f>_xlfn.XLOOKUP(Table3[[#This Row],[station]],station_waterbody_county!A:A, station_waterbody_county!B:B)</f>
        <v>St. Marys Bay</v>
      </c>
      <c r="D356" t="str">
        <f>_xlfn.XLOOKUP(Table3[[#This Row],[station]],station_waterbody_county!A:A, station_waterbody_county!C:C)</f>
        <v>Digby</v>
      </c>
      <c r="E356" s="6"/>
      <c r="F356" s="6" t="s">
        <v>310</v>
      </c>
      <c r="G356" s="12">
        <v>45212</v>
      </c>
      <c r="H356" s="5"/>
      <c r="I356" s="4">
        <v>45447</v>
      </c>
      <c r="J356" s="5">
        <v>0.51041666666666663</v>
      </c>
      <c r="K356" s="10">
        <v>44.381841000000001</v>
      </c>
      <c r="L356" s="10">
        <v>-66.177394000000007</v>
      </c>
      <c r="O356" s="6"/>
      <c r="Q356" s="6" t="s">
        <v>371</v>
      </c>
      <c r="R356" s="6" t="s">
        <v>372</v>
      </c>
      <c r="S356" s="6" t="s">
        <v>42</v>
      </c>
      <c r="T356" s="11">
        <v>600008</v>
      </c>
      <c r="U356" s="7">
        <v>30</v>
      </c>
      <c r="V356" s="6" t="s">
        <v>36</v>
      </c>
      <c r="W356" s="7">
        <v>49.7</v>
      </c>
      <c r="X356" s="6" t="s">
        <v>35</v>
      </c>
      <c r="Y356" s="7">
        <v>4.2</v>
      </c>
      <c r="Z356" s="7">
        <v>2</v>
      </c>
      <c r="AA356" s="6"/>
      <c r="AB356" s="6" t="s">
        <v>38</v>
      </c>
      <c r="AD356" s="6" t="s">
        <v>39</v>
      </c>
      <c r="AE356" s="6"/>
      <c r="AG356" s="6" t="s">
        <v>256</v>
      </c>
      <c r="AH356" s="7"/>
      <c r="AI356" s="6" t="s">
        <v>40</v>
      </c>
      <c r="AJ356" s="6" t="s">
        <v>238</v>
      </c>
      <c r="AK356" s="6" t="s">
        <v>35</v>
      </c>
      <c r="AL356" s="6" t="s">
        <v>268</v>
      </c>
      <c r="AN356" s="6" t="s">
        <v>257</v>
      </c>
    </row>
    <row r="357" spans="1:40" x14ac:dyDescent="0.25">
      <c r="A357" s="4">
        <v>45835</v>
      </c>
      <c r="B357" s="6" t="s">
        <v>167</v>
      </c>
      <c r="C357" t="str">
        <f>_xlfn.XLOOKUP(Table3[[#This Row],[station]],station_waterbody_county!A:A, station_waterbody_county!B:B)</f>
        <v>St. Marys Bay</v>
      </c>
      <c r="D357" t="str">
        <f>_xlfn.XLOOKUP(Table3[[#This Row],[station]],station_waterbody_county!A:A, station_waterbody_county!C:C)</f>
        <v>Digby</v>
      </c>
      <c r="E357" s="6"/>
      <c r="F357" s="6" t="s">
        <v>311</v>
      </c>
      <c r="G357" s="4">
        <v>45526</v>
      </c>
      <c r="H357" s="5">
        <v>0.61875000000000002</v>
      </c>
      <c r="I357" s="4"/>
      <c r="J357" s="5"/>
      <c r="K357" s="10"/>
      <c r="O357" s="6" t="s">
        <v>459</v>
      </c>
      <c r="P357" s="6" t="s">
        <v>460</v>
      </c>
      <c r="S357" s="6" t="s">
        <v>239</v>
      </c>
      <c r="T357" s="11">
        <v>20495241</v>
      </c>
      <c r="U357" s="7">
        <v>2</v>
      </c>
      <c r="V357" s="6" t="s">
        <v>36</v>
      </c>
      <c r="W357" s="7">
        <v>18.5</v>
      </c>
      <c r="X357" s="6" t="s">
        <v>35</v>
      </c>
      <c r="Y357" s="7">
        <v>4.9000000000000004</v>
      </c>
      <c r="Z357" s="7">
        <v>0.5</v>
      </c>
      <c r="AA357" s="6" t="s">
        <v>243</v>
      </c>
      <c r="AB357" s="6" t="s">
        <v>38</v>
      </c>
      <c r="AD357" s="6" t="s">
        <v>39</v>
      </c>
      <c r="AE357" s="6"/>
      <c r="AG357" s="6" t="s">
        <v>256</v>
      </c>
      <c r="AH357" s="7">
        <v>69</v>
      </c>
      <c r="AI357" s="6" t="s">
        <v>40</v>
      </c>
      <c r="AJ357" s="6" t="s">
        <v>238</v>
      </c>
      <c r="AL357" s="6" t="s">
        <v>41</v>
      </c>
      <c r="AN357" s="6" t="s">
        <v>1312</v>
      </c>
    </row>
    <row r="358" spans="1:40" x14ac:dyDescent="0.25">
      <c r="A358" s="4">
        <v>45835</v>
      </c>
      <c r="B358" s="6" t="s">
        <v>167</v>
      </c>
      <c r="C358" t="str">
        <f>_xlfn.XLOOKUP(Table3[[#This Row],[station]],station_waterbody_county!A:A, station_waterbody_county!B:B)</f>
        <v>St. Marys Bay</v>
      </c>
      <c r="D358" t="str">
        <f>_xlfn.XLOOKUP(Table3[[#This Row],[station]],station_waterbody_county!A:A, station_waterbody_county!C:C)</f>
        <v>Digby</v>
      </c>
      <c r="E358" s="6"/>
      <c r="F358" s="6" t="s">
        <v>311</v>
      </c>
      <c r="G358" s="4">
        <v>45526</v>
      </c>
      <c r="H358" s="5">
        <v>0.61875000000000002</v>
      </c>
      <c r="I358" s="4"/>
      <c r="J358" s="5"/>
      <c r="K358" s="10"/>
      <c r="O358" s="6" t="s">
        <v>459</v>
      </c>
      <c r="P358" s="6" t="s">
        <v>460</v>
      </c>
      <c r="S358" s="6" t="s">
        <v>240</v>
      </c>
      <c r="T358" s="11">
        <v>671309</v>
      </c>
      <c r="U358" s="7">
        <v>5</v>
      </c>
      <c r="V358" s="6" t="s">
        <v>36</v>
      </c>
      <c r="W358" s="7">
        <v>18.5</v>
      </c>
      <c r="X358" s="6" t="s">
        <v>35</v>
      </c>
      <c r="Y358" s="7">
        <v>4.9000000000000004</v>
      </c>
      <c r="Z358" s="7">
        <v>0.5</v>
      </c>
      <c r="AA358" s="6" t="s">
        <v>243</v>
      </c>
      <c r="AB358" s="6" t="s">
        <v>38</v>
      </c>
      <c r="AD358" s="6" t="s">
        <v>39</v>
      </c>
      <c r="AE358" s="6"/>
      <c r="AG358" s="6" t="s">
        <v>256</v>
      </c>
      <c r="AH358" s="7">
        <v>69</v>
      </c>
      <c r="AI358" s="6" t="s">
        <v>40</v>
      </c>
      <c r="AJ358" s="6" t="s">
        <v>238</v>
      </c>
      <c r="AL358" s="6" t="s">
        <v>41</v>
      </c>
      <c r="AN358" s="6" t="s">
        <v>1312</v>
      </c>
    </row>
    <row r="359" spans="1:40" x14ac:dyDescent="0.25">
      <c r="A359" s="4">
        <v>45835</v>
      </c>
      <c r="B359" s="6" t="s">
        <v>167</v>
      </c>
      <c r="C359" t="str">
        <f>_xlfn.XLOOKUP(Table3[[#This Row],[station]],station_waterbody_county!A:A, station_waterbody_county!B:B)</f>
        <v>St. Marys Bay</v>
      </c>
      <c r="D359" t="str">
        <f>_xlfn.XLOOKUP(Table3[[#This Row],[station]],station_waterbody_county!A:A, station_waterbody_county!C:C)</f>
        <v>Digby</v>
      </c>
      <c r="E359" s="6"/>
      <c r="F359" s="6" t="s">
        <v>311</v>
      </c>
      <c r="G359" s="4">
        <v>45526</v>
      </c>
      <c r="H359" s="5">
        <v>0.61875000000000002</v>
      </c>
      <c r="I359" s="4"/>
      <c r="J359" s="5"/>
      <c r="K359" s="10"/>
      <c r="O359" s="6" t="s">
        <v>459</v>
      </c>
      <c r="P359" s="6" t="s">
        <v>460</v>
      </c>
      <c r="S359" s="6" t="s">
        <v>239</v>
      </c>
      <c r="T359" s="11">
        <v>21650147</v>
      </c>
      <c r="U359" s="7">
        <v>10</v>
      </c>
      <c r="V359" s="6" t="s">
        <v>36</v>
      </c>
      <c r="W359" s="7">
        <v>18.5</v>
      </c>
      <c r="X359" s="6" t="s">
        <v>35</v>
      </c>
      <c r="Y359" s="7">
        <v>4.9000000000000004</v>
      </c>
      <c r="Z359" s="7">
        <v>0.5</v>
      </c>
      <c r="AA359" s="6" t="s">
        <v>243</v>
      </c>
      <c r="AB359" s="6" t="s">
        <v>38</v>
      </c>
      <c r="AD359" s="6" t="s">
        <v>39</v>
      </c>
      <c r="AE359" s="6"/>
      <c r="AG359" s="6" t="s">
        <v>256</v>
      </c>
      <c r="AH359" s="7">
        <v>69</v>
      </c>
      <c r="AI359" s="6" t="s">
        <v>40</v>
      </c>
      <c r="AJ359" s="6" t="s">
        <v>238</v>
      </c>
      <c r="AL359" s="6" t="s">
        <v>41</v>
      </c>
      <c r="AN359" s="6" t="s">
        <v>1312</v>
      </c>
    </row>
    <row r="360" spans="1:40" x14ac:dyDescent="0.25">
      <c r="A360" s="4">
        <v>45835</v>
      </c>
      <c r="B360" s="6" t="s">
        <v>167</v>
      </c>
      <c r="C360" t="str">
        <f>_xlfn.XLOOKUP(Table3[[#This Row],[station]],station_waterbody_county!A:A, station_waterbody_county!B:B)</f>
        <v>St. Marys Bay</v>
      </c>
      <c r="D360" t="str">
        <f>_xlfn.XLOOKUP(Table3[[#This Row],[station]],station_waterbody_county!A:A, station_waterbody_county!C:C)</f>
        <v>Digby</v>
      </c>
      <c r="E360" s="6"/>
      <c r="F360" s="6" t="s">
        <v>311</v>
      </c>
      <c r="G360" s="4">
        <v>45526</v>
      </c>
      <c r="H360" s="5">
        <v>0.61875000000000002</v>
      </c>
      <c r="I360" s="4"/>
      <c r="J360" s="5"/>
      <c r="K360" s="10"/>
      <c r="O360" s="6" t="s">
        <v>459</v>
      </c>
      <c r="P360" s="6" t="s">
        <v>460</v>
      </c>
      <c r="S360" s="6" t="s">
        <v>239</v>
      </c>
      <c r="T360" s="11">
        <v>21414882</v>
      </c>
      <c r="U360" s="7">
        <v>15</v>
      </c>
      <c r="V360" s="6" t="s">
        <v>36</v>
      </c>
      <c r="W360" s="7">
        <v>18.5</v>
      </c>
      <c r="X360" s="6" t="s">
        <v>35</v>
      </c>
      <c r="Y360" s="7">
        <v>4.9000000000000004</v>
      </c>
      <c r="Z360" s="7">
        <v>0.5</v>
      </c>
      <c r="AA360" s="6" t="s">
        <v>243</v>
      </c>
      <c r="AB360" s="6" t="s">
        <v>38</v>
      </c>
      <c r="AD360" s="6" t="s">
        <v>39</v>
      </c>
      <c r="AE360" s="6"/>
      <c r="AG360" s="6" t="s">
        <v>256</v>
      </c>
      <c r="AH360" s="7">
        <v>69</v>
      </c>
      <c r="AI360" s="6" t="s">
        <v>40</v>
      </c>
      <c r="AJ360" s="6" t="s">
        <v>238</v>
      </c>
      <c r="AL360" s="6" t="s">
        <v>41</v>
      </c>
      <c r="AN360" s="6" t="s">
        <v>1312</v>
      </c>
    </row>
    <row r="361" spans="1:40" x14ac:dyDescent="0.25">
      <c r="A361" s="4">
        <v>45835</v>
      </c>
      <c r="B361" s="6" t="s">
        <v>167</v>
      </c>
      <c r="C361" t="str">
        <f>_xlfn.XLOOKUP(Table3[[#This Row],[station]],station_waterbody_county!A:A, station_waterbody_county!B:B)</f>
        <v>St. Marys Bay</v>
      </c>
      <c r="D361" t="str">
        <f>_xlfn.XLOOKUP(Table3[[#This Row],[station]],station_waterbody_county!A:A, station_waterbody_county!C:C)</f>
        <v>Digby</v>
      </c>
      <c r="E361" s="6"/>
      <c r="F361" s="6" t="s">
        <v>311</v>
      </c>
      <c r="G361" s="4">
        <v>45526</v>
      </c>
      <c r="H361" s="5">
        <v>0.61875000000000002</v>
      </c>
      <c r="I361" s="4"/>
      <c r="J361" s="5"/>
      <c r="K361" s="10"/>
      <c r="O361" s="6" t="s">
        <v>459</v>
      </c>
      <c r="P361" s="6" t="s">
        <v>460</v>
      </c>
      <c r="S361" s="6" t="s">
        <v>239</v>
      </c>
      <c r="T361" s="11">
        <v>21414851</v>
      </c>
      <c r="U361" s="7">
        <v>20</v>
      </c>
      <c r="V361" s="6" t="s">
        <v>36</v>
      </c>
      <c r="W361" s="7">
        <v>18.5</v>
      </c>
      <c r="X361" s="6" t="s">
        <v>35</v>
      </c>
      <c r="Y361" s="7">
        <v>4.9000000000000004</v>
      </c>
      <c r="Z361" s="7">
        <v>0.5</v>
      </c>
      <c r="AA361" s="6" t="s">
        <v>243</v>
      </c>
      <c r="AB361" s="6" t="s">
        <v>38</v>
      </c>
      <c r="AD361" s="6" t="s">
        <v>39</v>
      </c>
      <c r="AE361" s="6"/>
      <c r="AG361" s="6" t="s">
        <v>256</v>
      </c>
      <c r="AH361" s="7">
        <v>69</v>
      </c>
      <c r="AI361" s="6" t="s">
        <v>40</v>
      </c>
      <c r="AJ361" s="6" t="s">
        <v>238</v>
      </c>
      <c r="AL361" s="6" t="s">
        <v>41</v>
      </c>
      <c r="AN361" s="6" t="s">
        <v>1312</v>
      </c>
    </row>
    <row r="362" spans="1:40" x14ac:dyDescent="0.25">
      <c r="A362" s="4">
        <v>45835</v>
      </c>
      <c r="B362" s="6" t="s">
        <v>167</v>
      </c>
      <c r="C362" t="str">
        <f>_xlfn.XLOOKUP(Table3[[#This Row],[station]],station_waterbody_county!A:A, station_waterbody_county!B:B)</f>
        <v>St. Marys Bay</v>
      </c>
      <c r="D362" t="str">
        <f>_xlfn.XLOOKUP(Table3[[#This Row],[station]],station_waterbody_county!A:A, station_waterbody_county!C:C)</f>
        <v>Digby</v>
      </c>
      <c r="E362" s="6"/>
      <c r="F362" s="6" t="s">
        <v>311</v>
      </c>
      <c r="G362" s="4">
        <v>45526</v>
      </c>
      <c r="H362" s="5">
        <v>0.61875000000000002</v>
      </c>
      <c r="I362" s="4"/>
      <c r="J362" s="5"/>
      <c r="K362" s="10"/>
      <c r="O362" s="6" t="s">
        <v>459</v>
      </c>
      <c r="P362" s="6" t="s">
        <v>460</v>
      </c>
      <c r="S362" s="6" t="s">
        <v>239</v>
      </c>
      <c r="T362" s="11">
        <v>21152400</v>
      </c>
      <c r="U362" s="7">
        <v>30</v>
      </c>
      <c r="V362" s="6" t="s">
        <v>36</v>
      </c>
      <c r="W362" s="7">
        <v>18.5</v>
      </c>
      <c r="X362" s="6" t="s">
        <v>35</v>
      </c>
      <c r="Y362" s="7">
        <v>4.9000000000000004</v>
      </c>
      <c r="Z362" s="7">
        <v>0.5</v>
      </c>
      <c r="AA362" s="6" t="s">
        <v>243</v>
      </c>
      <c r="AB362" s="6" t="s">
        <v>38</v>
      </c>
      <c r="AD362" s="6" t="s">
        <v>39</v>
      </c>
      <c r="AE362" s="6"/>
      <c r="AG362" s="6" t="s">
        <v>256</v>
      </c>
      <c r="AH362" s="7">
        <v>69</v>
      </c>
      <c r="AI362" s="6" t="s">
        <v>40</v>
      </c>
      <c r="AJ362" s="6" t="s">
        <v>238</v>
      </c>
      <c r="AL362" s="6" t="s">
        <v>41</v>
      </c>
      <c r="AN362" s="6" t="s">
        <v>1312</v>
      </c>
    </row>
    <row r="363" spans="1:40" x14ac:dyDescent="0.25">
      <c r="A363" s="4">
        <v>45835</v>
      </c>
      <c r="B363" s="6" t="s">
        <v>167</v>
      </c>
      <c r="C363" t="str">
        <f>_xlfn.XLOOKUP(Table3[[#This Row],[station]],station_waterbody_county!A:A, station_waterbody_county!B:B)</f>
        <v>St. Marys Bay</v>
      </c>
      <c r="D363" t="str">
        <f>_xlfn.XLOOKUP(Table3[[#This Row],[station]],station_waterbody_county!A:A, station_waterbody_county!C:C)</f>
        <v>Digby</v>
      </c>
      <c r="E363" s="6"/>
      <c r="F363" s="6" t="s">
        <v>311</v>
      </c>
      <c r="G363" s="4">
        <v>45526</v>
      </c>
      <c r="H363" s="5">
        <v>0.61875000000000002</v>
      </c>
      <c r="I363" s="4"/>
      <c r="J363" s="5"/>
      <c r="K363" s="10"/>
      <c r="O363" s="6" t="s">
        <v>459</v>
      </c>
      <c r="P363" s="6" t="s">
        <v>460</v>
      </c>
      <c r="S363" s="6" t="s">
        <v>42</v>
      </c>
      <c r="T363" s="11">
        <v>551263</v>
      </c>
      <c r="U363" s="7">
        <v>40</v>
      </c>
      <c r="V363" s="6" t="s">
        <v>36</v>
      </c>
      <c r="W363" s="7">
        <v>18.5</v>
      </c>
      <c r="X363" s="6" t="s">
        <v>35</v>
      </c>
      <c r="Y363" s="7">
        <v>4.9000000000000004</v>
      </c>
      <c r="Z363" s="7">
        <v>0.5</v>
      </c>
      <c r="AA363" s="6" t="s">
        <v>243</v>
      </c>
      <c r="AB363" s="6" t="s">
        <v>38</v>
      </c>
      <c r="AD363" s="6" t="s">
        <v>39</v>
      </c>
      <c r="AE363" s="6"/>
      <c r="AG363" s="6" t="s">
        <v>256</v>
      </c>
      <c r="AH363" s="7">
        <v>69</v>
      </c>
      <c r="AI363" s="6" t="s">
        <v>40</v>
      </c>
      <c r="AJ363" s="6" t="s">
        <v>238</v>
      </c>
      <c r="AL363" s="6" t="s">
        <v>41</v>
      </c>
      <c r="AN363" s="6" t="s">
        <v>1312</v>
      </c>
    </row>
    <row r="364" spans="1:40" hidden="1" x14ac:dyDescent="0.25">
      <c r="A364" s="12">
        <v>45455</v>
      </c>
      <c r="B364" s="6" t="s">
        <v>168</v>
      </c>
      <c r="C364" t="str">
        <f>_xlfn.XLOOKUP(Table3[[#This Row],[station]],station_waterbody_county!A:A, station_waterbody_county!B:B)</f>
        <v>St. Marys Bay</v>
      </c>
      <c r="D364" t="str">
        <f>_xlfn.XLOOKUP(Table3[[#This Row],[station]],station_waterbody_county!A:A, station_waterbody_county!C:C)</f>
        <v>Digby</v>
      </c>
      <c r="E364" s="6"/>
      <c r="F364" s="6" t="s">
        <v>311</v>
      </c>
      <c r="G364" s="12">
        <v>44795</v>
      </c>
      <c r="H364" s="5"/>
      <c r="I364" s="4"/>
      <c r="J364" s="5"/>
      <c r="K364" s="10">
        <v>44.350411999999999</v>
      </c>
      <c r="L364" s="10">
        <v>-66.224857999999998</v>
      </c>
      <c r="O364" s="6"/>
      <c r="S364" s="6" t="s">
        <v>239</v>
      </c>
      <c r="T364" s="11">
        <v>21414880</v>
      </c>
      <c r="U364" s="7">
        <v>2</v>
      </c>
      <c r="V364" s="6" t="s">
        <v>36</v>
      </c>
      <c r="W364" s="7">
        <v>34</v>
      </c>
      <c r="X364" s="6" t="s">
        <v>35</v>
      </c>
      <c r="Y364" s="7">
        <v>3.5</v>
      </c>
      <c r="Z364" s="7">
        <v>2</v>
      </c>
      <c r="AA364" s="6" t="s">
        <v>251</v>
      </c>
      <c r="AE364" s="6"/>
      <c r="AG364" s="6" t="s">
        <v>278</v>
      </c>
      <c r="AH364" s="7"/>
      <c r="AI364" s="6" t="s">
        <v>40</v>
      </c>
      <c r="AJ364" s="6" t="s">
        <v>238</v>
      </c>
      <c r="AL364" s="6" t="s">
        <v>285</v>
      </c>
    </row>
    <row r="365" spans="1:40" hidden="1" x14ac:dyDescent="0.25">
      <c r="A365" s="12">
        <v>45455</v>
      </c>
      <c r="B365" s="6" t="s">
        <v>168</v>
      </c>
      <c r="C365" t="str">
        <f>_xlfn.XLOOKUP(Table3[[#This Row],[station]],station_waterbody_county!A:A, station_waterbody_county!B:B)</f>
        <v>St. Marys Bay</v>
      </c>
      <c r="D365" t="str">
        <f>_xlfn.XLOOKUP(Table3[[#This Row],[station]],station_waterbody_county!A:A, station_waterbody_county!C:C)</f>
        <v>Digby</v>
      </c>
      <c r="E365" s="6"/>
      <c r="F365" s="6" t="s">
        <v>311</v>
      </c>
      <c r="G365" s="12">
        <v>44795</v>
      </c>
      <c r="H365" s="5"/>
      <c r="I365" s="4"/>
      <c r="J365" s="5"/>
      <c r="K365" s="10">
        <v>44.350411999999999</v>
      </c>
      <c r="L365" s="10">
        <v>-66.224857999999998</v>
      </c>
      <c r="O365" s="6"/>
      <c r="S365" s="6" t="s">
        <v>240</v>
      </c>
      <c r="T365" s="11">
        <v>675010</v>
      </c>
      <c r="U365" s="7">
        <v>5</v>
      </c>
      <c r="V365" s="6" t="s">
        <v>36</v>
      </c>
      <c r="W365" s="7">
        <v>34</v>
      </c>
      <c r="X365" s="6" t="s">
        <v>35</v>
      </c>
      <c r="Y365" s="7">
        <v>3.5</v>
      </c>
      <c r="Z365" s="7">
        <v>2</v>
      </c>
      <c r="AA365" s="6" t="s">
        <v>251</v>
      </c>
      <c r="AE365" s="6"/>
      <c r="AG365" s="6" t="s">
        <v>278</v>
      </c>
      <c r="AH365" s="7"/>
      <c r="AI365" s="6" t="s">
        <v>40</v>
      </c>
      <c r="AJ365" s="6" t="s">
        <v>238</v>
      </c>
      <c r="AL365" s="6" t="s">
        <v>285</v>
      </c>
    </row>
    <row r="366" spans="1:40" hidden="1" x14ac:dyDescent="0.25">
      <c r="A366" s="12">
        <v>45455</v>
      </c>
      <c r="B366" s="6" t="s">
        <v>168</v>
      </c>
      <c r="C366" t="str">
        <f>_xlfn.XLOOKUP(Table3[[#This Row],[station]],station_waterbody_county!A:A, station_waterbody_county!B:B)</f>
        <v>St. Marys Bay</v>
      </c>
      <c r="D366" t="str">
        <f>_xlfn.XLOOKUP(Table3[[#This Row],[station]],station_waterbody_county!A:A, station_waterbody_county!C:C)</f>
        <v>Digby</v>
      </c>
      <c r="E366" s="6"/>
      <c r="F366" s="6" t="s">
        <v>311</v>
      </c>
      <c r="G366" s="12">
        <v>44795</v>
      </c>
      <c r="H366" s="5"/>
      <c r="I366" s="4"/>
      <c r="J366" s="5"/>
      <c r="K366" s="10">
        <v>44.350411999999999</v>
      </c>
      <c r="L366" s="10">
        <v>-66.224857999999998</v>
      </c>
      <c r="O366" s="6"/>
      <c r="S366" s="6" t="s">
        <v>239</v>
      </c>
      <c r="T366" s="11">
        <v>20330417</v>
      </c>
      <c r="U366" s="7">
        <v>10</v>
      </c>
      <c r="V366" s="6" t="s">
        <v>36</v>
      </c>
      <c r="W366" s="7">
        <v>34</v>
      </c>
      <c r="X366" s="6" t="s">
        <v>35</v>
      </c>
      <c r="Y366" s="7">
        <v>3.5</v>
      </c>
      <c r="Z366" s="7">
        <v>2</v>
      </c>
      <c r="AA366" s="6" t="s">
        <v>251</v>
      </c>
      <c r="AE366" s="6"/>
      <c r="AG366" s="6" t="s">
        <v>278</v>
      </c>
      <c r="AH366" s="7"/>
      <c r="AI366" s="6" t="s">
        <v>40</v>
      </c>
      <c r="AJ366" s="6" t="s">
        <v>238</v>
      </c>
      <c r="AL366" s="6" t="s">
        <v>285</v>
      </c>
    </row>
    <row r="367" spans="1:40" hidden="1" x14ac:dyDescent="0.25">
      <c r="A367" s="12">
        <v>45455</v>
      </c>
      <c r="B367" s="6" t="s">
        <v>168</v>
      </c>
      <c r="C367" t="str">
        <f>_xlfn.XLOOKUP(Table3[[#This Row],[station]],station_waterbody_county!A:A, station_waterbody_county!B:B)</f>
        <v>St. Marys Bay</v>
      </c>
      <c r="D367" t="str">
        <f>_xlfn.XLOOKUP(Table3[[#This Row],[station]],station_waterbody_county!A:A, station_waterbody_county!C:C)</f>
        <v>Digby</v>
      </c>
      <c r="E367" s="6"/>
      <c r="F367" s="6" t="s">
        <v>311</v>
      </c>
      <c r="G367" s="12">
        <v>44795</v>
      </c>
      <c r="H367" s="5"/>
      <c r="I367" s="4"/>
      <c r="J367" s="5"/>
      <c r="K367" s="10">
        <v>44.350411999999999</v>
      </c>
      <c r="L367" s="10">
        <v>-66.224857999999998</v>
      </c>
      <c r="O367" s="6"/>
      <c r="S367" s="6" t="s">
        <v>239</v>
      </c>
      <c r="T367" s="11">
        <v>21414904</v>
      </c>
      <c r="U367" s="7">
        <v>15</v>
      </c>
      <c r="V367" s="6" t="s">
        <v>36</v>
      </c>
      <c r="W367" s="7">
        <v>34</v>
      </c>
      <c r="X367" s="6" t="s">
        <v>35</v>
      </c>
      <c r="Y367" s="7">
        <v>3.5</v>
      </c>
      <c r="Z367" s="7">
        <v>2</v>
      </c>
      <c r="AA367" s="6" t="s">
        <v>251</v>
      </c>
      <c r="AE367" s="6"/>
      <c r="AG367" s="6" t="s">
        <v>278</v>
      </c>
      <c r="AH367" s="7"/>
      <c r="AI367" s="6" t="s">
        <v>40</v>
      </c>
      <c r="AJ367" s="6" t="s">
        <v>238</v>
      </c>
      <c r="AL367" s="6" t="s">
        <v>285</v>
      </c>
    </row>
    <row r="368" spans="1:40" hidden="1" x14ac:dyDescent="0.25">
      <c r="A368" s="12">
        <v>45455</v>
      </c>
      <c r="B368" s="6" t="s">
        <v>168</v>
      </c>
      <c r="C368" t="str">
        <f>_xlfn.XLOOKUP(Table3[[#This Row],[station]],station_waterbody_county!A:A, station_waterbody_county!B:B)</f>
        <v>St. Marys Bay</v>
      </c>
      <c r="D368" t="str">
        <f>_xlfn.XLOOKUP(Table3[[#This Row],[station]],station_waterbody_county!A:A, station_waterbody_county!C:C)</f>
        <v>Digby</v>
      </c>
      <c r="E368" s="6"/>
      <c r="F368" s="6" t="s">
        <v>311</v>
      </c>
      <c r="G368" s="12">
        <v>44795</v>
      </c>
      <c r="H368" s="5"/>
      <c r="I368" s="4"/>
      <c r="J368" s="5"/>
      <c r="K368" s="10">
        <v>44.350411999999999</v>
      </c>
      <c r="L368" s="10">
        <v>-66.224857999999998</v>
      </c>
      <c r="O368" s="6"/>
      <c r="S368" s="6" t="s">
        <v>239</v>
      </c>
      <c r="T368" s="11">
        <v>20763552</v>
      </c>
      <c r="U368" s="7">
        <v>20</v>
      </c>
      <c r="V368" s="6" t="s">
        <v>36</v>
      </c>
      <c r="W368" s="7">
        <v>34</v>
      </c>
      <c r="X368" s="6" t="s">
        <v>35</v>
      </c>
      <c r="Y368" s="7">
        <v>3.5</v>
      </c>
      <c r="Z368" s="7">
        <v>2</v>
      </c>
      <c r="AA368" s="6" t="s">
        <v>251</v>
      </c>
      <c r="AE368" s="6"/>
      <c r="AG368" s="6" t="s">
        <v>278</v>
      </c>
      <c r="AH368" s="7"/>
      <c r="AI368" s="6" t="s">
        <v>40</v>
      </c>
      <c r="AJ368" s="6" t="s">
        <v>238</v>
      </c>
      <c r="AL368" s="6" t="s">
        <v>285</v>
      </c>
    </row>
    <row r="369" spans="1:39" hidden="1" x14ac:dyDescent="0.25">
      <c r="A369" s="12">
        <v>45455</v>
      </c>
      <c r="B369" s="6" t="s">
        <v>168</v>
      </c>
      <c r="C369" t="str">
        <f>_xlfn.XLOOKUP(Table3[[#This Row],[station]],station_waterbody_county!A:A, station_waterbody_county!B:B)</f>
        <v>St. Marys Bay</v>
      </c>
      <c r="D369" t="str">
        <f>_xlfn.XLOOKUP(Table3[[#This Row],[station]],station_waterbody_county!A:A, station_waterbody_county!C:C)</f>
        <v>Digby</v>
      </c>
      <c r="E369" s="6"/>
      <c r="F369" s="6" t="s">
        <v>311</v>
      </c>
      <c r="G369" s="12">
        <v>44795</v>
      </c>
      <c r="H369" s="5"/>
      <c r="I369" s="4"/>
      <c r="J369" s="5"/>
      <c r="K369" s="10">
        <v>44.350411999999999</v>
      </c>
      <c r="L369" s="10">
        <v>-66.224857999999998</v>
      </c>
      <c r="O369" s="6"/>
      <c r="S369" s="6" t="s">
        <v>42</v>
      </c>
      <c r="T369" s="11">
        <v>547086</v>
      </c>
      <c r="U369" s="7">
        <v>32</v>
      </c>
      <c r="V369" s="6" t="s">
        <v>36</v>
      </c>
      <c r="W369" s="7">
        <v>34</v>
      </c>
      <c r="X369" s="6" t="s">
        <v>35</v>
      </c>
      <c r="Y369" s="7">
        <v>3.5</v>
      </c>
      <c r="Z369" s="7">
        <v>2</v>
      </c>
      <c r="AA369" s="6" t="s">
        <v>251</v>
      </c>
      <c r="AE369" s="6"/>
      <c r="AG369" s="6" t="s">
        <v>278</v>
      </c>
      <c r="AH369" s="7"/>
      <c r="AI369" s="6" t="s">
        <v>40</v>
      </c>
      <c r="AJ369" s="6" t="s">
        <v>238</v>
      </c>
      <c r="AL369" s="6" t="s">
        <v>285</v>
      </c>
    </row>
    <row r="370" spans="1:39" hidden="1" x14ac:dyDescent="0.25">
      <c r="A370" s="4">
        <v>45678</v>
      </c>
      <c r="B370" s="6" t="s">
        <v>169</v>
      </c>
      <c r="C370" t="str">
        <f>_xlfn.XLOOKUP(Table3[[#This Row],[station]],station_waterbody_county!A:A, station_waterbody_county!B:B)</f>
        <v>St. Marys Bay</v>
      </c>
      <c r="D370" t="str">
        <f>_xlfn.XLOOKUP(Table3[[#This Row],[station]],station_waterbody_county!A:A, station_waterbody_county!C:C)</f>
        <v>Digby</v>
      </c>
      <c r="E370" s="6"/>
      <c r="F370" s="6" t="s">
        <v>310</v>
      </c>
      <c r="G370" s="4">
        <v>45212</v>
      </c>
      <c r="H370" s="5">
        <v>0.48888888888888887</v>
      </c>
      <c r="I370" s="4">
        <v>45348</v>
      </c>
      <c r="J370" s="5"/>
      <c r="K370" s="10">
        <v>44.334043000000001</v>
      </c>
      <c r="L370" s="10">
        <v>-66.202796000000006</v>
      </c>
      <c r="O370" s="6"/>
      <c r="S370" s="6" t="s">
        <v>239</v>
      </c>
      <c r="T370" s="11">
        <v>20820334</v>
      </c>
      <c r="U370" s="7">
        <v>2</v>
      </c>
      <c r="V370" s="6" t="s">
        <v>36</v>
      </c>
      <c r="W370" s="7">
        <v>38.1</v>
      </c>
      <c r="X370" s="6" t="s">
        <v>35</v>
      </c>
      <c r="Y370" s="7">
        <v>4</v>
      </c>
      <c r="Z370" s="7">
        <v>2</v>
      </c>
      <c r="AA370" s="6"/>
      <c r="AB370" s="6" t="s">
        <v>38</v>
      </c>
      <c r="AD370" s="6" t="s">
        <v>39</v>
      </c>
      <c r="AE370" s="6"/>
      <c r="AG370" s="6" t="s">
        <v>256</v>
      </c>
      <c r="AH370" s="7">
        <v>69</v>
      </c>
      <c r="AI370" s="6" t="s">
        <v>40</v>
      </c>
      <c r="AJ370" s="6" t="s">
        <v>238</v>
      </c>
      <c r="AL370" s="6" t="s">
        <v>463</v>
      </c>
      <c r="AM370" s="6" t="s">
        <v>493</v>
      </c>
    </row>
    <row r="371" spans="1:39" hidden="1" x14ac:dyDescent="0.25">
      <c r="A371" s="4">
        <v>45678</v>
      </c>
      <c r="B371" s="6" t="s">
        <v>169</v>
      </c>
      <c r="C371" t="str">
        <f>_xlfn.XLOOKUP(Table3[[#This Row],[station]],station_waterbody_county!A:A, station_waterbody_county!B:B)</f>
        <v>St. Marys Bay</v>
      </c>
      <c r="D371" t="str">
        <f>_xlfn.XLOOKUP(Table3[[#This Row],[station]],station_waterbody_county!A:A, station_waterbody_county!C:C)</f>
        <v>Digby</v>
      </c>
      <c r="E371" s="6"/>
      <c r="F371" s="6" t="s">
        <v>310</v>
      </c>
      <c r="G371" s="4">
        <v>45212</v>
      </c>
      <c r="H371" s="5">
        <v>0.48888888888888887</v>
      </c>
      <c r="I371" s="4">
        <v>45348</v>
      </c>
      <c r="J371" s="5"/>
      <c r="K371" s="10">
        <v>44.334043000000001</v>
      </c>
      <c r="L371" s="10">
        <v>-66.202796000000006</v>
      </c>
      <c r="O371" s="6"/>
      <c r="S371" s="6" t="s">
        <v>240</v>
      </c>
      <c r="T371" s="11">
        <v>675015</v>
      </c>
      <c r="U371" s="7">
        <v>5</v>
      </c>
      <c r="V371" s="6" t="s">
        <v>36</v>
      </c>
      <c r="W371" s="7">
        <v>38.1</v>
      </c>
      <c r="X371" s="6" t="s">
        <v>35</v>
      </c>
      <c r="Y371" s="7">
        <v>4</v>
      </c>
      <c r="Z371" s="7">
        <v>2</v>
      </c>
      <c r="AA371" s="6"/>
      <c r="AB371" s="6" t="s">
        <v>38</v>
      </c>
      <c r="AD371" s="6" t="s">
        <v>39</v>
      </c>
      <c r="AE371" s="6"/>
      <c r="AG371" s="6" t="s">
        <v>256</v>
      </c>
      <c r="AH371" s="7">
        <v>69</v>
      </c>
      <c r="AI371" s="6" t="s">
        <v>40</v>
      </c>
      <c r="AJ371" s="6" t="s">
        <v>238</v>
      </c>
      <c r="AL371" s="6" t="s">
        <v>463</v>
      </c>
      <c r="AM371" s="6" t="s">
        <v>493</v>
      </c>
    </row>
    <row r="372" spans="1:39" hidden="1" x14ac:dyDescent="0.25">
      <c r="A372" s="4">
        <v>45678</v>
      </c>
      <c r="B372" s="6" t="s">
        <v>169</v>
      </c>
      <c r="C372" t="str">
        <f>_xlfn.XLOOKUP(Table3[[#This Row],[station]],station_waterbody_county!A:A, station_waterbody_county!B:B)</f>
        <v>St. Marys Bay</v>
      </c>
      <c r="D372" t="str">
        <f>_xlfn.XLOOKUP(Table3[[#This Row],[station]],station_waterbody_county!A:A, station_waterbody_county!C:C)</f>
        <v>Digby</v>
      </c>
      <c r="E372" s="6"/>
      <c r="F372" s="6" t="s">
        <v>310</v>
      </c>
      <c r="G372" s="4">
        <v>45212</v>
      </c>
      <c r="H372" s="5">
        <v>0.48888888888888887</v>
      </c>
      <c r="I372" s="4">
        <v>45348</v>
      </c>
      <c r="J372" s="5"/>
      <c r="K372" s="10">
        <v>44.334043000000001</v>
      </c>
      <c r="L372" s="10">
        <v>-66.202796000000006</v>
      </c>
      <c r="O372" s="6"/>
      <c r="S372" s="6" t="s">
        <v>239</v>
      </c>
      <c r="T372" s="11">
        <v>20495209</v>
      </c>
      <c r="U372" s="7">
        <v>10</v>
      </c>
      <c r="V372" s="6" t="s">
        <v>36</v>
      </c>
      <c r="W372" s="7">
        <v>38.1</v>
      </c>
      <c r="X372" s="6" t="s">
        <v>35</v>
      </c>
      <c r="Y372" s="7">
        <v>4</v>
      </c>
      <c r="Z372" s="7">
        <v>2</v>
      </c>
      <c r="AA372" s="6"/>
      <c r="AB372" s="6" t="s">
        <v>38</v>
      </c>
      <c r="AD372" s="6" t="s">
        <v>39</v>
      </c>
      <c r="AE372" s="6"/>
      <c r="AG372" s="6" t="s">
        <v>256</v>
      </c>
      <c r="AH372" s="7">
        <v>69</v>
      </c>
      <c r="AI372" s="6" t="s">
        <v>40</v>
      </c>
      <c r="AJ372" s="6" t="s">
        <v>238</v>
      </c>
      <c r="AL372" s="6" t="s">
        <v>463</v>
      </c>
      <c r="AM372" s="6" t="s">
        <v>493</v>
      </c>
    </row>
    <row r="373" spans="1:39" hidden="1" x14ac:dyDescent="0.25">
      <c r="A373" s="4">
        <v>45678</v>
      </c>
      <c r="B373" s="6" t="s">
        <v>169</v>
      </c>
      <c r="C373" t="str">
        <f>_xlfn.XLOOKUP(Table3[[#This Row],[station]],station_waterbody_county!A:A, station_waterbody_county!B:B)</f>
        <v>St. Marys Bay</v>
      </c>
      <c r="D373" t="str">
        <f>_xlfn.XLOOKUP(Table3[[#This Row],[station]],station_waterbody_county!A:A, station_waterbody_county!C:C)</f>
        <v>Digby</v>
      </c>
      <c r="E373" s="6"/>
      <c r="F373" s="6" t="s">
        <v>310</v>
      </c>
      <c r="G373" s="4">
        <v>45212</v>
      </c>
      <c r="H373" s="5">
        <v>0.48888888888888887</v>
      </c>
      <c r="I373" s="4">
        <v>45348</v>
      </c>
      <c r="J373" s="5"/>
      <c r="K373" s="10">
        <v>44.334043000000001</v>
      </c>
      <c r="L373" s="10">
        <v>-66.202796000000006</v>
      </c>
      <c r="O373" s="6"/>
      <c r="S373" s="6" t="s">
        <v>239</v>
      </c>
      <c r="T373" s="11">
        <v>20900975</v>
      </c>
      <c r="U373" s="7">
        <v>15</v>
      </c>
      <c r="V373" s="6" t="s">
        <v>36</v>
      </c>
      <c r="W373" s="7">
        <v>38.1</v>
      </c>
      <c r="X373" s="6" t="s">
        <v>35</v>
      </c>
      <c r="Y373" s="7">
        <v>4</v>
      </c>
      <c r="Z373" s="7">
        <v>2</v>
      </c>
      <c r="AA373" s="6"/>
      <c r="AB373" s="6" t="s">
        <v>38</v>
      </c>
      <c r="AD373" s="6" t="s">
        <v>39</v>
      </c>
      <c r="AE373" s="6"/>
      <c r="AG373" s="6" t="s">
        <v>256</v>
      </c>
      <c r="AH373" s="7">
        <v>69</v>
      </c>
      <c r="AI373" s="6" t="s">
        <v>40</v>
      </c>
      <c r="AJ373" s="6" t="s">
        <v>238</v>
      </c>
      <c r="AL373" s="6" t="s">
        <v>463</v>
      </c>
      <c r="AM373" s="6" t="s">
        <v>493</v>
      </c>
    </row>
    <row r="374" spans="1:39" hidden="1" x14ac:dyDescent="0.25">
      <c r="A374" s="4">
        <v>45678</v>
      </c>
      <c r="B374" s="6" t="s">
        <v>169</v>
      </c>
      <c r="C374" t="str">
        <f>_xlfn.XLOOKUP(Table3[[#This Row],[station]],station_waterbody_county!A:A, station_waterbody_county!B:B)</f>
        <v>St. Marys Bay</v>
      </c>
      <c r="D374" t="str">
        <f>_xlfn.XLOOKUP(Table3[[#This Row],[station]],station_waterbody_county!A:A, station_waterbody_county!C:C)</f>
        <v>Digby</v>
      </c>
      <c r="E374" s="6"/>
      <c r="F374" s="6" t="s">
        <v>310</v>
      </c>
      <c r="G374" s="4">
        <v>45212</v>
      </c>
      <c r="H374" s="5">
        <v>0.48888888888888887</v>
      </c>
      <c r="I374" s="4">
        <v>45348</v>
      </c>
      <c r="J374" s="5"/>
      <c r="K374" s="10">
        <v>44.334043000000001</v>
      </c>
      <c r="L374" s="10">
        <v>-66.202796000000006</v>
      </c>
      <c r="O374" s="6"/>
      <c r="S374" s="6" t="s">
        <v>239</v>
      </c>
      <c r="T374" s="11">
        <v>21043077</v>
      </c>
      <c r="U374" s="7">
        <v>20</v>
      </c>
      <c r="V374" s="6" t="s">
        <v>36</v>
      </c>
      <c r="W374" s="7">
        <v>38.1</v>
      </c>
      <c r="X374" s="6" t="s">
        <v>35</v>
      </c>
      <c r="Y374" s="7">
        <v>4</v>
      </c>
      <c r="Z374" s="7">
        <v>2</v>
      </c>
      <c r="AA374" s="6"/>
      <c r="AB374" s="6" t="s">
        <v>38</v>
      </c>
      <c r="AD374" s="6" t="s">
        <v>39</v>
      </c>
      <c r="AE374" s="6"/>
      <c r="AG374" s="6" t="s">
        <v>256</v>
      </c>
      <c r="AH374" s="7">
        <v>69</v>
      </c>
      <c r="AI374" s="6" t="s">
        <v>40</v>
      </c>
      <c r="AJ374" s="6" t="s">
        <v>238</v>
      </c>
      <c r="AL374" s="6" t="s">
        <v>463</v>
      </c>
      <c r="AM374" s="6" t="s">
        <v>493</v>
      </c>
    </row>
    <row r="375" spans="1:39" hidden="1" x14ac:dyDescent="0.25">
      <c r="A375" s="4">
        <v>45678</v>
      </c>
      <c r="B375" s="6" t="s">
        <v>169</v>
      </c>
      <c r="C375" t="str">
        <f>_xlfn.XLOOKUP(Table3[[#This Row],[station]],station_waterbody_county!A:A, station_waterbody_county!B:B)</f>
        <v>St. Marys Bay</v>
      </c>
      <c r="D375" t="str">
        <f>_xlfn.XLOOKUP(Table3[[#This Row],[station]],station_waterbody_county!A:A, station_waterbody_county!C:C)</f>
        <v>Digby</v>
      </c>
      <c r="E375" s="6"/>
      <c r="F375" s="6" t="s">
        <v>310</v>
      </c>
      <c r="G375" s="4">
        <v>45212</v>
      </c>
      <c r="H375" s="5">
        <v>0.48888888888888887</v>
      </c>
      <c r="I375" s="4">
        <v>45348</v>
      </c>
      <c r="J375" s="5"/>
      <c r="K375" s="10">
        <v>44.334043000000001</v>
      </c>
      <c r="L375" s="10">
        <v>-66.202796000000006</v>
      </c>
      <c r="O375" s="6"/>
      <c r="S375" s="6" t="s">
        <v>42</v>
      </c>
      <c r="T375" s="11">
        <v>600017</v>
      </c>
      <c r="U375" s="7">
        <v>30</v>
      </c>
      <c r="V375" s="6" t="s">
        <v>36</v>
      </c>
      <c r="W375" s="7">
        <v>38.1</v>
      </c>
      <c r="X375" s="6" t="s">
        <v>35</v>
      </c>
      <c r="Y375" s="7">
        <v>4</v>
      </c>
      <c r="Z375" s="7">
        <v>2</v>
      </c>
      <c r="AA375" s="6"/>
      <c r="AB375" s="6" t="s">
        <v>38</v>
      </c>
      <c r="AD375" s="6" t="s">
        <v>39</v>
      </c>
      <c r="AE375" s="6"/>
      <c r="AG375" s="6" t="s">
        <v>256</v>
      </c>
      <c r="AH375" s="7">
        <v>69</v>
      </c>
      <c r="AI375" s="6" t="s">
        <v>40</v>
      </c>
      <c r="AJ375" s="6" t="s">
        <v>238</v>
      </c>
      <c r="AL375" s="6" t="s">
        <v>463</v>
      </c>
      <c r="AM375" s="6" t="s">
        <v>493</v>
      </c>
    </row>
    <row r="376" spans="1:39" x14ac:dyDescent="0.25">
      <c r="A376" s="4">
        <v>45818</v>
      </c>
      <c r="B376" s="6" t="s">
        <v>169</v>
      </c>
      <c r="C376" t="str">
        <f>_xlfn.XLOOKUP(Table3[[#This Row],[station]],station_waterbody_county!A:A, station_waterbody_county!B:B)</f>
        <v>St. Marys Bay</v>
      </c>
      <c r="D376" t="str">
        <f>_xlfn.XLOOKUP(Table3[[#This Row],[station]],station_waterbody_county!A:A, station_waterbody_county!C:C)</f>
        <v>Digby</v>
      </c>
      <c r="E376" s="6"/>
      <c r="F376" s="6" t="s">
        <v>310</v>
      </c>
      <c r="G376" s="4">
        <v>45526</v>
      </c>
      <c r="H376" s="5">
        <v>0.64652777777777781</v>
      </c>
      <c r="I376" s="4">
        <v>45811</v>
      </c>
      <c r="J376" s="5">
        <v>0.55486111111111114</v>
      </c>
      <c r="K376" s="10"/>
      <c r="O376" s="6" t="s">
        <v>461</v>
      </c>
      <c r="P376" s="6" t="s">
        <v>462</v>
      </c>
      <c r="Q376" s="6" t="s">
        <v>1310</v>
      </c>
      <c r="R376" s="6" t="s">
        <v>1311</v>
      </c>
      <c r="S376" s="6" t="s">
        <v>239</v>
      </c>
      <c r="T376" s="11">
        <v>21444909</v>
      </c>
      <c r="U376" s="7">
        <v>2</v>
      </c>
      <c r="V376" s="6" t="s">
        <v>36</v>
      </c>
      <c r="W376" s="7">
        <v>40.200000000000003</v>
      </c>
      <c r="X376" s="6" t="s">
        <v>35</v>
      </c>
      <c r="Y376" s="7">
        <v>5.6</v>
      </c>
      <c r="Z376" s="7">
        <v>0.5</v>
      </c>
      <c r="AA376" s="6" t="s">
        <v>243</v>
      </c>
      <c r="AB376" s="6" t="s">
        <v>38</v>
      </c>
      <c r="AD376" s="6" t="s">
        <v>39</v>
      </c>
      <c r="AE376" s="6"/>
      <c r="AG376" s="6" t="s">
        <v>256</v>
      </c>
      <c r="AH376" s="7">
        <v>69</v>
      </c>
      <c r="AI376" s="6" t="s">
        <v>40</v>
      </c>
      <c r="AJ376" s="6" t="s">
        <v>238</v>
      </c>
      <c r="AL376" s="6" t="s">
        <v>41</v>
      </c>
      <c r="AM376" s="6" t="s">
        <v>41</v>
      </c>
    </row>
    <row r="377" spans="1:39" x14ac:dyDescent="0.25">
      <c r="A377" s="4">
        <v>45818</v>
      </c>
      <c r="B377" s="6" t="s">
        <v>169</v>
      </c>
      <c r="C377" t="str">
        <f>_xlfn.XLOOKUP(Table3[[#This Row],[station]],station_waterbody_county!A:A, station_waterbody_county!B:B)</f>
        <v>St. Marys Bay</v>
      </c>
      <c r="D377" t="str">
        <f>_xlfn.XLOOKUP(Table3[[#This Row],[station]],station_waterbody_county!A:A, station_waterbody_county!C:C)</f>
        <v>Digby</v>
      </c>
      <c r="E377" s="6"/>
      <c r="F377" s="6" t="s">
        <v>310</v>
      </c>
      <c r="G377" s="4">
        <v>45526</v>
      </c>
      <c r="H377" s="5">
        <v>0.64652777777777781</v>
      </c>
      <c r="I377" s="4">
        <v>45811</v>
      </c>
      <c r="J377" s="5">
        <v>0.55486111111111114</v>
      </c>
      <c r="K377" s="10"/>
      <c r="O377" s="6" t="s">
        <v>461</v>
      </c>
      <c r="P377" s="6" t="s">
        <v>462</v>
      </c>
      <c r="Q377" s="6" t="s">
        <v>1310</v>
      </c>
      <c r="R377" s="6" t="s">
        <v>1311</v>
      </c>
      <c r="S377" s="6" t="s">
        <v>240</v>
      </c>
      <c r="T377" s="11">
        <v>670376</v>
      </c>
      <c r="U377" s="7">
        <v>5</v>
      </c>
      <c r="V377" s="6" t="s">
        <v>36</v>
      </c>
      <c r="W377" s="7">
        <v>40.200000000000003</v>
      </c>
      <c r="X377" s="6" t="s">
        <v>35</v>
      </c>
      <c r="Y377" s="7">
        <v>5.6</v>
      </c>
      <c r="Z377" s="7">
        <v>0.5</v>
      </c>
      <c r="AA377" s="6" t="s">
        <v>243</v>
      </c>
      <c r="AB377" s="6" t="s">
        <v>38</v>
      </c>
      <c r="AD377" s="6" t="s">
        <v>39</v>
      </c>
      <c r="AE377" s="6"/>
      <c r="AG377" s="6" t="s">
        <v>256</v>
      </c>
      <c r="AH377" s="7">
        <v>69</v>
      </c>
      <c r="AI377" s="6" t="s">
        <v>40</v>
      </c>
      <c r="AJ377" s="6" t="s">
        <v>238</v>
      </c>
      <c r="AL377" s="6" t="s">
        <v>41</v>
      </c>
      <c r="AM377" s="6" t="s">
        <v>41</v>
      </c>
    </row>
    <row r="378" spans="1:39" x14ac:dyDescent="0.25">
      <c r="A378" s="4">
        <v>45818</v>
      </c>
      <c r="B378" s="6" t="s">
        <v>169</v>
      </c>
      <c r="C378" t="str">
        <f>_xlfn.XLOOKUP(Table3[[#This Row],[station]],station_waterbody_county!A:A, station_waterbody_county!B:B)</f>
        <v>St. Marys Bay</v>
      </c>
      <c r="D378" t="str">
        <f>_xlfn.XLOOKUP(Table3[[#This Row],[station]],station_waterbody_county!A:A, station_waterbody_county!C:C)</f>
        <v>Digby</v>
      </c>
      <c r="E378" s="6"/>
      <c r="F378" s="6" t="s">
        <v>310</v>
      </c>
      <c r="G378" s="4">
        <v>45526</v>
      </c>
      <c r="H378" s="5">
        <v>0.64652777777777781</v>
      </c>
      <c r="I378" s="4">
        <v>45811</v>
      </c>
      <c r="J378" s="5">
        <v>0.55486111111111114</v>
      </c>
      <c r="K378" s="10"/>
      <c r="O378" s="6" t="s">
        <v>461</v>
      </c>
      <c r="P378" s="6" t="s">
        <v>462</v>
      </c>
      <c r="Q378" s="6" t="s">
        <v>1310</v>
      </c>
      <c r="R378" s="6" t="s">
        <v>1311</v>
      </c>
      <c r="S378" s="6" t="s">
        <v>239</v>
      </c>
      <c r="T378" s="11">
        <v>21465790</v>
      </c>
      <c r="U378" s="7">
        <v>10</v>
      </c>
      <c r="V378" s="6" t="s">
        <v>36</v>
      </c>
      <c r="W378" s="7">
        <v>40.200000000000003</v>
      </c>
      <c r="X378" s="6" t="s">
        <v>35</v>
      </c>
      <c r="Y378" s="7">
        <v>5.6</v>
      </c>
      <c r="Z378" s="7">
        <v>0.5</v>
      </c>
      <c r="AA378" s="6" t="s">
        <v>243</v>
      </c>
      <c r="AB378" s="6" t="s">
        <v>38</v>
      </c>
      <c r="AD378" s="6" t="s">
        <v>39</v>
      </c>
      <c r="AE378" s="6"/>
      <c r="AG378" s="6" t="s">
        <v>256</v>
      </c>
      <c r="AH378" s="7">
        <v>69</v>
      </c>
      <c r="AI378" s="6" t="s">
        <v>40</v>
      </c>
      <c r="AJ378" s="6" t="s">
        <v>238</v>
      </c>
      <c r="AL378" s="6" t="s">
        <v>41</v>
      </c>
      <c r="AM378" s="6" t="s">
        <v>41</v>
      </c>
    </row>
    <row r="379" spans="1:39" x14ac:dyDescent="0.25">
      <c r="A379" s="4">
        <v>45818</v>
      </c>
      <c r="B379" s="6" t="s">
        <v>169</v>
      </c>
      <c r="C379" t="str">
        <f>_xlfn.XLOOKUP(Table3[[#This Row],[station]],station_waterbody_county!A:A, station_waterbody_county!B:B)</f>
        <v>St. Marys Bay</v>
      </c>
      <c r="D379" t="str">
        <f>_xlfn.XLOOKUP(Table3[[#This Row],[station]],station_waterbody_county!A:A, station_waterbody_county!C:C)</f>
        <v>Digby</v>
      </c>
      <c r="E379" s="6"/>
      <c r="F379" s="6" t="s">
        <v>310</v>
      </c>
      <c r="G379" s="4">
        <v>45526</v>
      </c>
      <c r="H379" s="5">
        <v>0.64652777777777781</v>
      </c>
      <c r="I379" s="4">
        <v>45811</v>
      </c>
      <c r="J379" s="5">
        <v>0.55486111111111114</v>
      </c>
      <c r="K379" s="10"/>
      <c r="O379" s="6" t="s">
        <v>461</v>
      </c>
      <c r="P379" s="6" t="s">
        <v>462</v>
      </c>
      <c r="Q379" s="6" t="s">
        <v>1310</v>
      </c>
      <c r="R379" s="6" t="s">
        <v>1311</v>
      </c>
      <c r="S379" s="6" t="s">
        <v>239</v>
      </c>
      <c r="T379" s="11">
        <v>21434542</v>
      </c>
      <c r="U379" s="7">
        <v>15</v>
      </c>
      <c r="V379" s="6" t="s">
        <v>36</v>
      </c>
      <c r="W379" s="7">
        <v>40.200000000000003</v>
      </c>
      <c r="X379" s="6" t="s">
        <v>35</v>
      </c>
      <c r="Y379" s="7">
        <v>5.6</v>
      </c>
      <c r="Z379" s="7">
        <v>0.5</v>
      </c>
      <c r="AA379" s="6" t="s">
        <v>243</v>
      </c>
      <c r="AB379" s="6" t="s">
        <v>38</v>
      </c>
      <c r="AD379" s="6" t="s">
        <v>39</v>
      </c>
      <c r="AE379" s="6"/>
      <c r="AG379" s="6" t="s">
        <v>256</v>
      </c>
      <c r="AH379" s="7">
        <v>69</v>
      </c>
      <c r="AI379" s="6" t="s">
        <v>40</v>
      </c>
      <c r="AJ379" s="6" t="s">
        <v>238</v>
      </c>
      <c r="AL379" s="6" t="s">
        <v>41</v>
      </c>
      <c r="AM379" s="6" t="s">
        <v>41</v>
      </c>
    </row>
    <row r="380" spans="1:39" x14ac:dyDescent="0.25">
      <c r="A380" s="4">
        <v>45818</v>
      </c>
      <c r="B380" s="6" t="s">
        <v>169</v>
      </c>
      <c r="C380" t="str">
        <f>_xlfn.XLOOKUP(Table3[[#This Row],[station]],station_waterbody_county!A:A, station_waterbody_county!B:B)</f>
        <v>St. Marys Bay</v>
      </c>
      <c r="D380" t="str">
        <f>_xlfn.XLOOKUP(Table3[[#This Row],[station]],station_waterbody_county!A:A, station_waterbody_county!C:C)</f>
        <v>Digby</v>
      </c>
      <c r="E380" s="6"/>
      <c r="F380" s="6" t="s">
        <v>310</v>
      </c>
      <c r="G380" s="4">
        <v>45526</v>
      </c>
      <c r="H380" s="5">
        <v>0.64652777777777781</v>
      </c>
      <c r="I380" s="4">
        <v>45811</v>
      </c>
      <c r="J380" s="5">
        <v>0.55486111111111114</v>
      </c>
      <c r="K380" s="10"/>
      <c r="O380" s="6" t="s">
        <v>461</v>
      </c>
      <c r="P380" s="6" t="s">
        <v>462</v>
      </c>
      <c r="Q380" s="6" t="s">
        <v>1310</v>
      </c>
      <c r="R380" s="6" t="s">
        <v>1311</v>
      </c>
      <c r="S380" s="6" t="s">
        <v>239</v>
      </c>
      <c r="T380" s="11">
        <v>21465809</v>
      </c>
      <c r="U380" s="7">
        <v>20</v>
      </c>
      <c r="V380" s="6" t="s">
        <v>36</v>
      </c>
      <c r="W380" s="7">
        <v>40.200000000000003</v>
      </c>
      <c r="X380" s="6" t="s">
        <v>35</v>
      </c>
      <c r="Y380" s="7">
        <v>5.6</v>
      </c>
      <c r="Z380" s="7">
        <v>0.5</v>
      </c>
      <c r="AA380" s="6" t="s">
        <v>243</v>
      </c>
      <c r="AB380" s="6" t="s">
        <v>38</v>
      </c>
      <c r="AD380" s="6" t="s">
        <v>39</v>
      </c>
      <c r="AE380" s="6"/>
      <c r="AG380" s="6" t="s">
        <v>256</v>
      </c>
      <c r="AH380" s="7">
        <v>69</v>
      </c>
      <c r="AI380" s="6" t="s">
        <v>40</v>
      </c>
      <c r="AJ380" s="6" t="s">
        <v>238</v>
      </c>
      <c r="AL380" s="6" t="s">
        <v>41</v>
      </c>
      <c r="AM380" s="6" t="s">
        <v>41</v>
      </c>
    </row>
    <row r="381" spans="1:39" x14ac:dyDescent="0.25">
      <c r="A381" s="4">
        <v>45818</v>
      </c>
      <c r="B381" s="6" t="s">
        <v>169</v>
      </c>
      <c r="C381" t="str">
        <f>_xlfn.XLOOKUP(Table3[[#This Row],[station]],station_waterbody_county!A:A, station_waterbody_county!B:B)</f>
        <v>St. Marys Bay</v>
      </c>
      <c r="D381" t="str">
        <f>_xlfn.XLOOKUP(Table3[[#This Row],[station]],station_waterbody_county!A:A, station_waterbody_county!C:C)</f>
        <v>Digby</v>
      </c>
      <c r="E381" s="6"/>
      <c r="F381" s="6" t="s">
        <v>310</v>
      </c>
      <c r="G381" s="4">
        <v>45526</v>
      </c>
      <c r="H381" s="5">
        <v>0.64652777777777781</v>
      </c>
      <c r="I381" s="4">
        <v>45811</v>
      </c>
      <c r="J381" s="5">
        <v>0.55486111111111114</v>
      </c>
      <c r="K381" s="10"/>
      <c r="O381" s="6" t="s">
        <v>461</v>
      </c>
      <c r="P381" s="6" t="s">
        <v>462</v>
      </c>
      <c r="Q381" s="6" t="s">
        <v>1310</v>
      </c>
      <c r="R381" s="6" t="s">
        <v>1311</v>
      </c>
      <c r="S381" s="6" t="s">
        <v>42</v>
      </c>
      <c r="T381" s="11">
        <v>548563</v>
      </c>
      <c r="U381" s="7">
        <v>30</v>
      </c>
      <c r="V381" s="6" t="s">
        <v>36</v>
      </c>
      <c r="W381" s="7">
        <v>40.200000000000003</v>
      </c>
      <c r="X381" s="6" t="s">
        <v>35</v>
      </c>
      <c r="Y381" s="7">
        <v>5.6</v>
      </c>
      <c r="Z381" s="7">
        <v>0.5</v>
      </c>
      <c r="AA381" s="6" t="s">
        <v>243</v>
      </c>
      <c r="AB381" s="6" t="s">
        <v>38</v>
      </c>
      <c r="AD381" s="6" t="s">
        <v>39</v>
      </c>
      <c r="AE381" s="6"/>
      <c r="AG381" s="6" t="s">
        <v>256</v>
      </c>
      <c r="AH381" s="7">
        <v>69</v>
      </c>
      <c r="AI381" s="6" t="s">
        <v>40</v>
      </c>
      <c r="AJ381" s="6" t="s">
        <v>238</v>
      </c>
      <c r="AL381" s="6" t="s">
        <v>41</v>
      </c>
      <c r="AM381" s="6" t="s">
        <v>41</v>
      </c>
    </row>
    <row r="382" spans="1:39" hidden="1" x14ac:dyDescent="0.25">
      <c r="A382" s="4">
        <v>45890</v>
      </c>
      <c r="B382" s="6" t="s">
        <v>169</v>
      </c>
      <c r="C382" s="6" t="str">
        <f>_xlfn.XLOOKUP(Table3[[#This Row],[station]],station_waterbody_county!A:A, station_waterbody_county!B:B)</f>
        <v>St. Marys Bay</v>
      </c>
      <c r="D382" s="3" t="str">
        <f>_xlfn.XLOOKUP(Table3[[#This Row],[station]],station_waterbody_county!A:A, station_waterbody_county!C:C)</f>
        <v>Digby</v>
      </c>
      <c r="E382" s="6"/>
      <c r="F382" s="6" t="s">
        <v>34</v>
      </c>
      <c r="G382" s="12">
        <v>45888</v>
      </c>
      <c r="H382" s="5">
        <v>0.54374999999999996</v>
      </c>
      <c r="I382" s="4"/>
      <c r="J382" s="5"/>
      <c r="K382" s="10"/>
      <c r="O382" s="6" t="s">
        <v>1411</v>
      </c>
      <c r="P382" s="6" t="s">
        <v>1412</v>
      </c>
      <c r="S382" s="6" t="s">
        <v>239</v>
      </c>
      <c r="T382" s="11">
        <v>20900977</v>
      </c>
      <c r="U382" s="7">
        <v>2</v>
      </c>
      <c r="V382" s="6" t="s">
        <v>36</v>
      </c>
      <c r="W382" s="7">
        <v>39</v>
      </c>
      <c r="X382" s="6" t="s">
        <v>35</v>
      </c>
      <c r="Y382" s="7">
        <v>4.2</v>
      </c>
      <c r="Z382" s="7">
        <v>2</v>
      </c>
      <c r="AA382" s="6" t="s">
        <v>251</v>
      </c>
      <c r="AB382" s="6" t="s">
        <v>1413</v>
      </c>
      <c r="AD382" s="6" t="s">
        <v>39</v>
      </c>
      <c r="AE382" s="6" t="s">
        <v>1244</v>
      </c>
      <c r="AF382" s="11">
        <v>1</v>
      </c>
      <c r="AG382" s="6" t="s">
        <v>37</v>
      </c>
      <c r="AH382" s="7">
        <v>60</v>
      </c>
      <c r="AI382" s="6" t="s">
        <v>40</v>
      </c>
      <c r="AJ382" s="6" t="s">
        <v>238</v>
      </c>
      <c r="AK382" s="6" t="s">
        <v>241</v>
      </c>
      <c r="AL382" s="6" t="s">
        <v>41</v>
      </c>
    </row>
    <row r="383" spans="1:39" hidden="1" x14ac:dyDescent="0.25">
      <c r="A383" s="4">
        <v>45890</v>
      </c>
      <c r="B383" s="6" t="s">
        <v>169</v>
      </c>
      <c r="C383" s="6" t="str">
        <f>_xlfn.XLOOKUP(Table3[[#This Row],[station]],station_waterbody_county!A:A, station_waterbody_county!B:B)</f>
        <v>St. Marys Bay</v>
      </c>
      <c r="D383" s="3" t="str">
        <f>_xlfn.XLOOKUP(Table3[[#This Row],[station]],station_waterbody_county!A:A, station_waterbody_county!C:C)</f>
        <v>Digby</v>
      </c>
      <c r="E383" s="6"/>
      <c r="F383" s="6" t="s">
        <v>34</v>
      </c>
      <c r="G383" s="12">
        <v>45888</v>
      </c>
      <c r="H383" s="5">
        <v>0.54374999999999996</v>
      </c>
      <c r="I383" s="4"/>
      <c r="J383" s="5"/>
      <c r="K383" s="10"/>
      <c r="O383" s="6" t="s">
        <v>1411</v>
      </c>
      <c r="P383" s="6" t="s">
        <v>1412</v>
      </c>
      <c r="S383" s="6" t="s">
        <v>240</v>
      </c>
      <c r="T383" s="11">
        <v>671020</v>
      </c>
      <c r="U383" s="7">
        <v>5</v>
      </c>
      <c r="V383" s="6" t="s">
        <v>36</v>
      </c>
      <c r="W383" s="7">
        <v>39</v>
      </c>
      <c r="X383" s="6" t="s">
        <v>35</v>
      </c>
      <c r="Y383" s="7">
        <v>4.2</v>
      </c>
      <c r="Z383" s="7">
        <v>2</v>
      </c>
      <c r="AA383" s="6" t="s">
        <v>251</v>
      </c>
      <c r="AB383" s="6" t="s">
        <v>1413</v>
      </c>
      <c r="AD383" s="6" t="s">
        <v>39</v>
      </c>
      <c r="AE383" s="6" t="s">
        <v>1244</v>
      </c>
      <c r="AF383" s="11">
        <v>1</v>
      </c>
      <c r="AG383" s="6" t="s">
        <v>37</v>
      </c>
      <c r="AH383" s="7">
        <v>60</v>
      </c>
      <c r="AI383" s="6" t="s">
        <v>40</v>
      </c>
      <c r="AJ383" s="6" t="s">
        <v>238</v>
      </c>
      <c r="AK383" s="6" t="s">
        <v>241</v>
      </c>
      <c r="AL383" s="6" t="s">
        <v>41</v>
      </c>
    </row>
    <row r="384" spans="1:39" hidden="1" x14ac:dyDescent="0.25">
      <c r="A384" s="4">
        <v>45890</v>
      </c>
      <c r="B384" s="6" t="s">
        <v>169</v>
      </c>
      <c r="C384" s="6" t="str">
        <f>_xlfn.XLOOKUP(Table3[[#This Row],[station]],station_waterbody_county!A:A, station_waterbody_county!B:B)</f>
        <v>St. Marys Bay</v>
      </c>
      <c r="D384" s="3" t="str">
        <f>_xlfn.XLOOKUP(Table3[[#This Row],[station]],station_waterbody_county!A:A, station_waterbody_county!C:C)</f>
        <v>Digby</v>
      </c>
      <c r="E384" s="6"/>
      <c r="F384" s="6" t="s">
        <v>34</v>
      </c>
      <c r="G384" s="12">
        <v>45888</v>
      </c>
      <c r="H384" s="5">
        <v>0.54374999999999996</v>
      </c>
      <c r="I384" s="4"/>
      <c r="J384" s="5"/>
      <c r="K384" s="10"/>
      <c r="O384" s="6" t="s">
        <v>1411</v>
      </c>
      <c r="P384" s="6" t="s">
        <v>1412</v>
      </c>
      <c r="S384" s="6" t="s">
        <v>239</v>
      </c>
      <c r="T384" s="11">
        <v>22309998</v>
      </c>
      <c r="U384" s="7">
        <v>10</v>
      </c>
      <c r="V384" s="6" t="s">
        <v>36</v>
      </c>
      <c r="W384" s="7">
        <v>39</v>
      </c>
      <c r="X384" s="6" t="s">
        <v>35</v>
      </c>
      <c r="Y384" s="7">
        <v>4.2</v>
      </c>
      <c r="Z384" s="7">
        <v>2</v>
      </c>
      <c r="AA384" s="6" t="s">
        <v>251</v>
      </c>
      <c r="AB384" s="6" t="s">
        <v>1413</v>
      </c>
      <c r="AD384" s="6" t="s">
        <v>39</v>
      </c>
      <c r="AE384" s="6" t="s">
        <v>1244</v>
      </c>
      <c r="AF384" s="11">
        <v>1</v>
      </c>
      <c r="AG384" s="6" t="s">
        <v>37</v>
      </c>
      <c r="AH384" s="7">
        <v>60</v>
      </c>
      <c r="AI384" s="6" t="s">
        <v>40</v>
      </c>
      <c r="AJ384" s="6" t="s">
        <v>238</v>
      </c>
      <c r="AK384" s="6" t="s">
        <v>241</v>
      </c>
      <c r="AL384" s="6" t="s">
        <v>41</v>
      </c>
    </row>
    <row r="385" spans="1:39" hidden="1" x14ac:dyDescent="0.25">
      <c r="A385" s="4">
        <v>45890</v>
      </c>
      <c r="B385" s="6" t="s">
        <v>169</v>
      </c>
      <c r="C385" s="6" t="str">
        <f>_xlfn.XLOOKUP(Table3[[#This Row],[station]],station_waterbody_county!A:A, station_waterbody_county!B:B)</f>
        <v>St. Marys Bay</v>
      </c>
      <c r="D385" s="3" t="str">
        <f>_xlfn.XLOOKUP(Table3[[#This Row],[station]],station_waterbody_county!A:A, station_waterbody_county!C:C)</f>
        <v>Digby</v>
      </c>
      <c r="E385" s="6"/>
      <c r="F385" s="6" t="s">
        <v>34</v>
      </c>
      <c r="G385" s="12">
        <v>45888</v>
      </c>
      <c r="H385" s="5">
        <v>0.54374999999999996</v>
      </c>
      <c r="I385" s="4"/>
      <c r="J385" s="5"/>
      <c r="K385" s="10"/>
      <c r="O385" s="6" t="s">
        <v>1411</v>
      </c>
      <c r="P385" s="6" t="s">
        <v>1412</v>
      </c>
      <c r="S385" s="6" t="s">
        <v>239</v>
      </c>
      <c r="T385" s="11">
        <v>22285917</v>
      </c>
      <c r="U385" s="7">
        <v>15</v>
      </c>
      <c r="V385" s="6" t="s">
        <v>36</v>
      </c>
      <c r="W385" s="7">
        <v>39</v>
      </c>
      <c r="X385" s="6" t="s">
        <v>35</v>
      </c>
      <c r="Y385" s="7">
        <v>4.2</v>
      </c>
      <c r="Z385" s="7">
        <v>2</v>
      </c>
      <c r="AA385" s="6" t="s">
        <v>251</v>
      </c>
      <c r="AB385" s="6" t="s">
        <v>1413</v>
      </c>
      <c r="AD385" s="6" t="s">
        <v>39</v>
      </c>
      <c r="AE385" s="6" t="s">
        <v>1244</v>
      </c>
      <c r="AF385" s="11">
        <v>1</v>
      </c>
      <c r="AG385" s="6" t="s">
        <v>37</v>
      </c>
      <c r="AH385" s="7">
        <v>60</v>
      </c>
      <c r="AI385" s="6" t="s">
        <v>40</v>
      </c>
      <c r="AJ385" s="6" t="s">
        <v>238</v>
      </c>
      <c r="AK385" s="6" t="s">
        <v>241</v>
      </c>
      <c r="AL385" s="6" t="s">
        <v>41</v>
      </c>
    </row>
    <row r="386" spans="1:39" hidden="1" x14ac:dyDescent="0.25">
      <c r="A386" s="4">
        <v>45890</v>
      </c>
      <c r="B386" s="6" t="s">
        <v>169</v>
      </c>
      <c r="C386" s="6" t="str">
        <f>_xlfn.XLOOKUP(Table3[[#This Row],[station]],station_waterbody_county!A:A, station_waterbody_county!B:B)</f>
        <v>St. Marys Bay</v>
      </c>
      <c r="D386" s="3" t="str">
        <f>_xlfn.XLOOKUP(Table3[[#This Row],[station]],station_waterbody_county!A:A, station_waterbody_county!C:C)</f>
        <v>Digby</v>
      </c>
      <c r="E386" s="6"/>
      <c r="F386" s="6" t="s">
        <v>34</v>
      </c>
      <c r="G386" s="12">
        <v>45888</v>
      </c>
      <c r="H386" s="5">
        <v>0.54374999999999996</v>
      </c>
      <c r="I386" s="4"/>
      <c r="J386" s="5"/>
      <c r="K386" s="10"/>
      <c r="O386" s="6" t="s">
        <v>1411</v>
      </c>
      <c r="P386" s="6" t="s">
        <v>1412</v>
      </c>
      <c r="S386" s="6" t="s">
        <v>239</v>
      </c>
      <c r="T386" s="11">
        <v>21152426</v>
      </c>
      <c r="U386" s="7">
        <v>20</v>
      </c>
      <c r="V386" s="6" t="s">
        <v>36</v>
      </c>
      <c r="W386" s="7">
        <v>39</v>
      </c>
      <c r="X386" s="6" t="s">
        <v>35</v>
      </c>
      <c r="Y386" s="7">
        <v>4.2</v>
      </c>
      <c r="Z386" s="7">
        <v>2</v>
      </c>
      <c r="AA386" s="6" t="s">
        <v>251</v>
      </c>
      <c r="AB386" s="6" t="s">
        <v>1413</v>
      </c>
      <c r="AD386" s="6" t="s">
        <v>39</v>
      </c>
      <c r="AE386" s="6" t="s">
        <v>1244</v>
      </c>
      <c r="AF386" s="11">
        <v>1</v>
      </c>
      <c r="AG386" s="6" t="s">
        <v>37</v>
      </c>
      <c r="AH386" s="7">
        <v>60</v>
      </c>
      <c r="AI386" s="6" t="s">
        <v>40</v>
      </c>
      <c r="AJ386" s="6" t="s">
        <v>238</v>
      </c>
      <c r="AK386" s="6" t="s">
        <v>241</v>
      </c>
      <c r="AL386" s="6" t="s">
        <v>41</v>
      </c>
    </row>
    <row r="387" spans="1:39" hidden="1" x14ac:dyDescent="0.25">
      <c r="A387" s="4">
        <v>45890</v>
      </c>
      <c r="B387" s="6" t="s">
        <v>169</v>
      </c>
      <c r="C387" s="6" t="str">
        <f>_xlfn.XLOOKUP(Table3[[#This Row],[station]],station_waterbody_county!A:A, station_waterbody_county!B:B)</f>
        <v>St. Marys Bay</v>
      </c>
      <c r="D387" s="3" t="str">
        <f>_xlfn.XLOOKUP(Table3[[#This Row],[station]],station_waterbody_county!A:A, station_waterbody_county!C:C)</f>
        <v>Digby</v>
      </c>
      <c r="E387" s="6"/>
      <c r="F387" s="6" t="s">
        <v>34</v>
      </c>
      <c r="G387" s="12">
        <v>45888</v>
      </c>
      <c r="H387" s="5">
        <v>0.54374999999999996</v>
      </c>
      <c r="I387" s="4"/>
      <c r="J387" s="5"/>
      <c r="K387" s="10"/>
      <c r="O387" s="6" t="s">
        <v>1411</v>
      </c>
      <c r="P387" s="6" t="s">
        <v>1412</v>
      </c>
      <c r="S387" s="6" t="s">
        <v>42</v>
      </c>
      <c r="T387" s="11">
        <v>548585</v>
      </c>
      <c r="U387" s="7">
        <v>30</v>
      </c>
      <c r="V387" s="6" t="s">
        <v>36</v>
      </c>
      <c r="W387" s="7">
        <v>39</v>
      </c>
      <c r="X387" s="6" t="s">
        <v>35</v>
      </c>
      <c r="Y387" s="7">
        <v>4.2</v>
      </c>
      <c r="Z387" s="7">
        <v>2</v>
      </c>
      <c r="AA387" s="6" t="s">
        <v>251</v>
      </c>
      <c r="AB387" s="6" t="s">
        <v>1413</v>
      </c>
      <c r="AD387" s="6" t="s">
        <v>39</v>
      </c>
      <c r="AE387" s="6" t="s">
        <v>1244</v>
      </c>
      <c r="AF387" s="11">
        <v>1</v>
      </c>
      <c r="AG387" s="6" t="s">
        <v>37</v>
      </c>
      <c r="AH387" s="7">
        <v>60</v>
      </c>
      <c r="AI387" s="6" t="s">
        <v>40</v>
      </c>
      <c r="AJ387" s="6" t="s">
        <v>238</v>
      </c>
      <c r="AK387" s="6" t="s">
        <v>241</v>
      </c>
      <c r="AL387" s="6" t="s">
        <v>41</v>
      </c>
    </row>
    <row r="388" spans="1:39" hidden="1" x14ac:dyDescent="0.25">
      <c r="A388" s="4">
        <v>45890</v>
      </c>
      <c r="B388" s="6" t="s">
        <v>169</v>
      </c>
      <c r="C388" s="6" t="str">
        <f>_xlfn.XLOOKUP(Table3[[#This Row],[station]],station_waterbody_county!A:A, station_waterbody_county!B:B)</f>
        <v>St. Marys Bay</v>
      </c>
      <c r="D388" s="3" t="str">
        <f>_xlfn.XLOOKUP(Table3[[#This Row],[station]],station_waterbody_county!A:A, station_waterbody_county!C:C)</f>
        <v>Digby</v>
      </c>
      <c r="E388" s="6"/>
      <c r="F388" s="6" t="s">
        <v>34</v>
      </c>
      <c r="G388" s="12">
        <v>45888</v>
      </c>
      <c r="H388" s="5">
        <v>0.54374999999999996</v>
      </c>
      <c r="I388" s="4"/>
      <c r="J388" s="5"/>
      <c r="K388" s="10"/>
      <c r="O388" s="6" t="s">
        <v>1411</v>
      </c>
      <c r="P388" s="6" t="s">
        <v>1412</v>
      </c>
      <c r="S388" s="6" t="s">
        <v>239</v>
      </c>
      <c r="T388" s="11">
        <v>22285940</v>
      </c>
      <c r="U388" s="7">
        <v>30</v>
      </c>
      <c r="V388" s="6" t="s">
        <v>36</v>
      </c>
      <c r="W388" s="7">
        <v>39</v>
      </c>
      <c r="X388" s="6" t="s">
        <v>35</v>
      </c>
      <c r="Y388" s="7">
        <v>4.2</v>
      </c>
      <c r="Z388" s="7">
        <v>2</v>
      </c>
      <c r="AA388" s="6" t="s">
        <v>251</v>
      </c>
      <c r="AB388" s="6" t="s">
        <v>1413</v>
      </c>
      <c r="AD388" s="6" t="s">
        <v>39</v>
      </c>
      <c r="AE388" s="6" t="s">
        <v>1244</v>
      </c>
      <c r="AF388" s="11">
        <v>1</v>
      </c>
      <c r="AG388" s="6" t="s">
        <v>37</v>
      </c>
      <c r="AH388" s="7">
        <v>60</v>
      </c>
      <c r="AI388" s="6" t="s">
        <v>40</v>
      </c>
      <c r="AJ388" s="6" t="s">
        <v>238</v>
      </c>
      <c r="AK388" s="6" t="s">
        <v>241</v>
      </c>
      <c r="AL388" s="6" t="s">
        <v>41</v>
      </c>
    </row>
    <row r="389" spans="1:39" hidden="1" x14ac:dyDescent="0.25">
      <c r="A389" s="4">
        <v>45863</v>
      </c>
      <c r="B389" s="6" t="s">
        <v>1316</v>
      </c>
      <c r="C389" t="str">
        <f>_xlfn.XLOOKUP(Table3[[#This Row],[station]],station_waterbody_county!A:A, station_waterbody_county!B:B)</f>
        <v>West Bay</v>
      </c>
      <c r="D389" t="str">
        <f>_xlfn.XLOOKUP(Table3[[#This Row],[station]],station_waterbody_county!A:A, station_waterbody_county!C:C)</f>
        <v>Inverness</v>
      </c>
      <c r="E389" s="6"/>
      <c r="F389" s="6" t="s">
        <v>34</v>
      </c>
      <c r="G389" s="12">
        <v>45826</v>
      </c>
      <c r="H389" s="5">
        <v>0.60277777777777775</v>
      </c>
      <c r="I389" s="4"/>
      <c r="J389" s="5"/>
      <c r="K389" s="10"/>
      <c r="O389" s="6" t="s">
        <v>1318</v>
      </c>
      <c r="P389" s="6" t="s">
        <v>1319</v>
      </c>
      <c r="S389" s="6" t="s">
        <v>239</v>
      </c>
      <c r="T389" s="11">
        <v>21082888</v>
      </c>
      <c r="U389" s="7">
        <v>2</v>
      </c>
      <c r="V389" s="6" t="s">
        <v>36</v>
      </c>
      <c r="W389" s="7"/>
      <c r="X389" s="6" t="s">
        <v>35</v>
      </c>
      <c r="Y389" s="7">
        <v>0.36</v>
      </c>
      <c r="Z389" s="7">
        <v>0.5</v>
      </c>
      <c r="AA389" s="6" t="s">
        <v>251</v>
      </c>
      <c r="AB389" s="6" t="s">
        <v>38</v>
      </c>
      <c r="AD389" s="6" t="s">
        <v>39</v>
      </c>
      <c r="AE389" s="6" t="s">
        <v>40</v>
      </c>
      <c r="AG389" s="6" t="s">
        <v>37</v>
      </c>
      <c r="AH389" s="7">
        <v>60</v>
      </c>
      <c r="AI389" s="6" t="s">
        <v>40</v>
      </c>
      <c r="AJ389" s="6" t="s">
        <v>238</v>
      </c>
      <c r="AL389" s="6" t="s">
        <v>1320</v>
      </c>
    </row>
    <row r="390" spans="1:39" hidden="1" x14ac:dyDescent="0.25">
      <c r="A390" s="4">
        <v>45863</v>
      </c>
      <c r="B390" s="6" t="s">
        <v>1316</v>
      </c>
      <c r="C390" t="str">
        <f>_xlfn.XLOOKUP(Table3[[#This Row],[station]],station_waterbody_county!A:A, station_waterbody_county!B:B)</f>
        <v>West Bay</v>
      </c>
      <c r="D390" t="str">
        <f>_xlfn.XLOOKUP(Table3[[#This Row],[station]],station_waterbody_county!A:A, station_waterbody_county!C:C)</f>
        <v>Inverness</v>
      </c>
      <c r="E390" s="6"/>
      <c r="F390" s="6" t="s">
        <v>34</v>
      </c>
      <c r="G390" s="12">
        <v>45826</v>
      </c>
      <c r="H390" s="5">
        <v>0.60277777777777775</v>
      </c>
      <c r="I390" s="4"/>
      <c r="J390" s="5"/>
      <c r="K390" s="10"/>
      <c r="O390" s="6" t="s">
        <v>1318</v>
      </c>
      <c r="P390" s="6" t="s">
        <v>1319</v>
      </c>
      <c r="S390" s="6" t="s">
        <v>240</v>
      </c>
      <c r="T390" s="11">
        <v>671044</v>
      </c>
      <c r="U390" s="7">
        <v>5</v>
      </c>
      <c r="V390" s="6" t="s">
        <v>36</v>
      </c>
      <c r="W390" s="7"/>
      <c r="X390" s="6" t="s">
        <v>35</v>
      </c>
      <c r="Y390" s="7">
        <v>0.36</v>
      </c>
      <c r="Z390" s="7">
        <v>0.5</v>
      </c>
      <c r="AA390" s="6" t="s">
        <v>251</v>
      </c>
      <c r="AB390" s="6" t="s">
        <v>38</v>
      </c>
      <c r="AD390" s="6" t="s">
        <v>39</v>
      </c>
      <c r="AE390" s="6" t="s">
        <v>40</v>
      </c>
      <c r="AG390" s="6" t="s">
        <v>37</v>
      </c>
      <c r="AH390" s="7">
        <v>60</v>
      </c>
      <c r="AI390" s="6" t="s">
        <v>40</v>
      </c>
      <c r="AJ390" s="6" t="s">
        <v>238</v>
      </c>
      <c r="AL390" s="6" t="s">
        <v>1320</v>
      </c>
    </row>
    <row r="391" spans="1:39" hidden="1" x14ac:dyDescent="0.25">
      <c r="A391" s="4">
        <v>45863</v>
      </c>
      <c r="B391" s="6" t="s">
        <v>1316</v>
      </c>
      <c r="C391" t="str">
        <f>_xlfn.XLOOKUP(Table3[[#This Row],[station]],station_waterbody_county!A:A, station_waterbody_county!B:B)</f>
        <v>West Bay</v>
      </c>
      <c r="D391" t="str">
        <f>_xlfn.XLOOKUP(Table3[[#This Row],[station]],station_waterbody_county!A:A, station_waterbody_county!C:C)</f>
        <v>Inverness</v>
      </c>
      <c r="E391" s="6"/>
      <c r="F391" s="6" t="s">
        <v>34</v>
      </c>
      <c r="G391" s="12">
        <v>45826</v>
      </c>
      <c r="H391" s="5">
        <v>0.60277777777777775</v>
      </c>
      <c r="I391" s="4"/>
      <c r="J391" s="5"/>
      <c r="K391" s="10"/>
      <c r="O391" s="6" t="s">
        <v>1318</v>
      </c>
      <c r="P391" s="6" t="s">
        <v>1319</v>
      </c>
      <c r="S391" s="6" t="s">
        <v>239</v>
      </c>
      <c r="T391" s="11">
        <v>20820380</v>
      </c>
      <c r="U391" s="7">
        <v>10</v>
      </c>
      <c r="V391" s="6" t="s">
        <v>36</v>
      </c>
      <c r="W391" s="7"/>
      <c r="X391" s="6" t="s">
        <v>35</v>
      </c>
      <c r="Y391" s="7">
        <v>0.36</v>
      </c>
      <c r="Z391" s="7">
        <v>0.5</v>
      </c>
      <c r="AA391" s="6" t="s">
        <v>251</v>
      </c>
      <c r="AB391" s="6" t="s">
        <v>38</v>
      </c>
      <c r="AD391" s="6" t="s">
        <v>39</v>
      </c>
      <c r="AE391" s="6" t="s">
        <v>40</v>
      </c>
      <c r="AG391" s="6" t="s">
        <v>37</v>
      </c>
      <c r="AH391" s="7">
        <v>60</v>
      </c>
      <c r="AI391" s="6" t="s">
        <v>40</v>
      </c>
      <c r="AJ391" s="6" t="s">
        <v>238</v>
      </c>
      <c r="AL391" s="6" t="s">
        <v>1320</v>
      </c>
    </row>
    <row r="392" spans="1:39" hidden="1" x14ac:dyDescent="0.25">
      <c r="A392" s="4">
        <v>45863</v>
      </c>
      <c r="B392" s="6" t="s">
        <v>1316</v>
      </c>
      <c r="C392" t="str">
        <f>_xlfn.XLOOKUP(Table3[[#This Row],[station]],station_waterbody_county!A:A, station_waterbody_county!B:B)</f>
        <v>West Bay</v>
      </c>
      <c r="D392" t="str">
        <f>_xlfn.XLOOKUP(Table3[[#This Row],[station]],station_waterbody_county!A:A, station_waterbody_county!C:C)</f>
        <v>Inverness</v>
      </c>
      <c r="E392" s="6"/>
      <c r="F392" s="6" t="s">
        <v>34</v>
      </c>
      <c r="G392" s="12">
        <v>45826</v>
      </c>
      <c r="H392" s="5">
        <v>0.60277777777777775</v>
      </c>
      <c r="I392" s="4"/>
      <c r="J392" s="5"/>
      <c r="K392" s="10"/>
      <c r="O392" s="6" t="s">
        <v>1318</v>
      </c>
      <c r="P392" s="6" t="s">
        <v>1319</v>
      </c>
      <c r="S392" s="6" t="s">
        <v>239</v>
      </c>
      <c r="T392" s="11">
        <v>22309994</v>
      </c>
      <c r="U392" s="7">
        <v>15</v>
      </c>
      <c r="V392" s="6" t="s">
        <v>36</v>
      </c>
      <c r="W392" s="7"/>
      <c r="X392" s="6" t="s">
        <v>35</v>
      </c>
      <c r="Y392" s="7">
        <v>0.36</v>
      </c>
      <c r="Z392" s="7">
        <v>0.5</v>
      </c>
      <c r="AA392" s="6" t="s">
        <v>251</v>
      </c>
      <c r="AB392" s="6" t="s">
        <v>38</v>
      </c>
      <c r="AD392" s="6" t="s">
        <v>39</v>
      </c>
      <c r="AE392" s="6" t="s">
        <v>40</v>
      </c>
      <c r="AG392" s="6" t="s">
        <v>37</v>
      </c>
      <c r="AH392" s="7">
        <v>60</v>
      </c>
      <c r="AI392" s="6" t="s">
        <v>40</v>
      </c>
      <c r="AJ392" s="6" t="s">
        <v>238</v>
      </c>
      <c r="AL392" s="6" t="s">
        <v>1320</v>
      </c>
    </row>
    <row r="393" spans="1:39" hidden="1" x14ac:dyDescent="0.25">
      <c r="A393" s="4">
        <v>45863</v>
      </c>
      <c r="B393" s="6" t="s">
        <v>1316</v>
      </c>
      <c r="C393" t="str">
        <f>_xlfn.XLOOKUP(Table3[[#This Row],[station]],station_waterbody_county!A:A, station_waterbody_county!B:B)</f>
        <v>West Bay</v>
      </c>
      <c r="D393" t="str">
        <f>_xlfn.XLOOKUP(Table3[[#This Row],[station]],station_waterbody_county!A:A, station_waterbody_county!C:C)</f>
        <v>Inverness</v>
      </c>
      <c r="E393" s="6"/>
      <c r="F393" s="6" t="s">
        <v>34</v>
      </c>
      <c r="G393" s="12">
        <v>45826</v>
      </c>
      <c r="H393" s="5">
        <v>0.60277777777777775</v>
      </c>
      <c r="I393" s="4"/>
      <c r="J393" s="5"/>
      <c r="K393" s="10"/>
      <c r="O393" s="6" t="s">
        <v>1318</v>
      </c>
      <c r="P393" s="6" t="s">
        <v>1319</v>
      </c>
      <c r="S393" s="6" t="s">
        <v>239</v>
      </c>
      <c r="T393" s="11">
        <v>22285931</v>
      </c>
      <c r="U393" s="7">
        <v>20</v>
      </c>
      <c r="V393" s="6" t="s">
        <v>36</v>
      </c>
      <c r="W393" s="7"/>
      <c r="X393" s="6" t="s">
        <v>35</v>
      </c>
      <c r="Y393" s="7">
        <v>0.36</v>
      </c>
      <c r="Z393" s="7">
        <v>0.5</v>
      </c>
      <c r="AA393" s="6" t="s">
        <v>251</v>
      </c>
      <c r="AB393" s="6" t="s">
        <v>38</v>
      </c>
      <c r="AD393" s="6" t="s">
        <v>39</v>
      </c>
      <c r="AE393" s="6" t="s">
        <v>40</v>
      </c>
      <c r="AG393" s="6" t="s">
        <v>37</v>
      </c>
      <c r="AH393" s="7">
        <v>60</v>
      </c>
      <c r="AI393" s="6" t="s">
        <v>40</v>
      </c>
      <c r="AJ393" s="6" t="s">
        <v>238</v>
      </c>
      <c r="AL393" s="6" t="s">
        <v>1320</v>
      </c>
    </row>
    <row r="394" spans="1:39" hidden="1" x14ac:dyDescent="0.25">
      <c r="A394" s="4">
        <v>45863</v>
      </c>
      <c r="B394" s="6" t="s">
        <v>1316</v>
      </c>
      <c r="C394" t="str">
        <f>_xlfn.XLOOKUP(Table3[[#This Row],[station]],station_waterbody_county!A:A, station_waterbody_county!B:B)</f>
        <v>West Bay</v>
      </c>
      <c r="D394" t="str">
        <f>_xlfn.XLOOKUP(Table3[[#This Row],[station]],station_waterbody_county!A:A, station_waterbody_county!C:C)</f>
        <v>Inverness</v>
      </c>
      <c r="E394" s="6"/>
      <c r="F394" s="6" t="s">
        <v>34</v>
      </c>
      <c r="G394" s="12">
        <v>45826</v>
      </c>
      <c r="H394" s="5">
        <v>0.60277777777777775</v>
      </c>
      <c r="I394" s="4"/>
      <c r="J394" s="5"/>
      <c r="K394" s="10"/>
      <c r="O394" s="6" t="s">
        <v>1318</v>
      </c>
      <c r="P394" s="6" t="s">
        <v>1319</v>
      </c>
      <c r="S394" s="6" t="s">
        <v>239</v>
      </c>
      <c r="T394" s="11">
        <v>22285936</v>
      </c>
      <c r="U394" s="7">
        <v>30</v>
      </c>
      <c r="V394" s="6" t="s">
        <v>36</v>
      </c>
      <c r="W394" s="7"/>
      <c r="X394" s="6" t="s">
        <v>35</v>
      </c>
      <c r="Y394" s="7">
        <v>0.36</v>
      </c>
      <c r="Z394" s="7">
        <v>0.5</v>
      </c>
      <c r="AA394" s="6" t="s">
        <v>251</v>
      </c>
      <c r="AB394" s="6" t="s">
        <v>38</v>
      </c>
      <c r="AD394" s="6" t="s">
        <v>39</v>
      </c>
      <c r="AE394" s="6" t="s">
        <v>40</v>
      </c>
      <c r="AG394" s="6" t="s">
        <v>37</v>
      </c>
      <c r="AH394" s="7">
        <v>60</v>
      </c>
      <c r="AI394" s="6" t="s">
        <v>40</v>
      </c>
      <c r="AJ394" s="6" t="s">
        <v>238</v>
      </c>
      <c r="AL394" s="6" t="s">
        <v>1320</v>
      </c>
    </row>
    <row r="395" spans="1:39" hidden="1" x14ac:dyDescent="0.25">
      <c r="A395" s="4">
        <v>45863</v>
      </c>
      <c r="B395" s="6" t="s">
        <v>1316</v>
      </c>
      <c r="C395" t="str">
        <f>_xlfn.XLOOKUP(Table3[[#This Row],[station]],station_waterbody_county!A:A, station_waterbody_county!B:B)</f>
        <v>West Bay</v>
      </c>
      <c r="D395" t="str">
        <f>_xlfn.XLOOKUP(Table3[[#This Row],[station]],station_waterbody_county!A:A, station_waterbody_county!C:C)</f>
        <v>Inverness</v>
      </c>
      <c r="E395" s="6"/>
      <c r="F395" s="6" t="s">
        <v>34</v>
      </c>
      <c r="G395" s="12">
        <v>45826</v>
      </c>
      <c r="H395" s="5">
        <v>0.60277777777777775</v>
      </c>
      <c r="I395" s="4"/>
      <c r="J395" s="5"/>
      <c r="K395" s="10"/>
      <c r="O395" s="6" t="s">
        <v>1318</v>
      </c>
      <c r="P395" s="6" t="s">
        <v>1319</v>
      </c>
      <c r="S395" s="6" t="s">
        <v>42</v>
      </c>
      <c r="T395" s="11">
        <v>548559</v>
      </c>
      <c r="U395" s="7">
        <v>39</v>
      </c>
      <c r="V395" s="6" t="s">
        <v>36</v>
      </c>
      <c r="W395" s="7"/>
      <c r="X395" s="6" t="s">
        <v>35</v>
      </c>
      <c r="Y395" s="7">
        <v>0.36</v>
      </c>
      <c r="Z395" s="7">
        <v>0.5</v>
      </c>
      <c r="AA395" s="6" t="s">
        <v>251</v>
      </c>
      <c r="AB395" s="6" t="s">
        <v>38</v>
      </c>
      <c r="AD395" s="6" t="s">
        <v>39</v>
      </c>
      <c r="AE395" s="6" t="s">
        <v>40</v>
      </c>
      <c r="AG395" s="6" t="s">
        <v>37</v>
      </c>
      <c r="AH395" s="7">
        <v>60</v>
      </c>
      <c r="AI395" s="6" t="s">
        <v>40</v>
      </c>
      <c r="AJ395" s="6" t="s">
        <v>238</v>
      </c>
      <c r="AL395" s="6" t="s">
        <v>1320</v>
      </c>
    </row>
    <row r="396" spans="1:39" hidden="1" x14ac:dyDescent="0.25">
      <c r="A396" s="4">
        <v>45863</v>
      </c>
      <c r="B396" s="6" t="s">
        <v>1316</v>
      </c>
      <c r="C396" t="str">
        <f>_xlfn.XLOOKUP(Table3[[#This Row],[station]],station_waterbody_county!A:A, station_waterbody_county!B:B)</f>
        <v>West Bay</v>
      </c>
      <c r="D396" t="str">
        <f>_xlfn.XLOOKUP(Table3[[#This Row],[station]],station_waterbody_county!A:A, station_waterbody_county!C:C)</f>
        <v>Inverness</v>
      </c>
      <c r="E396" s="6"/>
      <c r="F396" s="6" t="s">
        <v>34</v>
      </c>
      <c r="G396" s="12">
        <v>45826</v>
      </c>
      <c r="H396" s="5">
        <v>0.60277777777777775</v>
      </c>
      <c r="I396" s="4"/>
      <c r="J396" s="5"/>
      <c r="K396" s="10"/>
      <c r="O396" s="6" t="s">
        <v>1318</v>
      </c>
      <c r="P396" s="6" t="s">
        <v>1319</v>
      </c>
      <c r="S396" s="6" t="s">
        <v>239</v>
      </c>
      <c r="T396" s="11">
        <v>22285946</v>
      </c>
      <c r="U396" s="7">
        <v>39</v>
      </c>
      <c r="V396" s="6" t="s">
        <v>36</v>
      </c>
      <c r="W396" s="7"/>
      <c r="X396" s="6" t="s">
        <v>35</v>
      </c>
      <c r="Y396" s="7">
        <v>0.36</v>
      </c>
      <c r="Z396" s="7">
        <v>0.5</v>
      </c>
      <c r="AA396" s="6" t="s">
        <v>251</v>
      </c>
      <c r="AB396" s="6" t="s">
        <v>38</v>
      </c>
      <c r="AD396" s="6" t="s">
        <v>39</v>
      </c>
      <c r="AE396" s="6" t="s">
        <v>40</v>
      </c>
      <c r="AG396" s="6" t="s">
        <v>37</v>
      </c>
      <c r="AH396" s="7">
        <v>60</v>
      </c>
      <c r="AI396" s="6" t="s">
        <v>40</v>
      </c>
      <c r="AJ396" s="6" t="s">
        <v>238</v>
      </c>
      <c r="AL396" s="6" t="s">
        <v>1320</v>
      </c>
    </row>
    <row r="397" spans="1:39" x14ac:dyDescent="0.25">
      <c r="A397" s="4">
        <v>45944</v>
      </c>
      <c r="B397" s="6" t="s">
        <v>172</v>
      </c>
      <c r="C397" t="str">
        <f>_xlfn.XLOOKUP(Table3[[#This Row],[station]],station_waterbody_county!A:A, station_waterbody_county!B:B)</f>
        <v>Dover Bay</v>
      </c>
      <c r="D397" t="str">
        <f>_xlfn.XLOOKUP(Table3[[#This Row],[station]],station_waterbody_county!A:A, station_waterbody_county!C:C)</f>
        <v>Guysborough</v>
      </c>
      <c r="E397" s="6"/>
      <c r="F397" s="6" t="s">
        <v>310</v>
      </c>
      <c r="G397" s="4">
        <v>45603</v>
      </c>
      <c r="H397" s="5">
        <v>0.67013888888888884</v>
      </c>
      <c r="I397" s="4">
        <v>45925</v>
      </c>
      <c r="J397" s="5">
        <v>0.61944444444444446</v>
      </c>
      <c r="K397" s="10"/>
      <c r="O397" s="6" t="s">
        <v>583</v>
      </c>
      <c r="P397" s="6" t="s">
        <v>582</v>
      </c>
      <c r="Q397" s="6" t="s">
        <v>1454</v>
      </c>
      <c r="R397" s="6" t="s">
        <v>1455</v>
      </c>
      <c r="S397" s="6" t="s">
        <v>239</v>
      </c>
      <c r="T397" s="11">
        <v>22055905</v>
      </c>
      <c r="U397" s="7">
        <v>2</v>
      </c>
      <c r="V397" s="6" t="s">
        <v>36</v>
      </c>
      <c r="W397" s="7">
        <v>45.1</v>
      </c>
      <c r="X397" s="6" t="s">
        <v>35</v>
      </c>
      <c r="Y397" s="7">
        <v>1.3</v>
      </c>
      <c r="Z397" s="7">
        <v>1</v>
      </c>
      <c r="AA397" s="6" t="s">
        <v>370</v>
      </c>
      <c r="AB397" s="6" t="s">
        <v>38</v>
      </c>
      <c r="AD397" s="6" t="s">
        <v>39</v>
      </c>
      <c r="AE397" s="6"/>
      <c r="AG397" s="6" t="s">
        <v>256</v>
      </c>
      <c r="AH397" s="7">
        <v>68.5</v>
      </c>
      <c r="AI397" s="6" t="s">
        <v>40</v>
      </c>
      <c r="AJ397" s="6" t="s">
        <v>238</v>
      </c>
      <c r="AK397" s="6" t="s">
        <v>35</v>
      </c>
      <c r="AL397" s="6" t="s">
        <v>41</v>
      </c>
      <c r="AM397" s="6" t="s">
        <v>41</v>
      </c>
    </row>
    <row r="398" spans="1:39" x14ac:dyDescent="0.25">
      <c r="A398" s="4">
        <v>45944</v>
      </c>
      <c r="B398" s="6" t="s">
        <v>172</v>
      </c>
      <c r="C398" t="str">
        <f>_xlfn.XLOOKUP(Table3[[#This Row],[station]],station_waterbody_county!A:A, station_waterbody_county!B:B)</f>
        <v>Dover Bay</v>
      </c>
      <c r="D398" t="str">
        <f>_xlfn.XLOOKUP(Table3[[#This Row],[station]],station_waterbody_county!A:A, station_waterbody_county!C:C)</f>
        <v>Guysborough</v>
      </c>
      <c r="E398" s="6"/>
      <c r="F398" s="6" t="s">
        <v>310</v>
      </c>
      <c r="G398" s="4">
        <v>45603</v>
      </c>
      <c r="H398" s="5">
        <v>0.67013888888888884</v>
      </c>
      <c r="I398" s="4">
        <v>45925</v>
      </c>
      <c r="J398" s="5">
        <v>0.61944444444444446</v>
      </c>
      <c r="K398" s="10"/>
      <c r="O398" s="6" t="s">
        <v>583</v>
      </c>
      <c r="P398" s="6" t="s">
        <v>582</v>
      </c>
      <c r="Q398" s="6" t="s">
        <v>1454</v>
      </c>
      <c r="R398" s="6" t="s">
        <v>1455</v>
      </c>
      <c r="S398" s="6" t="s">
        <v>240</v>
      </c>
      <c r="T398" s="11">
        <v>671318</v>
      </c>
      <c r="U398" s="7">
        <v>5</v>
      </c>
      <c r="V398" s="6" t="s">
        <v>36</v>
      </c>
      <c r="W398" s="7">
        <v>45.1</v>
      </c>
      <c r="X398" s="6" t="s">
        <v>35</v>
      </c>
      <c r="Y398" s="7">
        <v>1.3</v>
      </c>
      <c r="Z398" s="7">
        <v>1</v>
      </c>
      <c r="AA398" s="6" t="s">
        <v>370</v>
      </c>
      <c r="AB398" s="6" t="s">
        <v>38</v>
      </c>
      <c r="AD398" s="6" t="s">
        <v>39</v>
      </c>
      <c r="AE398" s="6"/>
      <c r="AG398" s="6" t="s">
        <v>256</v>
      </c>
      <c r="AH398" s="7">
        <v>68.5</v>
      </c>
      <c r="AI398" s="6" t="s">
        <v>40</v>
      </c>
      <c r="AJ398" s="6" t="s">
        <v>238</v>
      </c>
      <c r="AK398" s="6" t="s">
        <v>35</v>
      </c>
      <c r="AL398" s="6" t="s">
        <v>41</v>
      </c>
      <c r="AM398" s="6" t="s">
        <v>41</v>
      </c>
    </row>
    <row r="399" spans="1:39" x14ac:dyDescent="0.25">
      <c r="A399" s="4">
        <v>45944</v>
      </c>
      <c r="B399" s="6" t="s">
        <v>172</v>
      </c>
      <c r="C399" t="str">
        <f>_xlfn.XLOOKUP(Table3[[#This Row],[station]],station_waterbody_county!A:A, station_waterbody_county!B:B)</f>
        <v>Dover Bay</v>
      </c>
      <c r="D399" t="str">
        <f>_xlfn.XLOOKUP(Table3[[#This Row],[station]],station_waterbody_county!A:A, station_waterbody_county!C:C)</f>
        <v>Guysborough</v>
      </c>
      <c r="E399" s="6"/>
      <c r="F399" s="6" t="s">
        <v>310</v>
      </c>
      <c r="G399" s="4">
        <v>45603</v>
      </c>
      <c r="H399" s="5">
        <v>0.67013888888888884</v>
      </c>
      <c r="I399" s="4">
        <v>45925</v>
      </c>
      <c r="J399" s="5">
        <v>0.61944444444444446</v>
      </c>
      <c r="K399" s="10"/>
      <c r="O399" s="6" t="s">
        <v>583</v>
      </c>
      <c r="P399" s="6" t="s">
        <v>582</v>
      </c>
      <c r="Q399" s="6" t="s">
        <v>1454</v>
      </c>
      <c r="R399" s="6" t="s">
        <v>1455</v>
      </c>
      <c r="S399" s="6" t="s">
        <v>239</v>
      </c>
      <c r="T399" s="11">
        <v>22030588</v>
      </c>
      <c r="U399" s="7">
        <v>10</v>
      </c>
      <c r="V399" s="6" t="s">
        <v>36</v>
      </c>
      <c r="W399" s="7">
        <v>45.1</v>
      </c>
      <c r="X399" s="6" t="s">
        <v>35</v>
      </c>
      <c r="Y399" s="7">
        <v>1.3</v>
      </c>
      <c r="Z399" s="7">
        <v>1</v>
      </c>
      <c r="AA399" s="6" t="s">
        <v>370</v>
      </c>
      <c r="AB399" s="6" t="s">
        <v>38</v>
      </c>
      <c r="AD399" s="6" t="s">
        <v>39</v>
      </c>
      <c r="AE399" s="6"/>
      <c r="AG399" s="6" t="s">
        <v>256</v>
      </c>
      <c r="AH399" s="7">
        <v>68.5</v>
      </c>
      <c r="AI399" s="6" t="s">
        <v>40</v>
      </c>
      <c r="AJ399" s="6" t="s">
        <v>238</v>
      </c>
      <c r="AK399" s="6" t="s">
        <v>35</v>
      </c>
      <c r="AL399" s="6" t="s">
        <v>41</v>
      </c>
      <c r="AM399" s="6" t="s">
        <v>41</v>
      </c>
    </row>
    <row r="400" spans="1:39" x14ac:dyDescent="0.25">
      <c r="A400" s="4">
        <v>45944</v>
      </c>
      <c r="B400" s="6" t="s">
        <v>172</v>
      </c>
      <c r="C400" t="str">
        <f>_xlfn.XLOOKUP(Table3[[#This Row],[station]],station_waterbody_county!A:A, station_waterbody_county!B:B)</f>
        <v>Dover Bay</v>
      </c>
      <c r="D400" t="str">
        <f>_xlfn.XLOOKUP(Table3[[#This Row],[station]],station_waterbody_county!A:A, station_waterbody_county!C:C)</f>
        <v>Guysborough</v>
      </c>
      <c r="E400" s="6"/>
      <c r="F400" s="6" t="s">
        <v>310</v>
      </c>
      <c r="G400" s="4">
        <v>45603</v>
      </c>
      <c r="H400" s="5">
        <v>0.67013888888888884</v>
      </c>
      <c r="I400" s="4">
        <v>45925</v>
      </c>
      <c r="J400" s="5">
        <v>0.61944444444444446</v>
      </c>
      <c r="K400" s="10"/>
      <c r="O400" s="6" t="s">
        <v>583</v>
      </c>
      <c r="P400" s="6" t="s">
        <v>582</v>
      </c>
      <c r="Q400" s="6" t="s">
        <v>1454</v>
      </c>
      <c r="R400" s="6" t="s">
        <v>1455</v>
      </c>
      <c r="S400" s="6" t="s">
        <v>239</v>
      </c>
      <c r="T400" s="11">
        <v>22055911</v>
      </c>
      <c r="U400" s="7">
        <v>15</v>
      </c>
      <c r="V400" s="6" t="s">
        <v>36</v>
      </c>
      <c r="W400" s="7">
        <v>45.1</v>
      </c>
      <c r="X400" s="6" t="s">
        <v>35</v>
      </c>
      <c r="Y400" s="7">
        <v>1.3</v>
      </c>
      <c r="Z400" s="7">
        <v>1</v>
      </c>
      <c r="AA400" s="6" t="s">
        <v>370</v>
      </c>
      <c r="AB400" s="6" t="s">
        <v>38</v>
      </c>
      <c r="AD400" s="6" t="s">
        <v>39</v>
      </c>
      <c r="AE400" s="6"/>
      <c r="AG400" s="6" t="s">
        <v>256</v>
      </c>
      <c r="AH400" s="7">
        <v>68.5</v>
      </c>
      <c r="AI400" s="6" t="s">
        <v>40</v>
      </c>
      <c r="AJ400" s="6" t="s">
        <v>238</v>
      </c>
      <c r="AK400" s="6" t="s">
        <v>35</v>
      </c>
      <c r="AL400" s="6" t="s">
        <v>41</v>
      </c>
      <c r="AM400" s="6" t="s">
        <v>41</v>
      </c>
    </row>
    <row r="401" spans="1:40" x14ac:dyDescent="0.25">
      <c r="A401" s="4">
        <v>45944</v>
      </c>
      <c r="B401" s="6" t="s">
        <v>172</v>
      </c>
      <c r="C401" t="str">
        <f>_xlfn.XLOOKUP(Table3[[#This Row],[station]],station_waterbody_county!A:A, station_waterbody_county!B:B)</f>
        <v>Dover Bay</v>
      </c>
      <c r="D401" t="str">
        <f>_xlfn.XLOOKUP(Table3[[#This Row],[station]],station_waterbody_county!A:A, station_waterbody_county!C:C)</f>
        <v>Guysborough</v>
      </c>
      <c r="E401" s="6"/>
      <c r="F401" s="6" t="s">
        <v>310</v>
      </c>
      <c r="G401" s="4">
        <v>45603</v>
      </c>
      <c r="H401" s="5">
        <v>0.67013888888888884</v>
      </c>
      <c r="I401" s="4">
        <v>45925</v>
      </c>
      <c r="J401" s="5">
        <v>0.61944444444444446</v>
      </c>
      <c r="K401" s="10"/>
      <c r="O401" s="6" t="s">
        <v>583</v>
      </c>
      <c r="P401" s="6" t="s">
        <v>582</v>
      </c>
      <c r="Q401" s="6" t="s">
        <v>1454</v>
      </c>
      <c r="R401" s="6" t="s">
        <v>1455</v>
      </c>
      <c r="S401" s="6" t="s">
        <v>42</v>
      </c>
      <c r="T401" s="11">
        <v>548571</v>
      </c>
      <c r="U401" s="7">
        <v>22</v>
      </c>
      <c r="V401" s="6" t="s">
        <v>36</v>
      </c>
      <c r="W401" s="7">
        <v>45.1</v>
      </c>
      <c r="X401" s="6" t="s">
        <v>35</v>
      </c>
      <c r="Y401" s="7">
        <v>1.3</v>
      </c>
      <c r="Z401" s="7">
        <v>1</v>
      </c>
      <c r="AA401" s="6" t="s">
        <v>370</v>
      </c>
      <c r="AB401" s="6" t="s">
        <v>38</v>
      </c>
      <c r="AD401" s="6" t="s">
        <v>39</v>
      </c>
      <c r="AE401" s="6"/>
      <c r="AG401" s="6" t="s">
        <v>256</v>
      </c>
      <c r="AH401" s="7">
        <v>68.5</v>
      </c>
      <c r="AI401" s="6" t="s">
        <v>40</v>
      </c>
      <c r="AJ401" s="6" t="s">
        <v>238</v>
      </c>
      <c r="AK401" s="6" t="s">
        <v>35</v>
      </c>
      <c r="AL401" s="6" t="s">
        <v>41</v>
      </c>
      <c r="AM401" s="6" t="s">
        <v>41</v>
      </c>
    </row>
    <row r="402" spans="1:40" x14ac:dyDescent="0.25">
      <c r="A402" s="4">
        <v>45944</v>
      </c>
      <c r="B402" s="6" t="s">
        <v>172</v>
      </c>
      <c r="C402" t="str">
        <f>_xlfn.XLOOKUP(Table3[[#This Row],[station]],station_waterbody_county!A:A, station_waterbody_county!B:B)</f>
        <v>Dover Bay</v>
      </c>
      <c r="D402" t="str">
        <f>_xlfn.XLOOKUP(Table3[[#This Row],[station]],station_waterbody_county!A:A, station_waterbody_county!C:C)</f>
        <v>Guysborough</v>
      </c>
      <c r="E402" s="6"/>
      <c r="F402" s="6" t="s">
        <v>310</v>
      </c>
      <c r="G402" s="4">
        <v>45603</v>
      </c>
      <c r="H402" s="5">
        <v>0.67013888888888884</v>
      </c>
      <c r="I402" s="4">
        <v>45925</v>
      </c>
      <c r="J402" s="5">
        <v>0.61944444444444446</v>
      </c>
      <c r="K402" s="10"/>
      <c r="O402" s="6" t="s">
        <v>583</v>
      </c>
      <c r="P402" s="6" t="s">
        <v>582</v>
      </c>
      <c r="Q402" s="6" t="s">
        <v>1454</v>
      </c>
      <c r="R402" s="6" t="s">
        <v>1455</v>
      </c>
      <c r="S402" s="6" t="s">
        <v>239</v>
      </c>
      <c r="T402" s="11">
        <v>22055896</v>
      </c>
      <c r="U402" s="7">
        <v>22</v>
      </c>
      <c r="V402" s="6" t="s">
        <v>36</v>
      </c>
      <c r="W402" s="7">
        <v>45.1</v>
      </c>
      <c r="X402" s="6" t="s">
        <v>35</v>
      </c>
      <c r="Y402" s="7">
        <v>1.3</v>
      </c>
      <c r="Z402" s="7">
        <v>1</v>
      </c>
      <c r="AA402" s="6" t="s">
        <v>370</v>
      </c>
      <c r="AB402" s="6" t="s">
        <v>38</v>
      </c>
      <c r="AD402" s="6" t="s">
        <v>39</v>
      </c>
      <c r="AE402" s="6"/>
      <c r="AG402" s="6" t="s">
        <v>256</v>
      </c>
      <c r="AH402" s="7">
        <v>68.5</v>
      </c>
      <c r="AI402" s="6" t="s">
        <v>40</v>
      </c>
      <c r="AJ402" s="6" t="s">
        <v>238</v>
      </c>
      <c r="AK402" s="6" t="s">
        <v>35</v>
      </c>
      <c r="AL402" s="6" t="s">
        <v>41</v>
      </c>
      <c r="AM402" s="6" t="s">
        <v>41</v>
      </c>
    </row>
    <row r="403" spans="1:40" hidden="1" x14ac:dyDescent="0.25">
      <c r="A403" s="12">
        <v>45678</v>
      </c>
      <c r="B403" s="6" t="s">
        <v>172</v>
      </c>
      <c r="C403" t="str">
        <f>_xlfn.XLOOKUP(Table3[[#This Row],[station]],station_waterbody_county!A:A, station_waterbody_county!B:B)</f>
        <v>Dover Bay</v>
      </c>
      <c r="D403" t="str">
        <f>_xlfn.XLOOKUP(Table3[[#This Row],[station]],station_waterbody_county!A:A, station_waterbody_county!C:C)</f>
        <v>Guysborough</v>
      </c>
      <c r="E403" s="6"/>
      <c r="F403" s="6" t="s">
        <v>310</v>
      </c>
      <c r="G403" s="12">
        <v>45217</v>
      </c>
      <c r="H403" s="5"/>
      <c r="I403" s="4">
        <v>45603</v>
      </c>
      <c r="J403" s="5">
        <v>0.65694444444444444</v>
      </c>
      <c r="K403" s="10">
        <v>45.265369</v>
      </c>
      <c r="L403" s="10">
        <v>-60.961911000000001</v>
      </c>
      <c r="O403" s="6"/>
      <c r="Q403" s="6" t="s">
        <v>581</v>
      </c>
      <c r="R403" s="6" t="s">
        <v>582</v>
      </c>
      <c r="S403" s="6" t="s">
        <v>239</v>
      </c>
      <c r="T403" s="11">
        <v>20763565</v>
      </c>
      <c r="U403" s="7">
        <v>2</v>
      </c>
      <c r="V403" s="6" t="s">
        <v>36</v>
      </c>
      <c r="W403" s="7">
        <v>29.1</v>
      </c>
      <c r="X403" s="6" t="s">
        <v>35</v>
      </c>
      <c r="Y403" s="7">
        <v>0.6</v>
      </c>
      <c r="Z403" s="7">
        <v>1</v>
      </c>
      <c r="AA403" s="6" t="s">
        <v>251</v>
      </c>
      <c r="AB403" s="6" t="s">
        <v>38</v>
      </c>
      <c r="AD403" s="6" t="s">
        <v>39</v>
      </c>
      <c r="AE403" s="6"/>
      <c r="AG403" s="6" t="s">
        <v>286</v>
      </c>
      <c r="AH403" s="7"/>
      <c r="AI403" s="6" t="s">
        <v>40</v>
      </c>
      <c r="AJ403" s="6" t="s">
        <v>238</v>
      </c>
      <c r="AK403" s="6" t="s">
        <v>35</v>
      </c>
      <c r="AL403" s="6" t="s">
        <v>268</v>
      </c>
      <c r="AM403" s="6" t="s">
        <v>41</v>
      </c>
    </row>
    <row r="404" spans="1:40" hidden="1" x14ac:dyDescent="0.25">
      <c r="A404" s="12">
        <v>45678</v>
      </c>
      <c r="B404" s="6" t="s">
        <v>172</v>
      </c>
      <c r="C404" t="str">
        <f>_xlfn.XLOOKUP(Table3[[#This Row],[station]],station_waterbody_county!A:A, station_waterbody_county!B:B)</f>
        <v>Dover Bay</v>
      </c>
      <c r="D404" t="str">
        <f>_xlfn.XLOOKUP(Table3[[#This Row],[station]],station_waterbody_county!A:A, station_waterbody_county!C:C)</f>
        <v>Guysborough</v>
      </c>
      <c r="E404" s="6"/>
      <c r="F404" s="6" t="s">
        <v>310</v>
      </c>
      <c r="G404" s="12">
        <v>45217</v>
      </c>
      <c r="H404" s="5"/>
      <c r="I404" s="4">
        <v>45603</v>
      </c>
      <c r="J404" s="5">
        <v>0.65694444444444444</v>
      </c>
      <c r="K404" s="10">
        <v>45.265369</v>
      </c>
      <c r="L404" s="10">
        <v>-60.961911000000001</v>
      </c>
      <c r="O404" s="6"/>
      <c r="Q404" s="6" t="s">
        <v>581</v>
      </c>
      <c r="R404" s="6" t="s">
        <v>582</v>
      </c>
      <c r="S404" s="6" t="s">
        <v>240</v>
      </c>
      <c r="T404" s="11">
        <v>671011</v>
      </c>
      <c r="U404" s="7">
        <v>5</v>
      </c>
      <c r="V404" s="6" t="s">
        <v>36</v>
      </c>
      <c r="W404" s="7">
        <v>29.1</v>
      </c>
      <c r="X404" s="6" t="s">
        <v>35</v>
      </c>
      <c r="Y404" s="7">
        <v>0.6</v>
      </c>
      <c r="Z404" s="7">
        <v>1</v>
      </c>
      <c r="AA404" s="6" t="s">
        <v>251</v>
      </c>
      <c r="AB404" s="6" t="s">
        <v>38</v>
      </c>
      <c r="AD404" s="6" t="s">
        <v>39</v>
      </c>
      <c r="AE404" s="6"/>
      <c r="AG404" s="6" t="s">
        <v>286</v>
      </c>
      <c r="AH404" s="7"/>
      <c r="AI404" s="6" t="s">
        <v>40</v>
      </c>
      <c r="AJ404" s="6" t="s">
        <v>238</v>
      </c>
      <c r="AK404" s="6" t="s">
        <v>35</v>
      </c>
      <c r="AL404" s="6" t="s">
        <v>268</v>
      </c>
      <c r="AM404" s="6" t="s">
        <v>41</v>
      </c>
    </row>
    <row r="405" spans="1:40" hidden="1" x14ac:dyDescent="0.25">
      <c r="A405" s="12">
        <v>45678</v>
      </c>
      <c r="B405" s="6" t="s">
        <v>172</v>
      </c>
      <c r="C405" t="str">
        <f>_xlfn.XLOOKUP(Table3[[#This Row],[station]],station_waterbody_county!A:A, station_waterbody_county!B:B)</f>
        <v>Dover Bay</v>
      </c>
      <c r="D405" t="str">
        <f>_xlfn.XLOOKUP(Table3[[#This Row],[station]],station_waterbody_county!A:A, station_waterbody_county!C:C)</f>
        <v>Guysborough</v>
      </c>
      <c r="E405" s="6"/>
      <c r="F405" s="6" t="s">
        <v>310</v>
      </c>
      <c r="G405" s="12">
        <v>45217</v>
      </c>
      <c r="H405" s="5"/>
      <c r="I405" s="4">
        <v>45603</v>
      </c>
      <c r="J405" s="5">
        <v>0.65694444444444444</v>
      </c>
      <c r="K405" s="10">
        <v>45.265369</v>
      </c>
      <c r="L405" s="10">
        <v>-60.961911000000001</v>
      </c>
      <c r="O405" s="6"/>
      <c r="Q405" s="6" t="s">
        <v>581</v>
      </c>
      <c r="R405" s="6" t="s">
        <v>582</v>
      </c>
      <c r="S405" s="6" t="s">
        <v>239</v>
      </c>
      <c r="T405" s="11">
        <v>21083050</v>
      </c>
      <c r="U405" s="7">
        <v>10</v>
      </c>
      <c r="V405" s="6" t="s">
        <v>36</v>
      </c>
      <c r="W405" s="7">
        <v>29.1</v>
      </c>
      <c r="X405" s="6" t="s">
        <v>35</v>
      </c>
      <c r="Y405" s="7">
        <v>0.6</v>
      </c>
      <c r="Z405" s="7">
        <v>1</v>
      </c>
      <c r="AA405" s="6" t="s">
        <v>251</v>
      </c>
      <c r="AB405" s="6" t="s">
        <v>38</v>
      </c>
      <c r="AD405" s="6" t="s">
        <v>39</v>
      </c>
      <c r="AE405" s="6"/>
      <c r="AG405" s="6" t="s">
        <v>286</v>
      </c>
      <c r="AH405" s="7"/>
      <c r="AI405" s="6" t="s">
        <v>40</v>
      </c>
      <c r="AJ405" s="6" t="s">
        <v>238</v>
      </c>
      <c r="AK405" s="6" t="s">
        <v>35</v>
      </c>
      <c r="AL405" s="6" t="s">
        <v>268</v>
      </c>
      <c r="AM405" s="6" t="s">
        <v>41</v>
      </c>
    </row>
    <row r="406" spans="1:40" hidden="1" x14ac:dyDescent="0.25">
      <c r="A406" s="12">
        <v>45678</v>
      </c>
      <c r="B406" s="6" t="s">
        <v>172</v>
      </c>
      <c r="C406" t="str">
        <f>_xlfn.XLOOKUP(Table3[[#This Row],[station]],station_waterbody_county!A:A, station_waterbody_county!B:B)</f>
        <v>Dover Bay</v>
      </c>
      <c r="D406" t="str">
        <f>_xlfn.XLOOKUP(Table3[[#This Row],[station]],station_waterbody_county!A:A, station_waterbody_county!C:C)</f>
        <v>Guysborough</v>
      </c>
      <c r="E406" s="6"/>
      <c r="F406" s="6" t="s">
        <v>310</v>
      </c>
      <c r="G406" s="12">
        <v>45217</v>
      </c>
      <c r="H406" s="5"/>
      <c r="I406" s="4">
        <v>45603</v>
      </c>
      <c r="J406" s="5">
        <v>0.65694444444444444</v>
      </c>
      <c r="K406" s="10">
        <v>45.265369</v>
      </c>
      <c r="L406" s="10">
        <v>-60.961911000000001</v>
      </c>
      <c r="O406" s="6"/>
      <c r="Q406" s="6" t="s">
        <v>581</v>
      </c>
      <c r="R406" s="6" t="s">
        <v>582</v>
      </c>
      <c r="S406" s="6" t="s">
        <v>239</v>
      </c>
      <c r="T406" s="11">
        <v>21465763</v>
      </c>
      <c r="U406" s="7">
        <v>15</v>
      </c>
      <c r="V406" s="6" t="s">
        <v>36</v>
      </c>
      <c r="W406" s="7">
        <v>29.1</v>
      </c>
      <c r="X406" s="6" t="s">
        <v>35</v>
      </c>
      <c r="Y406" s="7">
        <v>0.6</v>
      </c>
      <c r="Z406" s="7">
        <v>1</v>
      </c>
      <c r="AA406" s="6" t="s">
        <v>251</v>
      </c>
      <c r="AB406" s="6" t="s">
        <v>38</v>
      </c>
      <c r="AD406" s="6" t="s">
        <v>39</v>
      </c>
      <c r="AE406" s="6"/>
      <c r="AG406" s="6" t="s">
        <v>286</v>
      </c>
      <c r="AH406" s="7"/>
      <c r="AI406" s="6" t="s">
        <v>40</v>
      </c>
      <c r="AJ406" s="6" t="s">
        <v>238</v>
      </c>
      <c r="AK406" s="6" t="s">
        <v>35</v>
      </c>
      <c r="AL406" s="6" t="s">
        <v>268</v>
      </c>
      <c r="AM406" s="6" t="s">
        <v>41</v>
      </c>
    </row>
    <row r="407" spans="1:40" hidden="1" x14ac:dyDescent="0.25">
      <c r="A407" s="12">
        <v>45678</v>
      </c>
      <c r="B407" s="6" t="s">
        <v>172</v>
      </c>
      <c r="C407" t="str">
        <f>_xlfn.XLOOKUP(Table3[[#This Row],[station]],station_waterbody_county!A:A, station_waterbody_county!B:B)</f>
        <v>Dover Bay</v>
      </c>
      <c r="D407" t="str">
        <f>_xlfn.XLOOKUP(Table3[[#This Row],[station]],station_waterbody_county!A:A, station_waterbody_county!C:C)</f>
        <v>Guysborough</v>
      </c>
      <c r="E407" s="6"/>
      <c r="F407" s="6" t="s">
        <v>310</v>
      </c>
      <c r="G407" s="12">
        <v>45217</v>
      </c>
      <c r="H407" s="5"/>
      <c r="I407" s="4">
        <v>45603</v>
      </c>
      <c r="J407" s="5">
        <v>0.65694444444444444</v>
      </c>
      <c r="K407" s="10">
        <v>45.265369</v>
      </c>
      <c r="L407" s="10">
        <v>-60.961911000000001</v>
      </c>
      <c r="O407" s="6"/>
      <c r="Q407" s="6" t="s">
        <v>581</v>
      </c>
      <c r="R407" s="6" t="s">
        <v>582</v>
      </c>
      <c r="S407" s="6" t="s">
        <v>42</v>
      </c>
      <c r="T407" s="11">
        <v>548599</v>
      </c>
      <c r="U407" s="7">
        <v>22</v>
      </c>
      <c r="V407" s="6" t="s">
        <v>36</v>
      </c>
      <c r="W407" s="7">
        <v>29.1</v>
      </c>
      <c r="X407" s="6" t="s">
        <v>35</v>
      </c>
      <c r="Y407" s="7">
        <v>0.6</v>
      </c>
      <c r="Z407" s="7">
        <v>1</v>
      </c>
      <c r="AA407" s="6" t="s">
        <v>251</v>
      </c>
      <c r="AB407" s="6" t="s">
        <v>38</v>
      </c>
      <c r="AD407" s="6" t="s">
        <v>39</v>
      </c>
      <c r="AE407" s="6"/>
      <c r="AG407" s="6" t="s">
        <v>286</v>
      </c>
      <c r="AH407" s="7"/>
      <c r="AI407" s="6" t="s">
        <v>40</v>
      </c>
      <c r="AJ407" s="6" t="s">
        <v>238</v>
      </c>
      <c r="AK407" s="6" t="s">
        <v>35</v>
      </c>
      <c r="AL407" s="6" t="s">
        <v>268</v>
      </c>
      <c r="AM407" s="6" t="s">
        <v>41</v>
      </c>
    </row>
    <row r="408" spans="1:40" hidden="1" x14ac:dyDescent="0.25">
      <c r="A408" s="4">
        <v>45482</v>
      </c>
      <c r="B408" s="9" t="s">
        <v>177</v>
      </c>
      <c r="C408" t="str">
        <f>_xlfn.XLOOKUP(Table3[[#This Row],[station]],station_waterbody_county!A:A, station_waterbody_county!B:B)</f>
        <v>Shelburne Harbour</v>
      </c>
      <c r="D408" t="str">
        <f>_xlfn.XLOOKUP(Table3[[#This Row],[station]],station_waterbody_county!A:A, station_waterbody_county!C:C)</f>
        <v>Shelburne</v>
      </c>
      <c r="E408" s="6"/>
      <c r="F408" s="6" t="s">
        <v>311</v>
      </c>
      <c r="G408" s="4">
        <v>44784</v>
      </c>
      <c r="H408" s="5">
        <v>0.41944444444444445</v>
      </c>
      <c r="I408" s="4">
        <v>45462</v>
      </c>
      <c r="J408" s="5"/>
      <c r="K408" s="10">
        <v>43.629544000000003</v>
      </c>
      <c r="L408" s="10">
        <v>-65.261476000000002</v>
      </c>
      <c r="M408" s="10">
        <v>45.201911000000003</v>
      </c>
      <c r="N408" s="10">
        <v>-64.619034999999997</v>
      </c>
      <c r="O408" s="6" t="s">
        <v>389</v>
      </c>
      <c r="P408" s="6" t="s">
        <v>390</v>
      </c>
      <c r="Q408" s="6" t="s">
        <v>391</v>
      </c>
      <c r="R408" s="6" t="s">
        <v>392</v>
      </c>
      <c r="S408" s="6" t="s">
        <v>239</v>
      </c>
      <c r="T408" s="11">
        <v>20495244</v>
      </c>
      <c r="U408" s="7">
        <v>15</v>
      </c>
      <c r="V408" s="6" t="s">
        <v>36</v>
      </c>
      <c r="W408" s="7">
        <v>21.9</v>
      </c>
      <c r="X408" s="6" t="s">
        <v>35</v>
      </c>
      <c r="Y408" s="7">
        <v>1.9</v>
      </c>
      <c r="Z408" s="7">
        <v>1.5</v>
      </c>
      <c r="AA408" s="6" t="s">
        <v>251</v>
      </c>
      <c r="AB408" s="6" t="s">
        <v>38</v>
      </c>
      <c r="AE408" s="6"/>
      <c r="AG408" s="6" t="s">
        <v>278</v>
      </c>
      <c r="AH408" s="7">
        <v>60</v>
      </c>
      <c r="AI408" s="6" t="s">
        <v>40</v>
      </c>
      <c r="AJ408" s="6" t="s">
        <v>238</v>
      </c>
      <c r="AK408" s="6" t="s">
        <v>35</v>
      </c>
      <c r="AL408" s="6" t="s">
        <v>393</v>
      </c>
      <c r="AM408" s="6" t="s">
        <v>394</v>
      </c>
      <c r="AN408" s="6" t="s">
        <v>388</v>
      </c>
    </row>
    <row r="409" spans="1:40" hidden="1" x14ac:dyDescent="0.25">
      <c r="A409" s="4">
        <v>45482</v>
      </c>
      <c r="B409" s="9" t="s">
        <v>177</v>
      </c>
      <c r="C409" t="str">
        <f>_xlfn.XLOOKUP(Table3[[#This Row],[station]],station_waterbody_county!A:A, station_waterbody_county!B:B)</f>
        <v>Shelburne Harbour</v>
      </c>
      <c r="D409" t="str">
        <f>_xlfn.XLOOKUP(Table3[[#This Row],[station]],station_waterbody_county!A:A, station_waterbody_county!C:C)</f>
        <v>Shelburne</v>
      </c>
      <c r="E409" s="6"/>
      <c r="F409" s="6" t="s">
        <v>311</v>
      </c>
      <c r="G409" s="4">
        <v>44784</v>
      </c>
      <c r="H409" s="5">
        <v>0.41944444444444445</v>
      </c>
      <c r="I409" s="4">
        <v>45462</v>
      </c>
      <c r="J409" s="5"/>
      <c r="K409" s="10">
        <v>43.629544000000003</v>
      </c>
      <c r="L409" s="10">
        <v>-65.261476000000002</v>
      </c>
      <c r="M409" s="10">
        <v>45.201911000000003</v>
      </c>
      <c r="N409" s="10">
        <v>-64.619034999999997</v>
      </c>
      <c r="O409" s="6" t="s">
        <v>389</v>
      </c>
      <c r="P409" s="6" t="s">
        <v>390</v>
      </c>
      <c r="Q409" s="6" t="s">
        <v>391</v>
      </c>
      <c r="R409" s="6" t="s">
        <v>392</v>
      </c>
      <c r="S409" s="6" t="s">
        <v>42</v>
      </c>
      <c r="T409" s="11">
        <v>545767</v>
      </c>
      <c r="U409" s="7">
        <v>20</v>
      </c>
      <c r="V409" s="6" t="s">
        <v>36</v>
      </c>
      <c r="W409" s="7">
        <v>21.9</v>
      </c>
      <c r="X409" s="6" t="s">
        <v>35</v>
      </c>
      <c r="Y409" s="7">
        <v>1.9</v>
      </c>
      <c r="Z409" s="7">
        <v>1.5</v>
      </c>
      <c r="AA409" s="6" t="s">
        <v>251</v>
      </c>
      <c r="AB409" s="6" t="s">
        <v>38</v>
      </c>
      <c r="AE409" s="6"/>
      <c r="AG409" s="6" t="s">
        <v>278</v>
      </c>
      <c r="AH409" s="7">
        <v>60</v>
      </c>
      <c r="AI409" s="6" t="s">
        <v>40</v>
      </c>
      <c r="AJ409" s="6" t="s">
        <v>238</v>
      </c>
      <c r="AK409" s="6" t="s">
        <v>35</v>
      </c>
      <c r="AL409" s="6" t="s">
        <v>393</v>
      </c>
      <c r="AM409" s="6" t="s">
        <v>394</v>
      </c>
      <c r="AN409" s="6" t="s">
        <v>388</v>
      </c>
    </row>
    <row r="410" spans="1:40" hidden="1" x14ac:dyDescent="0.25">
      <c r="A410" s="4">
        <v>45482</v>
      </c>
      <c r="B410" s="8" t="s">
        <v>177</v>
      </c>
      <c r="C410" t="str">
        <f>_xlfn.XLOOKUP(Table3[[#This Row],[station]],station_waterbody_county!A:A, station_waterbody_county!B:B)</f>
        <v>Shelburne Harbour</v>
      </c>
      <c r="D410" t="str">
        <f>_xlfn.XLOOKUP(Table3[[#This Row],[station]],station_waterbody_county!A:A, station_waterbody_county!C:C)</f>
        <v>Shelburne</v>
      </c>
      <c r="E410" s="6"/>
      <c r="F410" s="6" t="s">
        <v>310</v>
      </c>
      <c r="G410" s="4">
        <v>44784</v>
      </c>
      <c r="H410" s="5">
        <v>0.41944444444444445</v>
      </c>
      <c r="I410" s="4">
        <v>45462</v>
      </c>
      <c r="J410" s="5"/>
      <c r="K410" s="10">
        <v>43.629544000000003</v>
      </c>
      <c r="L410" s="10">
        <v>-65.261476000000002</v>
      </c>
      <c r="M410" s="10">
        <v>45.201911000000003</v>
      </c>
      <c r="N410" s="10">
        <v>-64.619034999999997</v>
      </c>
      <c r="O410" s="6" t="s">
        <v>389</v>
      </c>
      <c r="P410" s="6" t="s">
        <v>390</v>
      </c>
      <c r="Q410" s="6" t="s">
        <v>391</v>
      </c>
      <c r="R410" s="6" t="s">
        <v>392</v>
      </c>
      <c r="S410" s="6" t="s">
        <v>239</v>
      </c>
      <c r="T410" s="11">
        <v>20820351</v>
      </c>
      <c r="U410" s="7">
        <v>2</v>
      </c>
      <c r="V410" s="6" t="s">
        <v>36</v>
      </c>
      <c r="W410" s="7">
        <v>21.9</v>
      </c>
      <c r="X410" s="6" t="s">
        <v>35</v>
      </c>
      <c r="Y410" s="7">
        <v>1.9</v>
      </c>
      <c r="Z410" s="7">
        <v>1.5</v>
      </c>
      <c r="AA410" s="6" t="s">
        <v>251</v>
      </c>
      <c r="AB410" s="6" t="s">
        <v>38</v>
      </c>
      <c r="AE410" s="6"/>
      <c r="AG410" s="6" t="s">
        <v>278</v>
      </c>
      <c r="AH410" s="7">
        <v>60</v>
      </c>
      <c r="AI410" s="6" t="s">
        <v>40</v>
      </c>
      <c r="AJ410" s="6" t="s">
        <v>238</v>
      </c>
      <c r="AK410" s="6" t="s">
        <v>35</v>
      </c>
      <c r="AL410" s="6" t="s">
        <v>393</v>
      </c>
      <c r="AM410" s="6" t="s">
        <v>394</v>
      </c>
      <c r="AN410" s="6" t="s">
        <v>388</v>
      </c>
    </row>
    <row r="411" spans="1:40" hidden="1" x14ac:dyDescent="0.25">
      <c r="A411" s="4">
        <v>45482</v>
      </c>
      <c r="B411" s="9" t="s">
        <v>177</v>
      </c>
      <c r="C411" t="str">
        <f>_xlfn.XLOOKUP(Table3[[#This Row],[station]],station_waterbody_county!A:A, station_waterbody_county!B:B)</f>
        <v>Shelburne Harbour</v>
      </c>
      <c r="D411" t="str">
        <f>_xlfn.XLOOKUP(Table3[[#This Row],[station]],station_waterbody_county!A:A, station_waterbody_county!C:C)</f>
        <v>Shelburne</v>
      </c>
      <c r="E411" s="6"/>
      <c r="F411" s="6" t="s">
        <v>310</v>
      </c>
      <c r="G411" s="4">
        <v>44784</v>
      </c>
      <c r="H411" s="5">
        <v>0.41944444444444445</v>
      </c>
      <c r="I411" s="4">
        <v>45462</v>
      </c>
      <c r="J411" s="5"/>
      <c r="K411" s="10">
        <v>43.629544000000003</v>
      </c>
      <c r="L411" s="10">
        <v>-65.261476000000002</v>
      </c>
      <c r="M411" s="10">
        <v>45.201911000000003</v>
      </c>
      <c r="N411" s="10">
        <v>-64.619034999999997</v>
      </c>
      <c r="O411" s="6" t="s">
        <v>389</v>
      </c>
      <c r="P411" s="6" t="s">
        <v>390</v>
      </c>
      <c r="Q411" s="6" t="s">
        <v>391</v>
      </c>
      <c r="R411" s="6" t="s">
        <v>392</v>
      </c>
      <c r="S411" s="6" t="s">
        <v>240</v>
      </c>
      <c r="T411" s="11">
        <v>671134</v>
      </c>
      <c r="U411" s="7">
        <v>5</v>
      </c>
      <c r="V411" s="6" t="s">
        <v>36</v>
      </c>
      <c r="W411" s="7">
        <v>21.9</v>
      </c>
      <c r="X411" s="6" t="s">
        <v>35</v>
      </c>
      <c r="Y411" s="7">
        <v>1.9</v>
      </c>
      <c r="Z411" s="7">
        <v>1.5</v>
      </c>
      <c r="AA411" s="6" t="s">
        <v>251</v>
      </c>
      <c r="AB411" s="6" t="s">
        <v>38</v>
      </c>
      <c r="AE411" s="6"/>
      <c r="AG411" s="6" t="s">
        <v>278</v>
      </c>
      <c r="AH411" s="7">
        <v>60</v>
      </c>
      <c r="AI411" s="6" t="s">
        <v>40</v>
      </c>
      <c r="AJ411" s="6" t="s">
        <v>238</v>
      </c>
      <c r="AK411" s="6" t="s">
        <v>35</v>
      </c>
      <c r="AL411" s="6" t="s">
        <v>393</v>
      </c>
      <c r="AM411" s="6" t="s">
        <v>394</v>
      </c>
      <c r="AN411" s="6" t="s">
        <v>388</v>
      </c>
    </row>
    <row r="412" spans="1:40" hidden="1" x14ac:dyDescent="0.25">
      <c r="A412" s="4">
        <v>45482</v>
      </c>
      <c r="B412" s="8" t="s">
        <v>177</v>
      </c>
      <c r="C412" t="str">
        <f>_xlfn.XLOOKUP(Table3[[#This Row],[station]],station_waterbody_county!A:A, station_waterbody_county!B:B)</f>
        <v>Shelburne Harbour</v>
      </c>
      <c r="D412" t="str">
        <f>_xlfn.XLOOKUP(Table3[[#This Row],[station]],station_waterbody_county!A:A, station_waterbody_county!C:C)</f>
        <v>Shelburne</v>
      </c>
      <c r="E412" s="6"/>
      <c r="F412" s="6" t="s">
        <v>310</v>
      </c>
      <c r="G412" s="4">
        <v>44784</v>
      </c>
      <c r="H412" s="5">
        <v>0.41944444444444445</v>
      </c>
      <c r="I412" s="4">
        <v>45462</v>
      </c>
      <c r="J412" s="5"/>
      <c r="K412" s="10">
        <v>43.629544000000003</v>
      </c>
      <c r="L412" s="10">
        <v>-65.261476000000002</v>
      </c>
      <c r="M412" s="10">
        <v>45.201911000000003</v>
      </c>
      <c r="N412" s="10">
        <v>-64.619034999999997</v>
      </c>
      <c r="O412" s="6" t="s">
        <v>389</v>
      </c>
      <c r="P412" s="6" t="s">
        <v>390</v>
      </c>
      <c r="Q412" s="6" t="s">
        <v>391</v>
      </c>
      <c r="R412" s="6" t="s">
        <v>392</v>
      </c>
      <c r="S412" s="6" t="s">
        <v>239</v>
      </c>
      <c r="T412" s="11">
        <v>20495219</v>
      </c>
      <c r="U412" s="7">
        <v>10</v>
      </c>
      <c r="V412" s="6" t="s">
        <v>36</v>
      </c>
      <c r="W412" s="7">
        <v>21.9</v>
      </c>
      <c r="X412" s="6" t="s">
        <v>35</v>
      </c>
      <c r="Y412" s="7">
        <v>1.9</v>
      </c>
      <c r="Z412" s="7">
        <v>1.5</v>
      </c>
      <c r="AA412" s="6" t="s">
        <v>251</v>
      </c>
      <c r="AB412" s="6" t="s">
        <v>38</v>
      </c>
      <c r="AE412" s="6"/>
      <c r="AG412" s="6" t="s">
        <v>278</v>
      </c>
      <c r="AH412" s="7">
        <v>60</v>
      </c>
      <c r="AI412" s="6" t="s">
        <v>40</v>
      </c>
      <c r="AJ412" s="6" t="s">
        <v>238</v>
      </c>
      <c r="AK412" s="6" t="s">
        <v>35</v>
      </c>
      <c r="AL412" s="6" t="s">
        <v>393</v>
      </c>
      <c r="AM412" s="6" t="s">
        <v>394</v>
      </c>
      <c r="AN412" s="6" t="s">
        <v>388</v>
      </c>
    </row>
    <row r="413" spans="1:40" x14ac:dyDescent="0.25">
      <c r="A413" s="4">
        <v>45944</v>
      </c>
      <c r="B413" s="6" t="s">
        <v>178</v>
      </c>
      <c r="C413" t="str">
        <f>_xlfn.XLOOKUP(Table3[[#This Row],[station]],station_waterbody_county!A:A, station_waterbody_county!B:B)</f>
        <v>Fishermans Harbour</v>
      </c>
      <c r="D413" t="str">
        <f>_xlfn.XLOOKUP(Table3[[#This Row],[station]],station_waterbody_county!A:A, station_waterbody_county!C:C)</f>
        <v>Guysborough</v>
      </c>
      <c r="E413" s="6"/>
      <c r="F413" s="6" t="s">
        <v>310</v>
      </c>
      <c r="G413" s="4">
        <v>45547</v>
      </c>
      <c r="H413" s="5">
        <v>0.79374999999999996</v>
      </c>
      <c r="I413" s="4">
        <v>45924</v>
      </c>
      <c r="J413" s="5">
        <v>0.84305555555555556</v>
      </c>
      <c r="K413" s="10"/>
      <c r="O413" s="6" t="s">
        <v>474</v>
      </c>
      <c r="P413" s="6" t="s">
        <v>475</v>
      </c>
      <c r="Q413" s="6" t="s">
        <v>1473</v>
      </c>
      <c r="R413" s="6" t="s">
        <v>1456</v>
      </c>
      <c r="S413" s="6" t="s">
        <v>239</v>
      </c>
      <c r="T413" s="11">
        <v>20495235</v>
      </c>
      <c r="U413" s="7">
        <v>2</v>
      </c>
      <c r="V413" s="6" t="s">
        <v>36</v>
      </c>
      <c r="W413" s="7">
        <v>20.7</v>
      </c>
      <c r="X413" s="6" t="s">
        <v>35</v>
      </c>
      <c r="Y413" s="7">
        <v>1.3</v>
      </c>
      <c r="Z413" s="7">
        <v>0.5</v>
      </c>
      <c r="AA413" s="6" t="s">
        <v>370</v>
      </c>
      <c r="AB413" s="6" t="s">
        <v>38</v>
      </c>
      <c r="AD413" s="6" t="s">
        <v>39</v>
      </c>
      <c r="AE413" s="6"/>
      <c r="AG413" s="6" t="s">
        <v>37</v>
      </c>
      <c r="AH413" s="7">
        <v>60</v>
      </c>
      <c r="AI413" s="6" t="s">
        <v>40</v>
      </c>
      <c r="AJ413" s="6" t="s">
        <v>238</v>
      </c>
      <c r="AL413" s="6" t="s">
        <v>41</v>
      </c>
      <c r="AM413" s="6" t="s">
        <v>41</v>
      </c>
    </row>
    <row r="414" spans="1:40" x14ac:dyDescent="0.25">
      <c r="A414" s="4">
        <v>45944</v>
      </c>
      <c r="B414" s="6" t="s">
        <v>178</v>
      </c>
      <c r="C414" t="str">
        <f>_xlfn.XLOOKUP(Table3[[#This Row],[station]],station_waterbody_county!A:A, station_waterbody_county!B:B)</f>
        <v>Fishermans Harbour</v>
      </c>
      <c r="D414" t="str">
        <f>_xlfn.XLOOKUP(Table3[[#This Row],[station]],station_waterbody_county!A:A, station_waterbody_county!C:C)</f>
        <v>Guysborough</v>
      </c>
      <c r="E414" s="6"/>
      <c r="F414" s="6" t="s">
        <v>310</v>
      </c>
      <c r="G414" s="4">
        <v>45547</v>
      </c>
      <c r="H414" s="5">
        <v>0.79374999999999996</v>
      </c>
      <c r="I414" s="4">
        <v>45924</v>
      </c>
      <c r="J414" s="5">
        <v>0.84305555555555556</v>
      </c>
      <c r="K414" s="10"/>
      <c r="O414" s="6" t="s">
        <v>474</v>
      </c>
      <c r="P414" s="6" t="s">
        <v>475</v>
      </c>
      <c r="Q414" s="6" t="s">
        <v>1473</v>
      </c>
      <c r="R414" s="6" t="s">
        <v>1456</v>
      </c>
      <c r="S414" s="6" t="s">
        <v>240</v>
      </c>
      <c r="T414" s="11">
        <v>671425</v>
      </c>
      <c r="U414" s="7">
        <v>5</v>
      </c>
      <c r="V414" s="6" t="s">
        <v>36</v>
      </c>
      <c r="W414" s="7">
        <v>20.7</v>
      </c>
      <c r="X414" s="6" t="s">
        <v>35</v>
      </c>
      <c r="Y414" s="7">
        <v>1.3</v>
      </c>
      <c r="Z414" s="7">
        <v>0.5</v>
      </c>
      <c r="AA414" s="6" t="s">
        <v>370</v>
      </c>
      <c r="AB414" s="6" t="s">
        <v>38</v>
      </c>
      <c r="AD414" s="6" t="s">
        <v>39</v>
      </c>
      <c r="AE414" s="6"/>
      <c r="AG414" s="6" t="s">
        <v>37</v>
      </c>
      <c r="AH414" s="7">
        <v>60</v>
      </c>
      <c r="AI414" s="6" t="s">
        <v>40</v>
      </c>
      <c r="AJ414" s="6" t="s">
        <v>238</v>
      </c>
      <c r="AL414" s="6" t="s">
        <v>41</v>
      </c>
      <c r="AM414" s="6" t="s">
        <v>41</v>
      </c>
    </row>
    <row r="415" spans="1:40" x14ac:dyDescent="0.25">
      <c r="A415" s="4">
        <v>45944</v>
      </c>
      <c r="B415" s="6" t="s">
        <v>178</v>
      </c>
      <c r="C415" t="str">
        <f>_xlfn.XLOOKUP(Table3[[#This Row],[station]],station_waterbody_county!A:A, station_waterbody_county!B:B)</f>
        <v>Fishermans Harbour</v>
      </c>
      <c r="D415" t="str">
        <f>_xlfn.XLOOKUP(Table3[[#This Row],[station]],station_waterbody_county!A:A, station_waterbody_county!C:C)</f>
        <v>Guysborough</v>
      </c>
      <c r="E415" s="6"/>
      <c r="F415" s="6" t="s">
        <v>310</v>
      </c>
      <c r="G415" s="4">
        <v>45547</v>
      </c>
      <c r="H415" s="5">
        <v>0.79374999999999996</v>
      </c>
      <c r="I415" s="4">
        <v>45924</v>
      </c>
      <c r="J415" s="5">
        <v>0.84305555555555556</v>
      </c>
      <c r="K415" s="10"/>
      <c r="O415" s="6" t="s">
        <v>474</v>
      </c>
      <c r="P415" s="6" t="s">
        <v>475</v>
      </c>
      <c r="Q415" s="6" t="s">
        <v>1473</v>
      </c>
      <c r="R415" s="6" t="s">
        <v>1456</v>
      </c>
      <c r="S415" s="6" t="s">
        <v>239</v>
      </c>
      <c r="T415" s="11">
        <v>20291446</v>
      </c>
      <c r="U415" s="7">
        <v>10</v>
      </c>
      <c r="V415" s="6" t="s">
        <v>36</v>
      </c>
      <c r="W415" s="7">
        <v>20.7</v>
      </c>
      <c r="X415" s="6" t="s">
        <v>35</v>
      </c>
      <c r="Y415" s="7">
        <v>1.3</v>
      </c>
      <c r="Z415" s="7">
        <v>0.5</v>
      </c>
      <c r="AA415" s="6" t="s">
        <v>370</v>
      </c>
      <c r="AB415" s="6" t="s">
        <v>38</v>
      </c>
      <c r="AD415" s="6" t="s">
        <v>39</v>
      </c>
      <c r="AE415" s="6"/>
      <c r="AG415" s="6" t="s">
        <v>37</v>
      </c>
      <c r="AH415" s="7">
        <v>60</v>
      </c>
      <c r="AI415" s="6" t="s">
        <v>40</v>
      </c>
      <c r="AJ415" s="6" t="s">
        <v>238</v>
      </c>
      <c r="AL415" s="6" t="s">
        <v>41</v>
      </c>
      <c r="AM415" s="6" t="s">
        <v>41</v>
      </c>
      <c r="AN415" s="6" t="s">
        <v>1447</v>
      </c>
    </row>
    <row r="416" spans="1:40" x14ac:dyDescent="0.25">
      <c r="A416" s="4">
        <v>45944</v>
      </c>
      <c r="B416" s="6" t="s">
        <v>178</v>
      </c>
      <c r="C416" t="str">
        <f>_xlfn.XLOOKUP(Table3[[#This Row],[station]],station_waterbody_county!A:A, station_waterbody_county!B:B)</f>
        <v>Fishermans Harbour</v>
      </c>
      <c r="D416" t="str">
        <f>_xlfn.XLOOKUP(Table3[[#This Row],[station]],station_waterbody_county!A:A, station_waterbody_county!C:C)</f>
        <v>Guysborough</v>
      </c>
      <c r="E416" s="6"/>
      <c r="F416" s="6" t="s">
        <v>310</v>
      </c>
      <c r="G416" s="4">
        <v>45547</v>
      </c>
      <c r="H416" s="5">
        <v>0.79374999999999996</v>
      </c>
      <c r="I416" s="4">
        <v>45924</v>
      </c>
      <c r="J416" s="5">
        <v>0.84305555555555556</v>
      </c>
      <c r="K416" s="10"/>
      <c r="O416" s="6" t="s">
        <v>474</v>
      </c>
      <c r="P416" s="6" t="s">
        <v>475</v>
      </c>
      <c r="Q416" s="6" t="s">
        <v>1473</v>
      </c>
      <c r="R416" s="6" t="s">
        <v>1456</v>
      </c>
      <c r="S416" s="6" t="s">
        <v>239</v>
      </c>
      <c r="T416" s="11">
        <v>21650153</v>
      </c>
      <c r="U416" s="7">
        <v>15</v>
      </c>
      <c r="V416" s="6" t="s">
        <v>36</v>
      </c>
      <c r="W416" s="7">
        <v>20.7</v>
      </c>
      <c r="X416" s="6" t="s">
        <v>35</v>
      </c>
      <c r="Y416" s="7">
        <v>1.3</v>
      </c>
      <c r="Z416" s="7">
        <v>0.5</v>
      </c>
      <c r="AA416" s="6" t="s">
        <v>370</v>
      </c>
      <c r="AB416" s="6" t="s">
        <v>38</v>
      </c>
      <c r="AD416" s="6" t="s">
        <v>39</v>
      </c>
      <c r="AE416" s="6"/>
      <c r="AG416" s="6" t="s">
        <v>37</v>
      </c>
      <c r="AH416" s="7">
        <v>60</v>
      </c>
      <c r="AI416" s="6" t="s">
        <v>40</v>
      </c>
      <c r="AJ416" s="6" t="s">
        <v>238</v>
      </c>
      <c r="AL416" s="6" t="s">
        <v>41</v>
      </c>
      <c r="AM416" s="6" t="s">
        <v>41</v>
      </c>
    </row>
    <row r="417" spans="1:40" x14ac:dyDescent="0.25">
      <c r="A417" s="4">
        <v>45944</v>
      </c>
      <c r="B417" s="6" t="s">
        <v>178</v>
      </c>
      <c r="C417" t="str">
        <f>_xlfn.XLOOKUP(Table3[[#This Row],[station]],station_waterbody_county!A:A, station_waterbody_county!B:B)</f>
        <v>Fishermans Harbour</v>
      </c>
      <c r="D417" t="str">
        <f>_xlfn.XLOOKUP(Table3[[#This Row],[station]],station_waterbody_county!A:A, station_waterbody_county!C:C)</f>
        <v>Guysborough</v>
      </c>
      <c r="E417" s="6"/>
      <c r="F417" s="6" t="s">
        <v>310</v>
      </c>
      <c r="G417" s="4">
        <v>45547</v>
      </c>
      <c r="H417" s="5">
        <v>0.79374999999999996</v>
      </c>
      <c r="I417" s="4">
        <v>45924</v>
      </c>
      <c r="J417" s="5">
        <v>0.84305555555555556</v>
      </c>
      <c r="K417" s="10"/>
      <c r="O417" s="6" t="s">
        <v>474</v>
      </c>
      <c r="P417" s="6" t="s">
        <v>475</v>
      </c>
      <c r="Q417" s="6" t="s">
        <v>1473</v>
      </c>
      <c r="R417" s="6" t="s">
        <v>1456</v>
      </c>
      <c r="S417" s="6" t="s">
        <v>239</v>
      </c>
      <c r="T417" s="11">
        <v>21927295</v>
      </c>
      <c r="U417" s="7">
        <v>20</v>
      </c>
      <c r="V417" s="6" t="s">
        <v>36</v>
      </c>
      <c r="W417" s="7">
        <v>20.7</v>
      </c>
      <c r="X417" s="6" t="s">
        <v>35</v>
      </c>
      <c r="Y417" s="7">
        <v>1.3</v>
      </c>
      <c r="Z417" s="7">
        <v>0.5</v>
      </c>
      <c r="AA417" s="6" t="s">
        <v>370</v>
      </c>
      <c r="AB417" s="6" t="s">
        <v>38</v>
      </c>
      <c r="AD417" s="6" t="s">
        <v>39</v>
      </c>
      <c r="AE417" s="6"/>
      <c r="AG417" s="6" t="s">
        <v>37</v>
      </c>
      <c r="AH417" s="7">
        <v>60</v>
      </c>
      <c r="AI417" s="6" t="s">
        <v>40</v>
      </c>
      <c r="AJ417" s="6" t="s">
        <v>238</v>
      </c>
      <c r="AL417" s="6" t="s">
        <v>41</v>
      </c>
      <c r="AM417" s="6" t="s">
        <v>41</v>
      </c>
    </row>
    <row r="418" spans="1:40" x14ac:dyDescent="0.25">
      <c r="A418" s="4">
        <v>45944</v>
      </c>
      <c r="B418" s="6" t="s">
        <v>178</v>
      </c>
      <c r="C418" t="str">
        <f>_xlfn.XLOOKUP(Table3[[#This Row],[station]],station_waterbody_county!A:A, station_waterbody_county!B:B)</f>
        <v>Fishermans Harbour</v>
      </c>
      <c r="D418" t="str">
        <f>_xlfn.XLOOKUP(Table3[[#This Row],[station]],station_waterbody_county!A:A, station_waterbody_county!C:C)</f>
        <v>Guysborough</v>
      </c>
      <c r="E418" s="6"/>
      <c r="F418" s="6" t="s">
        <v>310</v>
      </c>
      <c r="G418" s="4">
        <v>45547</v>
      </c>
      <c r="H418" s="5">
        <v>0.79374999999999996</v>
      </c>
      <c r="I418" s="4">
        <v>45924</v>
      </c>
      <c r="J418" s="5">
        <v>0.84305555555555556</v>
      </c>
      <c r="K418" s="10"/>
      <c r="O418" s="6" t="s">
        <v>474</v>
      </c>
      <c r="P418" s="6" t="s">
        <v>475</v>
      </c>
      <c r="Q418" s="6" t="s">
        <v>1473</v>
      </c>
      <c r="R418" s="6" t="s">
        <v>1456</v>
      </c>
      <c r="S418" s="6" t="s">
        <v>42</v>
      </c>
      <c r="T418" s="11">
        <v>549346</v>
      </c>
      <c r="U418" s="7">
        <v>20</v>
      </c>
      <c r="V418" s="6" t="s">
        <v>36</v>
      </c>
      <c r="W418" s="7">
        <v>20.7</v>
      </c>
      <c r="X418" s="6" t="s">
        <v>35</v>
      </c>
      <c r="Y418" s="7">
        <v>1.3</v>
      </c>
      <c r="Z418" s="7">
        <v>0.5</v>
      </c>
      <c r="AA418" s="6" t="s">
        <v>370</v>
      </c>
      <c r="AB418" s="6" t="s">
        <v>38</v>
      </c>
      <c r="AD418" s="6" t="s">
        <v>39</v>
      </c>
      <c r="AE418" s="6"/>
      <c r="AG418" s="6" t="s">
        <v>37</v>
      </c>
      <c r="AH418" s="7">
        <v>60</v>
      </c>
      <c r="AI418" s="6" t="s">
        <v>40</v>
      </c>
      <c r="AJ418" s="6" t="s">
        <v>238</v>
      </c>
      <c r="AL418" s="6" t="s">
        <v>41</v>
      </c>
      <c r="AM418" s="6" t="s">
        <v>41</v>
      </c>
    </row>
    <row r="419" spans="1:40" hidden="1" x14ac:dyDescent="0.25">
      <c r="A419" s="12">
        <v>45678</v>
      </c>
      <c r="B419" s="6" t="s">
        <v>178</v>
      </c>
      <c r="C419" t="str">
        <f>_xlfn.XLOOKUP(Table3[[#This Row],[station]],station_waterbody_county!A:A, station_waterbody_county!B:B)</f>
        <v>Fishermans Harbour</v>
      </c>
      <c r="D419" t="str">
        <f>_xlfn.XLOOKUP(Table3[[#This Row],[station]],station_waterbody_county!A:A, station_waterbody_county!C:C)</f>
        <v>Guysborough</v>
      </c>
      <c r="E419" s="6"/>
      <c r="F419" s="6" t="s">
        <v>310</v>
      </c>
      <c r="G419" s="12">
        <v>45218</v>
      </c>
      <c r="H419" s="5"/>
      <c r="I419" s="4">
        <v>45547</v>
      </c>
      <c r="J419" s="5">
        <v>0.77847222222222223</v>
      </c>
      <c r="K419" s="10">
        <v>45.101965</v>
      </c>
      <c r="L419" s="10">
        <v>-61.630029999999998</v>
      </c>
      <c r="O419" s="6"/>
      <c r="Q419" s="6" t="s">
        <v>472</v>
      </c>
      <c r="R419" s="6" t="s">
        <v>473</v>
      </c>
      <c r="S419" s="6" t="s">
        <v>239</v>
      </c>
      <c r="T419" s="11">
        <v>21414888</v>
      </c>
      <c r="U419" s="7">
        <v>2</v>
      </c>
      <c r="V419" s="6" t="s">
        <v>36</v>
      </c>
      <c r="W419" s="7">
        <v>22.2</v>
      </c>
      <c r="X419" s="6" t="s">
        <v>35</v>
      </c>
      <c r="Y419" s="7">
        <v>1.5</v>
      </c>
      <c r="Z419" s="7">
        <v>1.5</v>
      </c>
      <c r="AA419" s="6"/>
      <c r="AB419" s="6" t="s">
        <v>39</v>
      </c>
      <c r="AC419" s="6" t="s">
        <v>39</v>
      </c>
      <c r="AD419" s="6" t="s">
        <v>39</v>
      </c>
      <c r="AE419" s="6"/>
      <c r="AG419" s="6" t="s">
        <v>37</v>
      </c>
      <c r="AH419" s="7"/>
      <c r="AI419" s="6" t="s">
        <v>40</v>
      </c>
      <c r="AJ419" s="6" t="s">
        <v>238</v>
      </c>
      <c r="AL419" s="6" t="s">
        <v>268</v>
      </c>
      <c r="AM419" s="6" t="s">
        <v>41</v>
      </c>
    </row>
    <row r="420" spans="1:40" hidden="1" x14ac:dyDescent="0.25">
      <c r="A420" s="12">
        <v>45678</v>
      </c>
      <c r="B420" s="6" t="s">
        <v>178</v>
      </c>
      <c r="C420" t="str">
        <f>_xlfn.XLOOKUP(Table3[[#This Row],[station]],station_waterbody_county!A:A, station_waterbody_county!B:B)</f>
        <v>Fishermans Harbour</v>
      </c>
      <c r="D420" t="str">
        <f>_xlfn.XLOOKUP(Table3[[#This Row],[station]],station_waterbody_county!A:A, station_waterbody_county!C:C)</f>
        <v>Guysborough</v>
      </c>
      <c r="E420" s="6"/>
      <c r="F420" s="6" t="s">
        <v>310</v>
      </c>
      <c r="G420" s="12">
        <v>45218</v>
      </c>
      <c r="H420" s="5"/>
      <c r="I420" s="4">
        <v>45547</v>
      </c>
      <c r="J420" s="5">
        <v>0.77847222222222223</v>
      </c>
      <c r="K420" s="10">
        <v>45.101965</v>
      </c>
      <c r="L420" s="10">
        <v>-61.630029999999998</v>
      </c>
      <c r="O420" s="6"/>
      <c r="Q420" s="6" t="s">
        <v>472</v>
      </c>
      <c r="R420" s="6" t="s">
        <v>473</v>
      </c>
      <c r="S420" s="6" t="s">
        <v>240</v>
      </c>
      <c r="T420" s="11">
        <v>670356</v>
      </c>
      <c r="U420" s="7">
        <v>5</v>
      </c>
      <c r="V420" s="6" t="s">
        <v>36</v>
      </c>
      <c r="W420" s="7">
        <v>22.2</v>
      </c>
      <c r="X420" s="6" t="s">
        <v>35</v>
      </c>
      <c r="Y420" s="7">
        <v>1.5</v>
      </c>
      <c r="Z420" s="7">
        <v>1.5</v>
      </c>
      <c r="AA420" s="6"/>
      <c r="AB420" s="6" t="s">
        <v>39</v>
      </c>
      <c r="AC420" s="6" t="s">
        <v>39</v>
      </c>
      <c r="AD420" s="6" t="s">
        <v>39</v>
      </c>
      <c r="AE420" s="6"/>
      <c r="AG420" s="6" t="s">
        <v>37</v>
      </c>
      <c r="AH420" s="7"/>
      <c r="AI420" s="6" t="s">
        <v>40</v>
      </c>
      <c r="AJ420" s="6" t="s">
        <v>238</v>
      </c>
      <c r="AL420" s="6" t="s">
        <v>268</v>
      </c>
      <c r="AM420" s="6" t="s">
        <v>41</v>
      </c>
    </row>
    <row r="421" spans="1:40" hidden="1" x14ac:dyDescent="0.25">
      <c r="A421" s="12">
        <v>45678</v>
      </c>
      <c r="B421" s="6" t="s">
        <v>178</v>
      </c>
      <c r="C421" t="str">
        <f>_xlfn.XLOOKUP(Table3[[#This Row],[station]],station_waterbody_county!A:A, station_waterbody_county!B:B)</f>
        <v>Fishermans Harbour</v>
      </c>
      <c r="D421" t="str">
        <f>_xlfn.XLOOKUP(Table3[[#This Row],[station]],station_waterbody_county!A:A, station_waterbody_county!C:C)</f>
        <v>Guysborough</v>
      </c>
      <c r="E421" s="6"/>
      <c r="F421" s="6" t="s">
        <v>310</v>
      </c>
      <c r="G421" s="12">
        <v>45218</v>
      </c>
      <c r="H421" s="5"/>
      <c r="I421" s="4">
        <v>45547</v>
      </c>
      <c r="J421" s="5">
        <v>0.77847222222222223</v>
      </c>
      <c r="K421" s="10">
        <v>45.101965</v>
      </c>
      <c r="L421" s="10">
        <v>-61.630029999999998</v>
      </c>
      <c r="O421" s="6"/>
      <c r="Q421" s="6" t="s">
        <v>472</v>
      </c>
      <c r="R421" s="6" t="s">
        <v>473</v>
      </c>
      <c r="S421" s="6" t="s">
        <v>239</v>
      </c>
      <c r="T421" s="11">
        <v>20330412</v>
      </c>
      <c r="U421" s="7">
        <v>10</v>
      </c>
      <c r="V421" s="6" t="s">
        <v>36</v>
      </c>
      <c r="W421" s="7">
        <v>22.2</v>
      </c>
      <c r="X421" s="6" t="s">
        <v>35</v>
      </c>
      <c r="Y421" s="7">
        <v>1.5</v>
      </c>
      <c r="Z421" s="7">
        <v>1.5</v>
      </c>
      <c r="AA421" s="6"/>
      <c r="AB421" s="6" t="s">
        <v>39</v>
      </c>
      <c r="AC421" s="6" t="s">
        <v>39</v>
      </c>
      <c r="AD421" s="6" t="s">
        <v>39</v>
      </c>
      <c r="AE421" s="6"/>
      <c r="AG421" s="6" t="s">
        <v>37</v>
      </c>
      <c r="AH421" s="7"/>
      <c r="AI421" s="6" t="s">
        <v>40</v>
      </c>
      <c r="AJ421" s="6" t="s">
        <v>238</v>
      </c>
      <c r="AL421" s="6" t="s">
        <v>268</v>
      </c>
      <c r="AM421" s="6" t="s">
        <v>41</v>
      </c>
    </row>
    <row r="422" spans="1:40" hidden="1" x14ac:dyDescent="0.25">
      <c r="A422" s="12">
        <v>45678</v>
      </c>
      <c r="B422" s="6" t="s">
        <v>178</v>
      </c>
      <c r="C422" t="str">
        <f>_xlfn.XLOOKUP(Table3[[#This Row],[station]],station_waterbody_county!A:A, station_waterbody_county!B:B)</f>
        <v>Fishermans Harbour</v>
      </c>
      <c r="D422" t="str">
        <f>_xlfn.XLOOKUP(Table3[[#This Row],[station]],station_waterbody_county!A:A, station_waterbody_county!C:C)</f>
        <v>Guysborough</v>
      </c>
      <c r="E422" s="6"/>
      <c r="F422" s="6" t="s">
        <v>310</v>
      </c>
      <c r="G422" s="12">
        <v>45218</v>
      </c>
      <c r="H422" s="5"/>
      <c r="I422" s="4">
        <v>45547</v>
      </c>
      <c r="J422" s="5">
        <v>0.77847222222222223</v>
      </c>
      <c r="K422" s="10">
        <v>45.101965</v>
      </c>
      <c r="L422" s="10">
        <v>-61.630029999999998</v>
      </c>
      <c r="O422" s="6"/>
      <c r="Q422" s="6" t="s">
        <v>472</v>
      </c>
      <c r="R422" s="6" t="s">
        <v>473</v>
      </c>
      <c r="S422" s="6" t="s">
        <v>239</v>
      </c>
      <c r="T422" s="11">
        <v>20495248</v>
      </c>
      <c r="U422" s="7">
        <v>15</v>
      </c>
      <c r="V422" s="6" t="s">
        <v>36</v>
      </c>
      <c r="W422" s="7">
        <v>22.2</v>
      </c>
      <c r="X422" s="6" t="s">
        <v>35</v>
      </c>
      <c r="Y422" s="7">
        <v>1.5</v>
      </c>
      <c r="Z422" s="7">
        <v>1.5</v>
      </c>
      <c r="AA422" s="6"/>
      <c r="AB422" s="6" t="s">
        <v>39</v>
      </c>
      <c r="AC422" s="6" t="s">
        <v>39</v>
      </c>
      <c r="AD422" s="6" t="s">
        <v>39</v>
      </c>
      <c r="AE422" s="6"/>
      <c r="AG422" s="6" t="s">
        <v>37</v>
      </c>
      <c r="AH422" s="7"/>
      <c r="AI422" s="6" t="s">
        <v>40</v>
      </c>
      <c r="AJ422" s="6" t="s">
        <v>238</v>
      </c>
      <c r="AL422" s="6" t="s">
        <v>268</v>
      </c>
      <c r="AM422" s="6" t="s">
        <v>41</v>
      </c>
    </row>
    <row r="423" spans="1:40" hidden="1" x14ac:dyDescent="0.25">
      <c r="A423" s="12">
        <v>45678</v>
      </c>
      <c r="B423" s="6" t="s">
        <v>178</v>
      </c>
      <c r="C423" t="str">
        <f>_xlfn.XLOOKUP(Table3[[#This Row],[station]],station_waterbody_county!A:A, station_waterbody_county!B:B)</f>
        <v>Fishermans Harbour</v>
      </c>
      <c r="D423" t="str">
        <f>_xlfn.XLOOKUP(Table3[[#This Row],[station]],station_waterbody_county!A:A, station_waterbody_county!C:C)</f>
        <v>Guysborough</v>
      </c>
      <c r="E423" s="6"/>
      <c r="F423" s="6" t="s">
        <v>310</v>
      </c>
      <c r="G423" s="12">
        <v>45218</v>
      </c>
      <c r="H423" s="5"/>
      <c r="I423" s="4">
        <v>45547</v>
      </c>
      <c r="J423" s="5">
        <v>0.77847222222222223</v>
      </c>
      <c r="K423" s="10">
        <v>45.101965</v>
      </c>
      <c r="L423" s="10">
        <v>-61.630029999999998</v>
      </c>
      <c r="O423" s="6"/>
      <c r="Q423" s="6" t="s">
        <v>472</v>
      </c>
      <c r="R423" s="6" t="s">
        <v>473</v>
      </c>
      <c r="S423" s="6" t="s">
        <v>259</v>
      </c>
      <c r="T423" s="11">
        <v>600009</v>
      </c>
      <c r="U423" s="7">
        <v>20</v>
      </c>
      <c r="V423" s="6" t="s">
        <v>36</v>
      </c>
      <c r="W423" s="7">
        <v>22.2</v>
      </c>
      <c r="X423" s="6" t="s">
        <v>35</v>
      </c>
      <c r="Y423" s="7">
        <v>1.5</v>
      </c>
      <c r="Z423" s="7">
        <v>1.5</v>
      </c>
      <c r="AA423" s="6"/>
      <c r="AB423" s="6" t="s">
        <v>39</v>
      </c>
      <c r="AC423" s="6" t="s">
        <v>39</v>
      </c>
      <c r="AD423" s="6" t="s">
        <v>39</v>
      </c>
      <c r="AE423" s="6"/>
      <c r="AG423" s="6" t="s">
        <v>37</v>
      </c>
      <c r="AH423" s="7"/>
      <c r="AI423" s="6" t="s">
        <v>40</v>
      </c>
      <c r="AJ423" s="6" t="s">
        <v>238</v>
      </c>
      <c r="AL423" s="6" t="s">
        <v>268</v>
      </c>
      <c r="AM423" s="6" t="s">
        <v>41</v>
      </c>
    </row>
    <row r="424" spans="1:40" hidden="1" x14ac:dyDescent="0.25">
      <c r="A424" s="12">
        <v>45678</v>
      </c>
      <c r="B424" s="6" t="s">
        <v>180</v>
      </c>
      <c r="C424" t="str">
        <f>_xlfn.XLOOKUP(Table3[[#This Row],[station]],station_waterbody_county!A:A, station_waterbody_county!B:B)</f>
        <v>Liverpool Bay</v>
      </c>
      <c r="D424" t="str">
        <f>_xlfn.XLOOKUP(Table3[[#This Row],[station]],station_waterbody_county!A:A, station_waterbody_county!C:C)</f>
        <v>Queens</v>
      </c>
      <c r="E424" s="6"/>
      <c r="F424" s="6" t="s">
        <v>310</v>
      </c>
      <c r="G424" s="12">
        <v>45162</v>
      </c>
      <c r="H424" s="5"/>
      <c r="I424" s="4">
        <v>45495</v>
      </c>
      <c r="J424" s="5">
        <v>0.69444444444444442</v>
      </c>
      <c r="K424" s="10">
        <v>44.026114</v>
      </c>
      <c r="L424" s="10">
        <v>-64.665773000000002</v>
      </c>
      <c r="O424" s="6"/>
      <c r="Q424" s="6" t="s">
        <v>431</v>
      </c>
      <c r="R424" s="6" t="s">
        <v>432</v>
      </c>
      <c r="S424" s="6" t="s">
        <v>239</v>
      </c>
      <c r="T424" s="11">
        <v>21650146</v>
      </c>
      <c r="U424" s="7">
        <v>2</v>
      </c>
      <c r="V424" s="6" t="s">
        <v>36</v>
      </c>
      <c r="W424" s="7">
        <v>16</v>
      </c>
      <c r="X424" s="6" t="s">
        <v>35</v>
      </c>
      <c r="Y424" s="7">
        <v>1.4</v>
      </c>
      <c r="Z424" s="7">
        <v>1</v>
      </c>
      <c r="AA424" s="6" t="s">
        <v>243</v>
      </c>
      <c r="AB424" s="6" t="s">
        <v>321</v>
      </c>
      <c r="AC424" s="6" t="s">
        <v>39</v>
      </c>
      <c r="AD424" s="6" t="s">
        <v>39</v>
      </c>
      <c r="AE424" s="6"/>
      <c r="AG424" s="6" t="s">
        <v>37</v>
      </c>
      <c r="AH424" s="7"/>
      <c r="AI424" s="6" t="s">
        <v>40</v>
      </c>
      <c r="AJ424" s="6" t="s">
        <v>238</v>
      </c>
      <c r="AL424" s="6" t="s">
        <v>280</v>
      </c>
      <c r="AM424" s="6" t="s">
        <v>41</v>
      </c>
    </row>
    <row r="425" spans="1:40" hidden="1" x14ac:dyDescent="0.25">
      <c r="A425" s="12">
        <v>45678</v>
      </c>
      <c r="B425" s="6" t="s">
        <v>180</v>
      </c>
      <c r="C425" t="str">
        <f>_xlfn.XLOOKUP(Table3[[#This Row],[station]],station_waterbody_county!A:A, station_waterbody_county!B:B)</f>
        <v>Liverpool Bay</v>
      </c>
      <c r="D425" t="str">
        <f>_xlfn.XLOOKUP(Table3[[#This Row],[station]],station_waterbody_county!A:A, station_waterbody_county!C:C)</f>
        <v>Queens</v>
      </c>
      <c r="E425" s="6"/>
      <c r="F425" s="6" t="s">
        <v>310</v>
      </c>
      <c r="G425" s="12">
        <v>45162</v>
      </c>
      <c r="H425" s="5"/>
      <c r="I425" s="4">
        <v>45495</v>
      </c>
      <c r="J425" s="5">
        <v>0.69444444444444442</v>
      </c>
      <c r="K425" s="10">
        <v>44.026114</v>
      </c>
      <c r="L425" s="10">
        <v>-64.665773000000002</v>
      </c>
      <c r="O425" s="6"/>
      <c r="Q425" s="6" t="s">
        <v>431</v>
      </c>
      <c r="R425" s="6" t="s">
        <v>432</v>
      </c>
      <c r="S425" s="6" t="s">
        <v>240</v>
      </c>
      <c r="T425" s="11">
        <v>670373</v>
      </c>
      <c r="U425" s="7">
        <v>5</v>
      </c>
      <c r="V425" s="6" t="s">
        <v>36</v>
      </c>
      <c r="W425" s="7">
        <v>16</v>
      </c>
      <c r="X425" s="6" t="s">
        <v>35</v>
      </c>
      <c r="Y425" s="7">
        <v>1.4</v>
      </c>
      <c r="Z425" s="7">
        <v>1</v>
      </c>
      <c r="AA425" s="6" t="s">
        <v>243</v>
      </c>
      <c r="AB425" s="6" t="s">
        <v>321</v>
      </c>
      <c r="AC425" s="6" t="s">
        <v>39</v>
      </c>
      <c r="AD425" s="6" t="s">
        <v>39</v>
      </c>
      <c r="AE425" s="6"/>
      <c r="AG425" s="6" t="s">
        <v>37</v>
      </c>
      <c r="AH425" s="7"/>
      <c r="AI425" s="6" t="s">
        <v>40</v>
      </c>
      <c r="AJ425" s="6" t="s">
        <v>238</v>
      </c>
      <c r="AL425" s="6" t="s">
        <v>280</v>
      </c>
      <c r="AM425" s="6" t="s">
        <v>41</v>
      </c>
    </row>
    <row r="426" spans="1:40" hidden="1" x14ac:dyDescent="0.25">
      <c r="A426" s="12">
        <v>45678</v>
      </c>
      <c r="B426" s="6" t="s">
        <v>180</v>
      </c>
      <c r="C426" t="str">
        <f>_xlfn.XLOOKUP(Table3[[#This Row],[station]],station_waterbody_county!A:A, station_waterbody_county!B:B)</f>
        <v>Liverpool Bay</v>
      </c>
      <c r="D426" t="str">
        <f>_xlfn.XLOOKUP(Table3[[#This Row],[station]],station_waterbody_county!A:A, station_waterbody_county!C:C)</f>
        <v>Queens</v>
      </c>
      <c r="E426" s="6"/>
      <c r="F426" s="6" t="s">
        <v>310</v>
      </c>
      <c r="G426" s="12">
        <v>45162</v>
      </c>
      <c r="H426" s="5"/>
      <c r="I426" s="4">
        <v>45495</v>
      </c>
      <c r="J426" s="5">
        <v>0.69444444444444442</v>
      </c>
      <c r="K426" s="10">
        <v>44.026114</v>
      </c>
      <c r="L426" s="10">
        <v>-64.665773000000002</v>
      </c>
      <c r="O426" s="6"/>
      <c r="Q426" s="6" t="s">
        <v>431</v>
      </c>
      <c r="R426" s="6" t="s">
        <v>432</v>
      </c>
      <c r="S426" s="6" t="s">
        <v>239</v>
      </c>
      <c r="T426" s="11">
        <v>21414864</v>
      </c>
      <c r="U426" s="7">
        <v>10</v>
      </c>
      <c r="V426" s="6" t="s">
        <v>36</v>
      </c>
      <c r="W426" s="7">
        <v>16</v>
      </c>
      <c r="X426" s="6" t="s">
        <v>35</v>
      </c>
      <c r="Y426" s="7">
        <v>1.4</v>
      </c>
      <c r="Z426" s="7">
        <v>1</v>
      </c>
      <c r="AA426" s="6" t="s">
        <v>243</v>
      </c>
      <c r="AB426" s="6" t="s">
        <v>321</v>
      </c>
      <c r="AC426" s="6" t="s">
        <v>39</v>
      </c>
      <c r="AD426" s="6" t="s">
        <v>39</v>
      </c>
      <c r="AE426" s="6"/>
      <c r="AG426" s="6" t="s">
        <v>37</v>
      </c>
      <c r="AH426" s="7"/>
      <c r="AI426" s="6" t="s">
        <v>40</v>
      </c>
      <c r="AJ426" s="6" t="s">
        <v>238</v>
      </c>
      <c r="AL426" s="6" t="s">
        <v>280</v>
      </c>
      <c r="AM426" s="6" t="s">
        <v>41</v>
      </c>
    </row>
    <row r="427" spans="1:40" hidden="1" x14ac:dyDescent="0.25">
      <c r="A427" s="12">
        <v>45678</v>
      </c>
      <c r="B427" s="6" t="s">
        <v>180</v>
      </c>
      <c r="C427" t="str">
        <f>_xlfn.XLOOKUP(Table3[[#This Row],[station]],station_waterbody_county!A:A, station_waterbody_county!B:B)</f>
        <v>Liverpool Bay</v>
      </c>
      <c r="D427" t="str">
        <f>_xlfn.XLOOKUP(Table3[[#This Row],[station]],station_waterbody_county!A:A, station_waterbody_county!C:C)</f>
        <v>Queens</v>
      </c>
      <c r="E427" s="6"/>
      <c r="F427" s="6" t="s">
        <v>310</v>
      </c>
      <c r="G427" s="12">
        <v>45162</v>
      </c>
      <c r="H427" s="5"/>
      <c r="I427" s="4">
        <v>45495</v>
      </c>
      <c r="J427" s="5">
        <v>0.69444444444444442</v>
      </c>
      <c r="K427" s="10">
        <v>44.026114</v>
      </c>
      <c r="L427" s="10">
        <v>-64.665773000000002</v>
      </c>
      <c r="O427" s="6"/>
      <c r="Q427" s="6" t="s">
        <v>431</v>
      </c>
      <c r="R427" s="6" t="s">
        <v>432</v>
      </c>
      <c r="S427" s="6" t="s">
        <v>42</v>
      </c>
      <c r="T427" s="11">
        <v>548555</v>
      </c>
      <c r="U427" s="7">
        <v>15</v>
      </c>
      <c r="V427" s="6" t="s">
        <v>36</v>
      </c>
      <c r="W427" s="7">
        <v>16</v>
      </c>
      <c r="X427" s="6" t="s">
        <v>35</v>
      </c>
      <c r="Y427" s="7">
        <v>1.4</v>
      </c>
      <c r="Z427" s="7">
        <v>1</v>
      </c>
      <c r="AA427" s="6" t="s">
        <v>243</v>
      </c>
      <c r="AB427" s="6" t="s">
        <v>321</v>
      </c>
      <c r="AC427" s="6" t="s">
        <v>39</v>
      </c>
      <c r="AD427" s="6" t="s">
        <v>39</v>
      </c>
      <c r="AE427" s="6"/>
      <c r="AG427" s="6" t="s">
        <v>37</v>
      </c>
      <c r="AH427" s="7"/>
      <c r="AI427" s="6" t="s">
        <v>40</v>
      </c>
      <c r="AJ427" s="6" t="s">
        <v>238</v>
      </c>
      <c r="AL427" s="6" t="s">
        <v>280</v>
      </c>
      <c r="AM427" s="6" t="s">
        <v>41</v>
      </c>
    </row>
    <row r="428" spans="1:40" hidden="1" x14ac:dyDescent="0.25">
      <c r="A428" s="12">
        <v>45678</v>
      </c>
      <c r="B428" s="6" t="s">
        <v>180</v>
      </c>
      <c r="C428" t="str">
        <f>_xlfn.XLOOKUP(Table3[[#This Row],[station]],station_waterbody_county!A:A, station_waterbody_county!B:B)</f>
        <v>Liverpool Bay</v>
      </c>
      <c r="D428" t="str">
        <f>_xlfn.XLOOKUP(Table3[[#This Row],[station]],station_waterbody_county!A:A, station_waterbody_county!C:C)</f>
        <v>Queens</v>
      </c>
      <c r="E428" s="6"/>
      <c r="F428" s="6" t="s">
        <v>310</v>
      </c>
      <c r="G428" s="12">
        <v>45162</v>
      </c>
      <c r="H428" s="5"/>
      <c r="I428" s="4">
        <v>45495</v>
      </c>
      <c r="J428" s="5">
        <v>0.69444444444444442</v>
      </c>
      <c r="K428" s="10">
        <v>44.026114</v>
      </c>
      <c r="L428" s="10">
        <v>-64.665773000000002</v>
      </c>
      <c r="O428" s="6"/>
      <c r="Q428" s="6" t="s">
        <v>431</v>
      </c>
      <c r="R428" s="6" t="s">
        <v>432</v>
      </c>
      <c r="S428" s="6" t="s">
        <v>239</v>
      </c>
      <c r="T428" s="11">
        <v>21650153</v>
      </c>
      <c r="U428" s="7">
        <v>16</v>
      </c>
      <c r="V428" s="6" t="s">
        <v>36</v>
      </c>
      <c r="W428" s="7">
        <v>16</v>
      </c>
      <c r="X428" s="6" t="s">
        <v>35</v>
      </c>
      <c r="Y428" s="7">
        <v>1.4</v>
      </c>
      <c r="Z428" s="7">
        <v>1</v>
      </c>
      <c r="AA428" s="6" t="s">
        <v>243</v>
      </c>
      <c r="AB428" s="6" t="s">
        <v>321</v>
      </c>
      <c r="AC428" s="6" t="s">
        <v>39</v>
      </c>
      <c r="AD428" s="6" t="s">
        <v>39</v>
      </c>
      <c r="AE428" s="6"/>
      <c r="AG428" s="6" t="s">
        <v>37</v>
      </c>
      <c r="AH428" s="7"/>
      <c r="AI428" s="6" t="s">
        <v>40</v>
      </c>
      <c r="AJ428" s="6" t="s">
        <v>238</v>
      </c>
      <c r="AL428" s="6" t="s">
        <v>280</v>
      </c>
      <c r="AM428" s="6" t="s">
        <v>41</v>
      </c>
      <c r="AN428" s="6" t="s">
        <v>616</v>
      </c>
    </row>
    <row r="429" spans="1:40" x14ac:dyDescent="0.25">
      <c r="A429" s="4">
        <v>45856</v>
      </c>
      <c r="B429" s="6" t="s">
        <v>180</v>
      </c>
      <c r="C429" t="str">
        <f>_xlfn.XLOOKUP(Table3[[#This Row],[station]],station_waterbody_county!A:A, station_waterbody_county!B:B)</f>
        <v>Liverpool Bay</v>
      </c>
      <c r="D429" t="str">
        <f>_xlfn.XLOOKUP(Table3[[#This Row],[station]],station_waterbody_county!A:A, station_waterbody_county!C:C)</f>
        <v>Queens</v>
      </c>
      <c r="E429" s="6"/>
      <c r="F429" s="6" t="s">
        <v>310</v>
      </c>
      <c r="G429" s="4">
        <v>45495</v>
      </c>
      <c r="H429" s="5">
        <v>0.71319444444444446</v>
      </c>
      <c r="I429" s="4">
        <v>45848</v>
      </c>
      <c r="J429" s="5">
        <v>0.55833333333333335</v>
      </c>
      <c r="K429" s="10"/>
      <c r="O429" s="6" t="s">
        <v>433</v>
      </c>
      <c r="P429" s="6" t="s">
        <v>434</v>
      </c>
      <c r="Q429" s="6" t="s">
        <v>1350</v>
      </c>
      <c r="R429" s="6" t="s">
        <v>1351</v>
      </c>
      <c r="S429" s="6" t="s">
        <v>239</v>
      </c>
      <c r="T429" s="11">
        <v>20495236</v>
      </c>
      <c r="U429" s="7">
        <v>2</v>
      </c>
      <c r="V429" s="6" t="s">
        <v>36</v>
      </c>
      <c r="W429" s="7">
        <v>17.100000000000001</v>
      </c>
      <c r="X429" s="6" t="s">
        <v>35</v>
      </c>
      <c r="Y429" s="7">
        <v>1.1000000000000001</v>
      </c>
      <c r="Z429" s="7">
        <v>0.5</v>
      </c>
      <c r="AA429" s="6" t="s">
        <v>251</v>
      </c>
      <c r="AD429" s="6" t="s">
        <v>39</v>
      </c>
      <c r="AE429" s="6"/>
      <c r="AG429" s="6" t="s">
        <v>37</v>
      </c>
      <c r="AH429" s="7">
        <v>60</v>
      </c>
      <c r="AI429" s="6" t="s">
        <v>40</v>
      </c>
      <c r="AJ429" s="6" t="s">
        <v>238</v>
      </c>
      <c r="AL429" s="6" t="s">
        <v>41</v>
      </c>
      <c r="AM429" s="6" t="s">
        <v>41</v>
      </c>
    </row>
    <row r="430" spans="1:40" x14ac:dyDescent="0.25">
      <c r="A430" s="4">
        <v>45856</v>
      </c>
      <c r="B430" s="6" t="s">
        <v>180</v>
      </c>
      <c r="C430" t="str">
        <f>_xlfn.XLOOKUP(Table3[[#This Row],[station]],station_waterbody_county!A:A, station_waterbody_county!B:B)</f>
        <v>Liverpool Bay</v>
      </c>
      <c r="D430" t="str">
        <f>_xlfn.XLOOKUP(Table3[[#This Row],[station]],station_waterbody_county!A:A, station_waterbody_county!C:C)</f>
        <v>Queens</v>
      </c>
      <c r="E430" s="6"/>
      <c r="F430" s="6" t="s">
        <v>310</v>
      </c>
      <c r="G430" s="4">
        <v>45495</v>
      </c>
      <c r="H430" s="5">
        <v>0.71319444444444446</v>
      </c>
      <c r="I430" s="4">
        <v>45848</v>
      </c>
      <c r="J430" s="5">
        <v>0.55833333333333335</v>
      </c>
      <c r="K430" s="10"/>
      <c r="O430" s="6" t="s">
        <v>433</v>
      </c>
      <c r="P430" s="6" t="s">
        <v>434</v>
      </c>
      <c r="Q430" s="6" t="s">
        <v>1350</v>
      </c>
      <c r="R430" s="6" t="s">
        <v>1351</v>
      </c>
      <c r="S430" s="6" t="s">
        <v>240</v>
      </c>
      <c r="T430" s="11">
        <v>671019</v>
      </c>
      <c r="U430" s="7">
        <v>5</v>
      </c>
      <c r="V430" s="6" t="s">
        <v>36</v>
      </c>
      <c r="W430" s="7">
        <v>17.100000000000001</v>
      </c>
      <c r="X430" s="6" t="s">
        <v>35</v>
      </c>
      <c r="Y430" s="7">
        <v>1.1000000000000001</v>
      </c>
      <c r="Z430" s="7">
        <v>0.5</v>
      </c>
      <c r="AA430" s="6" t="s">
        <v>251</v>
      </c>
      <c r="AD430" s="6" t="s">
        <v>39</v>
      </c>
      <c r="AE430" s="6"/>
      <c r="AG430" s="6" t="s">
        <v>37</v>
      </c>
      <c r="AH430" s="7">
        <v>60</v>
      </c>
      <c r="AI430" s="6" t="s">
        <v>40</v>
      </c>
      <c r="AJ430" s="6" t="s">
        <v>238</v>
      </c>
      <c r="AL430" s="6" t="s">
        <v>41</v>
      </c>
      <c r="AM430" s="6" t="s">
        <v>41</v>
      </c>
    </row>
    <row r="431" spans="1:40" x14ac:dyDescent="0.25">
      <c r="A431" s="4">
        <v>45856</v>
      </c>
      <c r="B431" s="6" t="s">
        <v>180</v>
      </c>
      <c r="C431" t="str">
        <f>_xlfn.XLOOKUP(Table3[[#This Row],[station]],station_waterbody_county!A:A, station_waterbody_county!B:B)</f>
        <v>Liverpool Bay</v>
      </c>
      <c r="D431" t="str">
        <f>_xlfn.XLOOKUP(Table3[[#This Row],[station]],station_waterbody_county!A:A, station_waterbody_county!C:C)</f>
        <v>Queens</v>
      </c>
      <c r="E431" s="6"/>
      <c r="F431" s="6" t="s">
        <v>310</v>
      </c>
      <c r="G431" s="4">
        <v>45495</v>
      </c>
      <c r="H431" s="5">
        <v>0.71319444444444446</v>
      </c>
      <c r="I431" s="4">
        <v>45848</v>
      </c>
      <c r="J431" s="5">
        <v>0.55833333333333335</v>
      </c>
      <c r="K431" s="10"/>
      <c r="O431" s="6" t="s">
        <v>433</v>
      </c>
      <c r="P431" s="6" t="s">
        <v>434</v>
      </c>
      <c r="Q431" s="6" t="s">
        <v>1350</v>
      </c>
      <c r="R431" s="6" t="s">
        <v>1351</v>
      </c>
      <c r="S431" s="6" t="s">
        <v>239</v>
      </c>
      <c r="T431" s="11">
        <v>21152426</v>
      </c>
      <c r="U431" s="7">
        <v>10</v>
      </c>
      <c r="V431" s="6" t="s">
        <v>36</v>
      </c>
      <c r="W431" s="7">
        <v>17.100000000000001</v>
      </c>
      <c r="X431" s="6" t="s">
        <v>35</v>
      </c>
      <c r="Y431" s="7">
        <v>1.1000000000000001</v>
      </c>
      <c r="Z431" s="7">
        <v>0.5</v>
      </c>
      <c r="AA431" s="6" t="s">
        <v>251</v>
      </c>
      <c r="AD431" s="6" t="s">
        <v>39</v>
      </c>
      <c r="AE431" s="6"/>
      <c r="AG431" s="6" t="s">
        <v>37</v>
      </c>
      <c r="AH431" s="7">
        <v>60</v>
      </c>
      <c r="AI431" s="6" t="s">
        <v>40</v>
      </c>
      <c r="AJ431" s="6" t="s">
        <v>238</v>
      </c>
      <c r="AL431" s="6" t="s">
        <v>41</v>
      </c>
      <c r="AM431" s="6" t="s">
        <v>41</v>
      </c>
    </row>
    <row r="432" spans="1:40" x14ac:dyDescent="0.25">
      <c r="A432" s="4">
        <v>45856</v>
      </c>
      <c r="B432" s="6" t="s">
        <v>180</v>
      </c>
      <c r="C432" t="str">
        <f>_xlfn.XLOOKUP(Table3[[#This Row],[station]],station_waterbody_county!A:A, station_waterbody_county!B:B)</f>
        <v>Liverpool Bay</v>
      </c>
      <c r="D432" t="str">
        <f>_xlfn.XLOOKUP(Table3[[#This Row],[station]],station_waterbody_county!A:A, station_waterbody_county!C:C)</f>
        <v>Queens</v>
      </c>
      <c r="E432" s="6"/>
      <c r="F432" s="6" t="s">
        <v>310</v>
      </c>
      <c r="G432" s="4">
        <v>45495</v>
      </c>
      <c r="H432" s="5">
        <v>0.71319444444444446</v>
      </c>
      <c r="I432" s="4">
        <v>45848</v>
      </c>
      <c r="J432" s="5">
        <v>0.55833333333333335</v>
      </c>
      <c r="K432" s="10"/>
      <c r="O432" s="6" t="s">
        <v>433</v>
      </c>
      <c r="P432" s="6" t="s">
        <v>434</v>
      </c>
      <c r="Q432" s="6" t="s">
        <v>1350</v>
      </c>
      <c r="R432" s="6" t="s">
        <v>1351</v>
      </c>
      <c r="S432" s="6" t="s">
        <v>42</v>
      </c>
      <c r="T432" s="11">
        <v>548570</v>
      </c>
      <c r="U432" s="7">
        <v>15</v>
      </c>
      <c r="V432" s="6" t="s">
        <v>36</v>
      </c>
      <c r="W432" s="7">
        <v>17.100000000000001</v>
      </c>
      <c r="X432" s="6" t="s">
        <v>35</v>
      </c>
      <c r="Y432" s="7">
        <v>1.1000000000000001</v>
      </c>
      <c r="Z432" s="7">
        <v>0.5</v>
      </c>
      <c r="AA432" s="6" t="s">
        <v>251</v>
      </c>
      <c r="AD432" s="6" t="s">
        <v>39</v>
      </c>
      <c r="AE432" s="6"/>
      <c r="AG432" s="6" t="s">
        <v>37</v>
      </c>
      <c r="AH432" s="7">
        <v>60</v>
      </c>
      <c r="AI432" s="6" t="s">
        <v>40</v>
      </c>
      <c r="AJ432" s="6" t="s">
        <v>238</v>
      </c>
      <c r="AL432" s="6" t="s">
        <v>41</v>
      </c>
      <c r="AM432" s="6" t="s">
        <v>41</v>
      </c>
    </row>
    <row r="433" spans="1:39" hidden="1" x14ac:dyDescent="0.25">
      <c r="A433" s="4">
        <v>45856</v>
      </c>
      <c r="B433" s="6" t="s">
        <v>180</v>
      </c>
      <c r="C433" s="6" t="str">
        <f>_xlfn.XLOOKUP(Table3[[#This Row],[station]],station_waterbody_county!A:A, station_waterbody_county!B:B)</f>
        <v>Liverpool Bay</v>
      </c>
      <c r="D433" s="3" t="str">
        <f>_xlfn.XLOOKUP(Table3[[#This Row],[station]],station_waterbody_county!A:A, station_waterbody_county!C:C)</f>
        <v>Queens</v>
      </c>
      <c r="E433" s="6"/>
      <c r="F433" s="6" t="s">
        <v>34</v>
      </c>
      <c r="G433" s="12">
        <v>45848</v>
      </c>
      <c r="H433" s="5">
        <v>0.56944444444444442</v>
      </c>
      <c r="I433" s="4"/>
      <c r="J433" s="5"/>
      <c r="K433" s="10"/>
      <c r="O433" s="6" t="s">
        <v>1350</v>
      </c>
      <c r="P433" s="6" t="s">
        <v>432</v>
      </c>
      <c r="S433" s="6" t="s">
        <v>239</v>
      </c>
      <c r="T433" s="11">
        <v>20308044</v>
      </c>
      <c r="U433" s="7">
        <v>2</v>
      </c>
      <c r="V433" s="6" t="s">
        <v>36</v>
      </c>
      <c r="W433" s="7">
        <v>16.399999999999999</v>
      </c>
      <c r="X433" s="6" t="s">
        <v>35</v>
      </c>
      <c r="Y433" s="7">
        <v>1.25</v>
      </c>
      <c r="Z433" s="7">
        <v>1</v>
      </c>
      <c r="AA433" s="6" t="s">
        <v>251</v>
      </c>
      <c r="AD433" s="6" t="s">
        <v>39</v>
      </c>
      <c r="AE433" s="6"/>
      <c r="AG433" s="6" t="s">
        <v>37</v>
      </c>
      <c r="AH433" s="7">
        <v>60</v>
      </c>
      <c r="AI433" s="6" t="s">
        <v>40</v>
      </c>
      <c r="AJ433" s="6" t="s">
        <v>238</v>
      </c>
      <c r="AK433" s="6" t="s">
        <v>241</v>
      </c>
      <c r="AL433" s="6" t="s">
        <v>41</v>
      </c>
    </row>
    <row r="434" spans="1:39" hidden="1" x14ac:dyDescent="0.25">
      <c r="A434" s="4">
        <v>45856</v>
      </c>
      <c r="B434" s="6" t="s">
        <v>180</v>
      </c>
      <c r="C434" s="6" t="str">
        <f>_xlfn.XLOOKUP(Table3[[#This Row],[station]],station_waterbody_county!A:A, station_waterbody_county!B:B)</f>
        <v>Liverpool Bay</v>
      </c>
      <c r="D434" s="3" t="str">
        <f>_xlfn.XLOOKUP(Table3[[#This Row],[station]],station_waterbody_county!A:A, station_waterbody_county!C:C)</f>
        <v>Queens</v>
      </c>
      <c r="E434" s="6"/>
      <c r="F434" s="6" t="s">
        <v>34</v>
      </c>
      <c r="G434" s="12">
        <v>45848</v>
      </c>
      <c r="H434" s="5">
        <v>0.56944444444444442</v>
      </c>
      <c r="I434" s="4"/>
      <c r="J434" s="5"/>
      <c r="K434" s="10"/>
      <c r="O434" s="6" t="s">
        <v>1350</v>
      </c>
      <c r="P434" s="6" t="s">
        <v>432</v>
      </c>
      <c r="S434" s="6" t="s">
        <v>240</v>
      </c>
      <c r="T434" s="11">
        <v>671045</v>
      </c>
      <c r="U434" s="7">
        <v>5</v>
      </c>
      <c r="V434" s="6" t="s">
        <v>36</v>
      </c>
      <c r="W434" s="7">
        <v>16.399999999999999</v>
      </c>
      <c r="X434" s="6" t="s">
        <v>35</v>
      </c>
      <c r="Y434" s="7">
        <v>1.25</v>
      </c>
      <c r="Z434" s="7">
        <v>1</v>
      </c>
      <c r="AA434" s="6" t="s">
        <v>251</v>
      </c>
      <c r="AD434" s="6" t="s">
        <v>39</v>
      </c>
      <c r="AE434" s="6"/>
      <c r="AG434" s="6" t="s">
        <v>37</v>
      </c>
      <c r="AH434" s="7">
        <v>60</v>
      </c>
      <c r="AI434" s="6" t="s">
        <v>40</v>
      </c>
      <c r="AJ434" s="6" t="s">
        <v>238</v>
      </c>
      <c r="AK434" s="6" t="s">
        <v>241</v>
      </c>
      <c r="AL434" s="6" t="s">
        <v>41</v>
      </c>
    </row>
    <row r="435" spans="1:39" hidden="1" x14ac:dyDescent="0.25">
      <c r="A435" s="4">
        <v>45856</v>
      </c>
      <c r="B435" s="6" t="s">
        <v>180</v>
      </c>
      <c r="C435" s="6" t="str">
        <f>_xlfn.XLOOKUP(Table3[[#This Row],[station]],station_waterbody_county!A:A, station_waterbody_county!B:B)</f>
        <v>Liverpool Bay</v>
      </c>
      <c r="D435" s="3" t="str">
        <f>_xlfn.XLOOKUP(Table3[[#This Row],[station]],station_waterbody_county!A:A, station_waterbody_county!C:C)</f>
        <v>Queens</v>
      </c>
      <c r="E435" s="6"/>
      <c r="F435" s="6" t="s">
        <v>34</v>
      </c>
      <c r="G435" s="12">
        <v>45848</v>
      </c>
      <c r="H435" s="5">
        <v>0.56944444444444442</v>
      </c>
      <c r="I435" s="4"/>
      <c r="J435" s="5"/>
      <c r="K435" s="10"/>
      <c r="O435" s="6" t="s">
        <v>1350</v>
      </c>
      <c r="P435" s="6" t="s">
        <v>432</v>
      </c>
      <c r="S435" s="6" t="s">
        <v>239</v>
      </c>
      <c r="T435" s="11">
        <v>22311507</v>
      </c>
      <c r="U435" s="7">
        <v>10</v>
      </c>
      <c r="V435" s="6" t="s">
        <v>36</v>
      </c>
      <c r="W435" s="7">
        <v>16.399999999999999</v>
      </c>
      <c r="X435" s="6" t="s">
        <v>35</v>
      </c>
      <c r="Y435" s="7">
        <v>1.25</v>
      </c>
      <c r="Z435" s="7">
        <v>1</v>
      </c>
      <c r="AA435" s="6" t="s">
        <v>251</v>
      </c>
      <c r="AD435" s="6" t="s">
        <v>39</v>
      </c>
      <c r="AE435" s="6"/>
      <c r="AG435" s="6" t="s">
        <v>37</v>
      </c>
      <c r="AH435" s="7">
        <v>60</v>
      </c>
      <c r="AI435" s="6" t="s">
        <v>40</v>
      </c>
      <c r="AJ435" s="6" t="s">
        <v>238</v>
      </c>
      <c r="AK435" s="6" t="s">
        <v>241</v>
      </c>
      <c r="AL435" s="6" t="s">
        <v>41</v>
      </c>
    </row>
    <row r="436" spans="1:39" hidden="1" x14ac:dyDescent="0.25">
      <c r="A436" s="4">
        <v>45856</v>
      </c>
      <c r="B436" s="6" t="s">
        <v>180</v>
      </c>
      <c r="C436" s="6" t="str">
        <f>_xlfn.XLOOKUP(Table3[[#This Row],[station]],station_waterbody_county!A:A, station_waterbody_county!B:B)</f>
        <v>Liverpool Bay</v>
      </c>
      <c r="D436" s="3" t="str">
        <f>_xlfn.XLOOKUP(Table3[[#This Row],[station]],station_waterbody_county!A:A, station_waterbody_county!C:C)</f>
        <v>Queens</v>
      </c>
      <c r="E436" s="6"/>
      <c r="F436" s="6" t="s">
        <v>34</v>
      </c>
      <c r="G436" s="12">
        <v>45848</v>
      </c>
      <c r="H436" s="5">
        <v>0.56944444444444442</v>
      </c>
      <c r="I436" s="4"/>
      <c r="J436" s="5"/>
      <c r="K436" s="10"/>
      <c r="O436" s="6" t="s">
        <v>1350</v>
      </c>
      <c r="P436" s="6" t="s">
        <v>432</v>
      </c>
      <c r="S436" s="6" t="s">
        <v>42</v>
      </c>
      <c r="T436" s="11">
        <v>548590</v>
      </c>
      <c r="U436" s="7">
        <v>15</v>
      </c>
      <c r="V436" s="6" t="s">
        <v>36</v>
      </c>
      <c r="W436" s="7">
        <v>16.399999999999999</v>
      </c>
      <c r="X436" s="6" t="s">
        <v>35</v>
      </c>
      <c r="Y436" s="7">
        <v>1.25</v>
      </c>
      <c r="Z436" s="7">
        <v>1</v>
      </c>
      <c r="AA436" s="6" t="s">
        <v>251</v>
      </c>
      <c r="AD436" s="6" t="s">
        <v>39</v>
      </c>
      <c r="AE436" s="6"/>
      <c r="AG436" s="6" t="s">
        <v>37</v>
      </c>
      <c r="AH436" s="7">
        <v>60</v>
      </c>
      <c r="AI436" s="6" t="s">
        <v>40</v>
      </c>
      <c r="AJ436" s="6" t="s">
        <v>238</v>
      </c>
      <c r="AK436" s="6" t="s">
        <v>241</v>
      </c>
      <c r="AL436" s="6" t="s">
        <v>41</v>
      </c>
    </row>
    <row r="437" spans="1:39" hidden="1" x14ac:dyDescent="0.25">
      <c r="A437" s="4">
        <v>45856</v>
      </c>
      <c r="B437" s="6" t="s">
        <v>180</v>
      </c>
      <c r="C437" s="6" t="str">
        <f>_xlfn.XLOOKUP(Table3[[#This Row],[station]],station_waterbody_county!A:A, station_waterbody_county!B:B)</f>
        <v>Liverpool Bay</v>
      </c>
      <c r="D437" s="3" t="str">
        <f>_xlfn.XLOOKUP(Table3[[#This Row],[station]],station_waterbody_county!A:A, station_waterbody_county!C:C)</f>
        <v>Queens</v>
      </c>
      <c r="E437" s="6"/>
      <c r="F437" s="6" t="s">
        <v>34</v>
      </c>
      <c r="G437" s="12">
        <v>45848</v>
      </c>
      <c r="H437" s="5">
        <v>0.56944444444444442</v>
      </c>
      <c r="I437" s="4"/>
      <c r="J437" s="5"/>
      <c r="K437" s="10"/>
      <c r="O437" s="6" t="s">
        <v>1350</v>
      </c>
      <c r="P437" s="6" t="s">
        <v>432</v>
      </c>
      <c r="S437" s="6" t="s">
        <v>239</v>
      </c>
      <c r="T437" s="11">
        <v>21434542</v>
      </c>
      <c r="U437" s="7">
        <v>15</v>
      </c>
      <c r="V437" s="6" t="s">
        <v>36</v>
      </c>
      <c r="W437" s="7">
        <v>16.399999999999999</v>
      </c>
      <c r="X437" s="6" t="s">
        <v>35</v>
      </c>
      <c r="Y437" s="7">
        <v>1.25</v>
      </c>
      <c r="Z437" s="7">
        <v>1</v>
      </c>
      <c r="AA437" s="6" t="s">
        <v>251</v>
      </c>
      <c r="AD437" s="6" t="s">
        <v>39</v>
      </c>
      <c r="AE437" s="6"/>
      <c r="AG437" s="6" t="s">
        <v>37</v>
      </c>
      <c r="AH437" s="7">
        <v>60</v>
      </c>
      <c r="AI437" s="6" t="s">
        <v>40</v>
      </c>
      <c r="AJ437" s="6" t="s">
        <v>238</v>
      </c>
      <c r="AK437" s="6" t="s">
        <v>241</v>
      </c>
      <c r="AL437" s="6" t="s">
        <v>41</v>
      </c>
    </row>
    <row r="438" spans="1:39" x14ac:dyDescent="0.25">
      <c r="A438" s="4">
        <v>45681</v>
      </c>
      <c r="B438" s="6" t="s">
        <v>669</v>
      </c>
      <c r="C438" t="str">
        <f>_xlfn.XLOOKUP(Table3[[#This Row],[station]],station_waterbody_county!A:A, station_waterbody_county!B:B)</f>
        <v>North Bay Ingonish</v>
      </c>
      <c r="D438" t="str">
        <f>_xlfn.XLOOKUP(Table3[[#This Row],[station]],station_waterbody_county!A:A, station_waterbody_county!C:C)</f>
        <v>Victoria</v>
      </c>
      <c r="E438" s="6"/>
      <c r="F438" s="6" t="s">
        <v>34</v>
      </c>
      <c r="G438" s="4">
        <v>45568</v>
      </c>
      <c r="H438" s="5">
        <v>0.4465277777777778</v>
      </c>
      <c r="I438" s="4"/>
      <c r="J438" s="5"/>
      <c r="K438" s="10">
        <v>46.664850000000001</v>
      </c>
      <c r="L438" s="10">
        <v>-60.919490000000003</v>
      </c>
      <c r="O438" s="6" t="s">
        <v>671</v>
      </c>
      <c r="P438" s="6" t="s">
        <v>672</v>
      </c>
      <c r="S438" s="6" t="s">
        <v>239</v>
      </c>
      <c r="T438" s="11">
        <v>20820322</v>
      </c>
      <c r="U438" s="7">
        <v>2</v>
      </c>
      <c r="V438" s="6" t="s">
        <v>36</v>
      </c>
      <c r="W438" s="7">
        <v>18</v>
      </c>
      <c r="X438" s="6" t="s">
        <v>35</v>
      </c>
      <c r="Y438" s="7">
        <v>1</v>
      </c>
      <c r="Z438" s="7">
        <v>0.5</v>
      </c>
      <c r="AA438" s="6" t="s">
        <v>251</v>
      </c>
      <c r="AB438" s="6" t="s">
        <v>38</v>
      </c>
      <c r="AD438" s="6" t="s">
        <v>39</v>
      </c>
      <c r="AE438" s="6"/>
      <c r="AG438" s="6" t="s">
        <v>37</v>
      </c>
      <c r="AH438" s="7">
        <v>60</v>
      </c>
      <c r="AI438" s="6" t="s">
        <v>40</v>
      </c>
      <c r="AJ438" s="6" t="s">
        <v>238</v>
      </c>
      <c r="AK438" s="6" t="s">
        <v>35</v>
      </c>
      <c r="AL438" s="6" t="s">
        <v>668</v>
      </c>
    </row>
    <row r="439" spans="1:39" x14ac:dyDescent="0.25">
      <c r="A439" s="4">
        <v>45681</v>
      </c>
      <c r="B439" s="6" t="s">
        <v>669</v>
      </c>
      <c r="C439" t="str">
        <f>_xlfn.XLOOKUP(Table3[[#This Row],[station]],station_waterbody_county!A:A, station_waterbody_county!B:B)</f>
        <v>North Bay Ingonish</v>
      </c>
      <c r="D439" t="str">
        <f>_xlfn.XLOOKUP(Table3[[#This Row],[station]],station_waterbody_county!A:A, station_waterbody_county!C:C)</f>
        <v>Victoria</v>
      </c>
      <c r="E439" s="6"/>
      <c r="F439" s="6" t="s">
        <v>34</v>
      </c>
      <c r="G439" s="4">
        <v>45568</v>
      </c>
      <c r="H439" s="5">
        <v>0.4465277777777778</v>
      </c>
      <c r="I439" s="4"/>
      <c r="J439" s="5"/>
      <c r="K439" s="10">
        <v>46.664850000000001</v>
      </c>
      <c r="L439" s="10">
        <v>-60.919490000000003</v>
      </c>
      <c r="O439" s="6" t="s">
        <v>671</v>
      </c>
      <c r="P439" s="6" t="s">
        <v>672</v>
      </c>
      <c r="S439" s="6" t="s">
        <v>240</v>
      </c>
      <c r="T439" s="11">
        <v>670366</v>
      </c>
      <c r="U439" s="7">
        <v>5</v>
      </c>
      <c r="V439" s="6" t="s">
        <v>36</v>
      </c>
      <c r="W439" s="7">
        <v>18</v>
      </c>
      <c r="X439" s="6" t="s">
        <v>35</v>
      </c>
      <c r="Y439" s="7">
        <v>1</v>
      </c>
      <c r="Z439" s="7">
        <v>0.5</v>
      </c>
      <c r="AA439" s="6" t="s">
        <v>251</v>
      </c>
      <c r="AB439" s="6" t="s">
        <v>38</v>
      </c>
      <c r="AD439" s="6" t="s">
        <v>39</v>
      </c>
      <c r="AE439" s="6"/>
      <c r="AG439" s="6" t="s">
        <v>37</v>
      </c>
      <c r="AH439" s="7">
        <v>60</v>
      </c>
      <c r="AI439" s="6" t="s">
        <v>40</v>
      </c>
      <c r="AJ439" s="6" t="s">
        <v>238</v>
      </c>
      <c r="AK439" s="6" t="s">
        <v>35</v>
      </c>
      <c r="AL439" s="6" t="s">
        <v>668</v>
      </c>
    </row>
    <row r="440" spans="1:39" x14ac:dyDescent="0.25">
      <c r="A440" s="4">
        <v>45681</v>
      </c>
      <c r="B440" s="6" t="s">
        <v>669</v>
      </c>
      <c r="C440" t="str">
        <f>_xlfn.XLOOKUP(Table3[[#This Row],[station]],station_waterbody_county!A:A, station_waterbody_county!B:B)</f>
        <v>North Bay Ingonish</v>
      </c>
      <c r="D440" t="str">
        <f>_xlfn.XLOOKUP(Table3[[#This Row],[station]],station_waterbody_county!A:A, station_waterbody_county!C:C)</f>
        <v>Victoria</v>
      </c>
      <c r="E440" s="6"/>
      <c r="F440" s="6" t="s">
        <v>34</v>
      </c>
      <c r="G440" s="4">
        <v>45568</v>
      </c>
      <c r="H440" s="5">
        <v>0.4465277777777778</v>
      </c>
      <c r="I440" s="4"/>
      <c r="J440" s="5"/>
      <c r="K440" s="10">
        <v>46.664850000000001</v>
      </c>
      <c r="L440" s="10">
        <v>-60.919490000000003</v>
      </c>
      <c r="O440" s="6" t="s">
        <v>671</v>
      </c>
      <c r="P440" s="6" t="s">
        <v>672</v>
      </c>
      <c r="S440" s="6" t="s">
        <v>239</v>
      </c>
      <c r="T440" s="11">
        <v>20330415</v>
      </c>
      <c r="U440" s="7">
        <v>10</v>
      </c>
      <c r="V440" s="6" t="s">
        <v>36</v>
      </c>
      <c r="W440" s="7">
        <v>18</v>
      </c>
      <c r="X440" s="6" t="s">
        <v>35</v>
      </c>
      <c r="Y440" s="7">
        <v>1</v>
      </c>
      <c r="Z440" s="7">
        <v>0.5</v>
      </c>
      <c r="AA440" s="6" t="s">
        <v>251</v>
      </c>
      <c r="AB440" s="6" t="s">
        <v>38</v>
      </c>
      <c r="AD440" s="6" t="s">
        <v>39</v>
      </c>
      <c r="AE440" s="6"/>
      <c r="AG440" s="6" t="s">
        <v>37</v>
      </c>
      <c r="AH440" s="7">
        <v>60</v>
      </c>
      <c r="AI440" s="6" t="s">
        <v>40</v>
      </c>
      <c r="AJ440" s="6" t="s">
        <v>238</v>
      </c>
      <c r="AK440" s="6" t="s">
        <v>35</v>
      </c>
      <c r="AL440" s="6" t="s">
        <v>668</v>
      </c>
    </row>
    <row r="441" spans="1:39" x14ac:dyDescent="0.25">
      <c r="A441" s="4">
        <v>45681</v>
      </c>
      <c r="B441" s="6" t="s">
        <v>669</v>
      </c>
      <c r="C441" t="str">
        <f>_xlfn.XLOOKUP(Table3[[#This Row],[station]],station_waterbody_county!A:A, station_waterbody_county!B:B)</f>
        <v>North Bay Ingonish</v>
      </c>
      <c r="D441" t="str">
        <f>_xlfn.XLOOKUP(Table3[[#This Row],[station]],station_waterbody_county!A:A, station_waterbody_county!C:C)</f>
        <v>Victoria</v>
      </c>
      <c r="E441" s="6"/>
      <c r="F441" s="6" t="s">
        <v>34</v>
      </c>
      <c r="G441" s="4">
        <v>45568</v>
      </c>
      <c r="H441" s="5">
        <v>0.4465277777777778</v>
      </c>
      <c r="I441" s="4"/>
      <c r="J441" s="5"/>
      <c r="K441" s="10">
        <v>46.664850000000001</v>
      </c>
      <c r="L441" s="10">
        <v>-60.919490000000003</v>
      </c>
      <c r="O441" s="6" t="s">
        <v>671</v>
      </c>
      <c r="P441" s="6" t="s">
        <v>672</v>
      </c>
      <c r="S441" s="6" t="s">
        <v>42</v>
      </c>
      <c r="T441" s="11">
        <v>548593</v>
      </c>
      <c r="U441" s="7">
        <v>15</v>
      </c>
      <c r="V441" s="6" t="s">
        <v>36</v>
      </c>
      <c r="W441" s="7">
        <v>18</v>
      </c>
      <c r="X441" s="6" t="s">
        <v>35</v>
      </c>
      <c r="Y441" s="7">
        <v>1</v>
      </c>
      <c r="Z441" s="7">
        <v>0.5</v>
      </c>
      <c r="AA441" s="6" t="s">
        <v>251</v>
      </c>
      <c r="AB441" s="6" t="s">
        <v>38</v>
      </c>
      <c r="AD441" s="6" t="s">
        <v>39</v>
      </c>
      <c r="AE441" s="6"/>
      <c r="AG441" s="6" t="s">
        <v>37</v>
      </c>
      <c r="AH441" s="7">
        <v>60</v>
      </c>
      <c r="AI441" s="6" t="s">
        <v>40</v>
      </c>
      <c r="AJ441" s="6" t="s">
        <v>238</v>
      </c>
      <c r="AK441" s="6" t="s">
        <v>35</v>
      </c>
      <c r="AL441" s="6" t="s">
        <v>668</v>
      </c>
    </row>
    <row r="442" spans="1:39" hidden="1" x14ac:dyDescent="0.25">
      <c r="A442" s="12">
        <v>45677</v>
      </c>
      <c r="B442" s="6" t="s">
        <v>182</v>
      </c>
      <c r="C442" t="str">
        <f>_xlfn.XLOOKUP(Table3[[#This Row],[station]],station_waterbody_county!A:A, station_waterbody_county!B:B)</f>
        <v>Monks Head Harbour</v>
      </c>
      <c r="D442" t="str">
        <f>_xlfn.XLOOKUP(Table3[[#This Row],[station]],station_waterbody_county!A:A, station_waterbody_county!C:C)</f>
        <v>Antigonish</v>
      </c>
      <c r="E442" s="6"/>
      <c r="F442" s="6" t="s">
        <v>310</v>
      </c>
      <c r="G442" s="12">
        <v>45231</v>
      </c>
      <c r="H442" s="5"/>
      <c r="I442" s="4">
        <v>45427</v>
      </c>
      <c r="J442" s="5">
        <v>0.5625</v>
      </c>
      <c r="K442" s="10">
        <v>45.654862999999999</v>
      </c>
      <c r="L442" s="10">
        <v>-61.828688999999997</v>
      </c>
      <c r="O442" s="6"/>
      <c r="Q442" s="6" t="s">
        <v>308</v>
      </c>
      <c r="R442" s="6" t="s">
        <v>309</v>
      </c>
      <c r="S442" s="6" t="s">
        <v>253</v>
      </c>
      <c r="T442" s="11">
        <v>686255</v>
      </c>
      <c r="U442" s="7">
        <v>0.8</v>
      </c>
      <c r="V442" s="6" t="s">
        <v>36</v>
      </c>
      <c r="W442" s="7"/>
      <c r="X442" s="6" t="s">
        <v>35</v>
      </c>
      <c r="Y442" s="7"/>
      <c r="Z442" s="7">
        <v>0.6</v>
      </c>
      <c r="AA442" s="6"/>
      <c r="AB442" s="6" t="s">
        <v>39</v>
      </c>
      <c r="AE442" s="6"/>
      <c r="AG442" s="6" t="s">
        <v>249</v>
      </c>
      <c r="AH442" s="7"/>
      <c r="AI442" s="6" t="s">
        <v>40</v>
      </c>
      <c r="AJ442" s="6" t="s">
        <v>238</v>
      </c>
      <c r="AK442" s="6" t="s">
        <v>35</v>
      </c>
      <c r="AL442" s="6" t="s">
        <v>276</v>
      </c>
      <c r="AM442" s="6" t="s">
        <v>41</v>
      </c>
    </row>
    <row r="443" spans="1:39" hidden="1" x14ac:dyDescent="0.25">
      <c r="A443" s="12">
        <v>45677</v>
      </c>
      <c r="B443" s="6" t="s">
        <v>182</v>
      </c>
      <c r="C443" t="str">
        <f>_xlfn.XLOOKUP(Table3[[#This Row],[station]],station_waterbody_county!A:A, station_waterbody_county!B:B)</f>
        <v>Monks Head Harbour</v>
      </c>
      <c r="D443" t="str">
        <f>_xlfn.XLOOKUP(Table3[[#This Row],[station]],station_waterbody_county!A:A, station_waterbody_county!C:C)</f>
        <v>Antigonish</v>
      </c>
      <c r="E443" s="6"/>
      <c r="F443" s="6" t="s">
        <v>310</v>
      </c>
      <c r="G443" s="12">
        <v>45231</v>
      </c>
      <c r="H443" s="5"/>
      <c r="I443" s="4">
        <v>45427</v>
      </c>
      <c r="J443" s="5">
        <v>0.5625</v>
      </c>
      <c r="K443" s="10">
        <v>45.654862999999999</v>
      </c>
      <c r="L443" s="10">
        <v>-61.828688999999997</v>
      </c>
      <c r="O443" s="6"/>
      <c r="Q443" s="6" t="s">
        <v>308</v>
      </c>
      <c r="R443" s="6" t="s">
        <v>309</v>
      </c>
      <c r="S443" s="6" t="s">
        <v>240</v>
      </c>
      <c r="T443" s="11">
        <v>675012</v>
      </c>
      <c r="U443" s="7">
        <v>1.6</v>
      </c>
      <c r="V443" s="6" t="s">
        <v>36</v>
      </c>
      <c r="W443" s="7"/>
      <c r="X443" s="6" t="s">
        <v>35</v>
      </c>
      <c r="Y443" s="7"/>
      <c r="Z443" s="7">
        <v>0.6</v>
      </c>
      <c r="AA443" s="6"/>
      <c r="AB443" s="6" t="s">
        <v>39</v>
      </c>
      <c r="AE443" s="6"/>
      <c r="AG443" s="6" t="s">
        <v>249</v>
      </c>
      <c r="AH443" s="7"/>
      <c r="AI443" s="6" t="s">
        <v>40</v>
      </c>
      <c r="AJ443" s="6" t="s">
        <v>238</v>
      </c>
      <c r="AK443" s="6" t="s">
        <v>35</v>
      </c>
      <c r="AL443" s="6" t="s">
        <v>276</v>
      </c>
      <c r="AM443" s="6" t="s">
        <v>41</v>
      </c>
    </row>
    <row r="444" spans="1:39" hidden="1" x14ac:dyDescent="0.25">
      <c r="A444" s="12">
        <v>45677</v>
      </c>
      <c r="B444" s="6" t="s">
        <v>182</v>
      </c>
      <c r="C444" t="str">
        <f>_xlfn.XLOOKUP(Table3[[#This Row],[station]],station_waterbody_county!A:A, station_waterbody_county!B:B)</f>
        <v>Monks Head Harbour</v>
      </c>
      <c r="D444" t="str">
        <f>_xlfn.XLOOKUP(Table3[[#This Row],[station]],station_waterbody_county!A:A, station_waterbody_county!C:C)</f>
        <v>Antigonish</v>
      </c>
      <c r="E444" s="6"/>
      <c r="F444" s="6" t="s">
        <v>310</v>
      </c>
      <c r="G444" s="12">
        <v>45231</v>
      </c>
      <c r="H444" s="5"/>
      <c r="I444" s="4">
        <v>45427</v>
      </c>
      <c r="J444" s="5">
        <v>0.5625</v>
      </c>
      <c r="K444" s="10">
        <v>45.654862999999999</v>
      </c>
      <c r="L444" s="10">
        <v>-61.828688999999997</v>
      </c>
      <c r="O444" s="6"/>
      <c r="Q444" s="6" t="s">
        <v>308</v>
      </c>
      <c r="R444" s="6" t="s">
        <v>309</v>
      </c>
      <c r="S444" s="6" t="s">
        <v>42</v>
      </c>
      <c r="T444" s="11">
        <v>551261</v>
      </c>
      <c r="U444" s="7">
        <v>1.6</v>
      </c>
      <c r="V444" s="6" t="s">
        <v>36</v>
      </c>
      <c r="W444" s="7"/>
      <c r="X444" s="6" t="s">
        <v>35</v>
      </c>
      <c r="Y444" s="7"/>
      <c r="Z444" s="7">
        <v>0.6</v>
      </c>
      <c r="AA444" s="6"/>
      <c r="AB444" s="6" t="s">
        <v>39</v>
      </c>
      <c r="AE444" s="6"/>
      <c r="AG444" s="6" t="s">
        <v>249</v>
      </c>
      <c r="AH444" s="7"/>
      <c r="AI444" s="6" t="s">
        <v>40</v>
      </c>
      <c r="AJ444" s="6" t="s">
        <v>238</v>
      </c>
      <c r="AK444" s="6" t="s">
        <v>35</v>
      </c>
      <c r="AL444" s="6" t="s">
        <v>276</v>
      </c>
      <c r="AM444" s="6" t="s">
        <v>41</v>
      </c>
    </row>
    <row r="445" spans="1:39" x14ac:dyDescent="0.25">
      <c r="A445" s="4">
        <v>45596</v>
      </c>
      <c r="B445" s="6" t="s">
        <v>184</v>
      </c>
      <c r="C445" t="str">
        <f>_xlfn.XLOOKUP(Table3[[#This Row],[station]],station_waterbody_county!A:A, station_waterbody_county!B:B)</f>
        <v>Chedabucto Bay</v>
      </c>
      <c r="D445" t="str">
        <f>_xlfn.XLOOKUP(Table3[[#This Row],[station]],station_waterbody_county!A:A, station_waterbody_county!C:C)</f>
        <v>Guysborough</v>
      </c>
      <c r="E445" s="6"/>
      <c r="F445" s="6" t="s">
        <v>310</v>
      </c>
      <c r="G445" s="4">
        <v>45476</v>
      </c>
      <c r="H445" s="5">
        <v>0.55069444444444449</v>
      </c>
      <c r="I445" s="4">
        <v>45582</v>
      </c>
      <c r="J445" s="5">
        <v>0.55069444444444449</v>
      </c>
      <c r="K445" s="10"/>
      <c r="O445" s="6" t="s">
        <v>408</v>
      </c>
      <c r="P445" s="6" t="s">
        <v>409</v>
      </c>
      <c r="Q445" s="6" t="s">
        <v>502</v>
      </c>
      <c r="R445" s="6" t="s">
        <v>503</v>
      </c>
      <c r="S445" s="6" t="s">
        <v>239</v>
      </c>
      <c r="T445" s="11">
        <v>20820350</v>
      </c>
      <c r="U445" s="7">
        <v>2</v>
      </c>
      <c r="V445" s="6" t="s">
        <v>36</v>
      </c>
      <c r="W445" s="7"/>
      <c r="X445" s="6" t="s">
        <v>35</v>
      </c>
      <c r="Y445" s="7">
        <v>0.8</v>
      </c>
      <c r="Z445" s="7">
        <v>0.5</v>
      </c>
      <c r="AA445" s="6" t="s">
        <v>251</v>
      </c>
      <c r="AB445" s="6" t="s">
        <v>38</v>
      </c>
      <c r="AD445" s="6" t="s">
        <v>39</v>
      </c>
      <c r="AE445" s="6"/>
      <c r="AG445" s="6" t="s">
        <v>37</v>
      </c>
      <c r="AH445" s="7">
        <v>60</v>
      </c>
      <c r="AI445" s="6" t="s">
        <v>40</v>
      </c>
      <c r="AJ445" s="6" t="s">
        <v>238</v>
      </c>
      <c r="AL445" s="6" t="s">
        <v>41</v>
      </c>
      <c r="AM445" s="6" t="s">
        <v>41</v>
      </c>
    </row>
    <row r="446" spans="1:39" x14ac:dyDescent="0.25">
      <c r="A446" s="4">
        <v>45596</v>
      </c>
      <c r="B446" s="6" t="s">
        <v>184</v>
      </c>
      <c r="C446" t="str">
        <f>_xlfn.XLOOKUP(Table3[[#This Row],[station]],station_waterbody_county!A:A, station_waterbody_county!B:B)</f>
        <v>Chedabucto Bay</v>
      </c>
      <c r="D446" t="str">
        <f>_xlfn.XLOOKUP(Table3[[#This Row],[station]],station_waterbody_county!A:A, station_waterbody_county!C:C)</f>
        <v>Guysborough</v>
      </c>
      <c r="E446" s="6"/>
      <c r="F446" s="6" t="s">
        <v>310</v>
      </c>
      <c r="G446" s="4">
        <v>45476</v>
      </c>
      <c r="H446" s="5">
        <v>0.55069444444444449</v>
      </c>
      <c r="I446" s="4">
        <v>45582</v>
      </c>
      <c r="J446" s="5">
        <v>0.55069444444444449</v>
      </c>
      <c r="K446" s="10"/>
      <c r="O446" s="6" t="s">
        <v>408</v>
      </c>
      <c r="P446" s="6" t="s">
        <v>409</v>
      </c>
      <c r="Q446" s="6" t="s">
        <v>502</v>
      </c>
      <c r="R446" s="6" t="s">
        <v>503</v>
      </c>
      <c r="S446" s="6" t="s">
        <v>240</v>
      </c>
      <c r="T446" s="11">
        <v>670365</v>
      </c>
      <c r="U446" s="7">
        <v>5</v>
      </c>
      <c r="V446" s="6" t="s">
        <v>36</v>
      </c>
      <c r="W446" s="7"/>
      <c r="X446" s="6" t="s">
        <v>35</v>
      </c>
      <c r="Y446" s="7">
        <v>0.8</v>
      </c>
      <c r="Z446" s="7">
        <v>0.5</v>
      </c>
      <c r="AA446" s="6" t="s">
        <v>251</v>
      </c>
      <c r="AB446" s="6" t="s">
        <v>38</v>
      </c>
      <c r="AD446" s="6" t="s">
        <v>39</v>
      </c>
      <c r="AE446" s="6"/>
      <c r="AG446" s="6" t="s">
        <v>37</v>
      </c>
      <c r="AH446" s="7">
        <v>60</v>
      </c>
      <c r="AI446" s="6" t="s">
        <v>40</v>
      </c>
      <c r="AJ446" s="6" t="s">
        <v>238</v>
      </c>
      <c r="AL446" s="6" t="s">
        <v>41</v>
      </c>
      <c r="AM446" s="6" t="s">
        <v>41</v>
      </c>
    </row>
    <row r="447" spans="1:39" x14ac:dyDescent="0.25">
      <c r="A447" s="4">
        <v>45596</v>
      </c>
      <c r="B447" s="6" t="s">
        <v>184</v>
      </c>
      <c r="C447" t="str">
        <f>_xlfn.XLOOKUP(Table3[[#This Row],[station]],station_waterbody_county!A:A, station_waterbody_county!B:B)</f>
        <v>Chedabucto Bay</v>
      </c>
      <c r="D447" t="str">
        <f>_xlfn.XLOOKUP(Table3[[#This Row],[station]],station_waterbody_county!A:A, station_waterbody_county!C:C)</f>
        <v>Guysborough</v>
      </c>
      <c r="E447" s="6"/>
      <c r="F447" s="6" t="s">
        <v>310</v>
      </c>
      <c r="G447" s="4">
        <v>45476</v>
      </c>
      <c r="H447" s="5">
        <v>0.55069444444444449</v>
      </c>
      <c r="I447" s="4">
        <v>45582</v>
      </c>
      <c r="J447" s="5">
        <v>0.55069444444444449</v>
      </c>
      <c r="K447" s="10"/>
      <c r="O447" s="6" t="s">
        <v>408</v>
      </c>
      <c r="P447" s="6" t="s">
        <v>409</v>
      </c>
      <c r="Q447" s="6" t="s">
        <v>502</v>
      </c>
      <c r="R447" s="6" t="s">
        <v>503</v>
      </c>
      <c r="S447" s="6" t="s">
        <v>239</v>
      </c>
      <c r="T447" s="11">
        <v>20820329</v>
      </c>
      <c r="U447" s="7">
        <v>10</v>
      </c>
      <c r="V447" s="6" t="s">
        <v>36</v>
      </c>
      <c r="W447" s="7"/>
      <c r="X447" s="6" t="s">
        <v>35</v>
      </c>
      <c r="Y447" s="7">
        <v>0.8</v>
      </c>
      <c r="Z447" s="7">
        <v>0.5</v>
      </c>
      <c r="AA447" s="6" t="s">
        <v>251</v>
      </c>
      <c r="AB447" s="6" t="s">
        <v>38</v>
      </c>
      <c r="AD447" s="6" t="s">
        <v>39</v>
      </c>
      <c r="AE447" s="6"/>
      <c r="AG447" s="6" t="s">
        <v>37</v>
      </c>
      <c r="AH447" s="7">
        <v>60</v>
      </c>
      <c r="AI447" s="6" t="s">
        <v>40</v>
      </c>
      <c r="AJ447" s="6" t="s">
        <v>238</v>
      </c>
      <c r="AL447" s="6" t="s">
        <v>41</v>
      </c>
      <c r="AM447" s="6" t="s">
        <v>41</v>
      </c>
    </row>
    <row r="448" spans="1:39" x14ac:dyDescent="0.25">
      <c r="A448" s="4">
        <v>45596</v>
      </c>
      <c r="B448" s="6" t="s">
        <v>184</v>
      </c>
      <c r="C448" t="str">
        <f>_xlfn.XLOOKUP(Table3[[#This Row],[station]],station_waterbody_county!A:A, station_waterbody_county!B:B)</f>
        <v>Chedabucto Bay</v>
      </c>
      <c r="D448" t="str">
        <f>_xlfn.XLOOKUP(Table3[[#This Row],[station]],station_waterbody_county!A:A, station_waterbody_county!C:C)</f>
        <v>Guysborough</v>
      </c>
      <c r="E448" s="6"/>
      <c r="F448" s="6" t="s">
        <v>310</v>
      </c>
      <c r="G448" s="4">
        <v>45476</v>
      </c>
      <c r="H448" s="5">
        <v>0.55069444444444449</v>
      </c>
      <c r="I448" s="4">
        <v>45582</v>
      </c>
      <c r="J448" s="5">
        <v>0.55069444444444449</v>
      </c>
      <c r="K448" s="10"/>
      <c r="O448" s="6" t="s">
        <v>408</v>
      </c>
      <c r="P448" s="6" t="s">
        <v>409</v>
      </c>
      <c r="Q448" s="6" t="s">
        <v>502</v>
      </c>
      <c r="R448" s="6" t="s">
        <v>503</v>
      </c>
      <c r="S448" s="6" t="s">
        <v>239</v>
      </c>
      <c r="T448" s="11">
        <v>21152408</v>
      </c>
      <c r="U448" s="7">
        <v>15</v>
      </c>
      <c r="V448" s="6" t="s">
        <v>36</v>
      </c>
      <c r="W448" s="7"/>
      <c r="X448" s="6" t="s">
        <v>35</v>
      </c>
      <c r="Y448" s="7">
        <v>0.8</v>
      </c>
      <c r="Z448" s="7">
        <v>0.5</v>
      </c>
      <c r="AA448" s="6" t="s">
        <v>251</v>
      </c>
      <c r="AB448" s="6" t="s">
        <v>38</v>
      </c>
      <c r="AD448" s="6" t="s">
        <v>39</v>
      </c>
      <c r="AE448" s="6"/>
      <c r="AG448" s="6" t="s">
        <v>37</v>
      </c>
      <c r="AH448" s="7">
        <v>60</v>
      </c>
      <c r="AI448" s="6" t="s">
        <v>40</v>
      </c>
      <c r="AJ448" s="6" t="s">
        <v>238</v>
      </c>
      <c r="AL448" s="6" t="s">
        <v>41</v>
      </c>
      <c r="AM448" s="6" t="s">
        <v>41</v>
      </c>
    </row>
    <row r="449" spans="1:39" x14ac:dyDescent="0.25">
      <c r="A449" s="4">
        <v>45596</v>
      </c>
      <c r="B449" s="6" t="s">
        <v>184</v>
      </c>
      <c r="C449" t="str">
        <f>_xlfn.XLOOKUP(Table3[[#This Row],[station]],station_waterbody_county!A:A, station_waterbody_county!B:B)</f>
        <v>Chedabucto Bay</v>
      </c>
      <c r="D449" t="str">
        <f>_xlfn.XLOOKUP(Table3[[#This Row],[station]],station_waterbody_county!A:A, station_waterbody_county!C:C)</f>
        <v>Guysborough</v>
      </c>
      <c r="E449" s="6"/>
      <c r="F449" s="6" t="s">
        <v>310</v>
      </c>
      <c r="G449" s="4">
        <v>45476</v>
      </c>
      <c r="H449" s="5">
        <v>0.55069444444444449</v>
      </c>
      <c r="I449" s="4">
        <v>45582</v>
      </c>
      <c r="J449" s="5">
        <v>0.55069444444444449</v>
      </c>
      <c r="K449" s="10"/>
      <c r="O449" s="6" t="s">
        <v>408</v>
      </c>
      <c r="P449" s="6" t="s">
        <v>409</v>
      </c>
      <c r="Q449" s="6" t="s">
        <v>502</v>
      </c>
      <c r="R449" s="6" t="s">
        <v>503</v>
      </c>
      <c r="S449" s="6" t="s">
        <v>239</v>
      </c>
      <c r="T449" s="11">
        <v>20495203</v>
      </c>
      <c r="U449" s="7">
        <v>20</v>
      </c>
      <c r="V449" s="6" t="s">
        <v>36</v>
      </c>
      <c r="W449" s="7"/>
      <c r="X449" s="6" t="s">
        <v>35</v>
      </c>
      <c r="Y449" s="7">
        <v>0.8</v>
      </c>
      <c r="Z449" s="7">
        <v>0.5</v>
      </c>
      <c r="AA449" s="6" t="s">
        <v>251</v>
      </c>
      <c r="AB449" s="6" t="s">
        <v>38</v>
      </c>
      <c r="AD449" s="6" t="s">
        <v>39</v>
      </c>
      <c r="AE449" s="6"/>
      <c r="AG449" s="6" t="s">
        <v>37</v>
      </c>
      <c r="AH449" s="7">
        <v>60</v>
      </c>
      <c r="AI449" s="6" t="s">
        <v>40</v>
      </c>
      <c r="AJ449" s="6" t="s">
        <v>238</v>
      </c>
      <c r="AL449" s="6" t="s">
        <v>41</v>
      </c>
      <c r="AM449" s="6" t="s">
        <v>41</v>
      </c>
    </row>
    <row r="450" spans="1:39" x14ac:dyDescent="0.25">
      <c r="A450" s="4">
        <v>45596</v>
      </c>
      <c r="B450" s="6" t="s">
        <v>184</v>
      </c>
      <c r="C450" t="str">
        <f>_xlfn.XLOOKUP(Table3[[#This Row],[station]],station_waterbody_county!A:A, station_waterbody_county!B:B)</f>
        <v>Chedabucto Bay</v>
      </c>
      <c r="D450" t="str">
        <f>_xlfn.XLOOKUP(Table3[[#This Row],[station]],station_waterbody_county!A:A, station_waterbody_county!C:C)</f>
        <v>Guysborough</v>
      </c>
      <c r="E450" s="6"/>
      <c r="F450" s="6" t="s">
        <v>310</v>
      </c>
      <c r="G450" s="4">
        <v>45476</v>
      </c>
      <c r="H450" s="5">
        <v>0.55069444444444449</v>
      </c>
      <c r="I450" s="4">
        <v>45582</v>
      </c>
      <c r="J450" s="5">
        <v>0.55069444444444449</v>
      </c>
      <c r="K450" s="10"/>
      <c r="O450" s="6" t="s">
        <v>408</v>
      </c>
      <c r="P450" s="6" t="s">
        <v>409</v>
      </c>
      <c r="Q450" s="6" t="s">
        <v>502</v>
      </c>
      <c r="R450" s="6" t="s">
        <v>503</v>
      </c>
      <c r="S450" s="6" t="s">
        <v>42</v>
      </c>
      <c r="T450" s="11">
        <v>548562</v>
      </c>
      <c r="U450" s="7">
        <v>27</v>
      </c>
      <c r="V450" s="6" t="s">
        <v>36</v>
      </c>
      <c r="W450" s="7"/>
      <c r="X450" s="6" t="s">
        <v>35</v>
      </c>
      <c r="Y450" s="7">
        <v>0.8</v>
      </c>
      <c r="Z450" s="7">
        <v>0.5</v>
      </c>
      <c r="AA450" s="6" t="s">
        <v>251</v>
      </c>
      <c r="AB450" s="6" t="s">
        <v>38</v>
      </c>
      <c r="AD450" s="6" t="s">
        <v>39</v>
      </c>
      <c r="AE450" s="6"/>
      <c r="AG450" s="6" t="s">
        <v>37</v>
      </c>
      <c r="AH450" s="7">
        <v>60</v>
      </c>
      <c r="AI450" s="6" t="s">
        <v>40</v>
      </c>
      <c r="AJ450" s="6" t="s">
        <v>238</v>
      </c>
      <c r="AL450" s="6" t="s">
        <v>41</v>
      </c>
      <c r="AM450" s="6" t="s">
        <v>41</v>
      </c>
    </row>
    <row r="451" spans="1:39" hidden="1" x14ac:dyDescent="0.25">
      <c r="A451" s="12">
        <v>45677</v>
      </c>
      <c r="B451" s="6" t="s">
        <v>184</v>
      </c>
      <c r="C451" t="str">
        <f>_xlfn.XLOOKUP(Table3[[#This Row],[station]],station_waterbody_county!A:A, station_waterbody_county!B:B)</f>
        <v>Chedabucto Bay</v>
      </c>
      <c r="D451" t="str">
        <f>_xlfn.XLOOKUP(Table3[[#This Row],[station]],station_waterbody_county!A:A, station_waterbody_county!C:C)</f>
        <v>Guysborough</v>
      </c>
      <c r="E451" s="6"/>
      <c r="F451" s="6" t="s">
        <v>310</v>
      </c>
      <c r="G451" s="12">
        <v>45112</v>
      </c>
      <c r="H451" s="5"/>
      <c r="I451" s="4">
        <v>45476</v>
      </c>
      <c r="J451" s="5">
        <v>0.52430555555555558</v>
      </c>
      <c r="K451" s="10">
        <v>45.395257000000001</v>
      </c>
      <c r="L451" s="10">
        <v>-61.410311</v>
      </c>
      <c r="O451" s="6"/>
      <c r="Q451" s="6" t="s">
        <v>406</v>
      </c>
      <c r="R451" s="6" t="s">
        <v>407</v>
      </c>
      <c r="S451" s="6" t="s">
        <v>239</v>
      </c>
      <c r="T451" s="11">
        <v>21082888</v>
      </c>
      <c r="U451" s="7">
        <v>2</v>
      </c>
      <c r="V451" s="6" t="s">
        <v>36</v>
      </c>
      <c r="W451" s="7">
        <v>28.4</v>
      </c>
      <c r="X451" s="6" t="s">
        <v>35</v>
      </c>
      <c r="Y451" s="7">
        <v>0.3</v>
      </c>
      <c r="Z451" s="7">
        <v>1.5</v>
      </c>
      <c r="AA451" s="6" t="s">
        <v>251</v>
      </c>
      <c r="AB451" s="6" t="s">
        <v>38</v>
      </c>
      <c r="AD451" s="6" t="s">
        <v>39</v>
      </c>
      <c r="AE451" s="6"/>
      <c r="AG451" s="6" t="s">
        <v>260</v>
      </c>
      <c r="AH451" s="7"/>
      <c r="AI451" s="6" t="s">
        <v>40</v>
      </c>
      <c r="AJ451" s="6" t="s">
        <v>238</v>
      </c>
      <c r="AK451" s="6" t="s">
        <v>35</v>
      </c>
      <c r="AL451" s="6" t="s">
        <v>275</v>
      </c>
      <c r="AM451" s="6" t="s">
        <v>41</v>
      </c>
    </row>
    <row r="452" spans="1:39" hidden="1" x14ac:dyDescent="0.25">
      <c r="A452" s="12">
        <v>45677</v>
      </c>
      <c r="B452" s="6" t="s">
        <v>184</v>
      </c>
      <c r="C452" t="str">
        <f>_xlfn.XLOOKUP(Table3[[#This Row],[station]],station_waterbody_county!A:A, station_waterbody_county!B:B)</f>
        <v>Chedabucto Bay</v>
      </c>
      <c r="D452" t="str">
        <f>_xlfn.XLOOKUP(Table3[[#This Row],[station]],station_waterbody_county!A:A, station_waterbody_county!C:C)</f>
        <v>Guysborough</v>
      </c>
      <c r="E452" s="6"/>
      <c r="F452" s="6" t="s">
        <v>310</v>
      </c>
      <c r="G452" s="12">
        <v>45112</v>
      </c>
      <c r="H452" s="5"/>
      <c r="I452" s="4">
        <v>45476</v>
      </c>
      <c r="J452" s="5">
        <v>0.52430555555555558</v>
      </c>
      <c r="K452" s="10">
        <v>45.395257000000001</v>
      </c>
      <c r="L452" s="10">
        <v>-61.410311</v>
      </c>
      <c r="O452" s="6"/>
      <c r="Q452" s="6" t="s">
        <v>406</v>
      </c>
      <c r="R452" s="6" t="s">
        <v>407</v>
      </c>
      <c r="S452" s="6" t="s">
        <v>240</v>
      </c>
      <c r="T452" s="11">
        <v>671308</v>
      </c>
      <c r="U452" s="7">
        <v>5</v>
      </c>
      <c r="V452" s="6" t="s">
        <v>36</v>
      </c>
      <c r="W452" s="7">
        <v>28.4</v>
      </c>
      <c r="X452" s="6" t="s">
        <v>35</v>
      </c>
      <c r="Y452" s="7">
        <v>0.3</v>
      </c>
      <c r="Z452" s="7">
        <v>1.5</v>
      </c>
      <c r="AA452" s="6" t="s">
        <v>251</v>
      </c>
      <c r="AB452" s="6" t="s">
        <v>38</v>
      </c>
      <c r="AD452" s="6" t="s">
        <v>39</v>
      </c>
      <c r="AE452" s="6"/>
      <c r="AG452" s="6" t="s">
        <v>260</v>
      </c>
      <c r="AH452" s="7"/>
      <c r="AI452" s="6" t="s">
        <v>40</v>
      </c>
      <c r="AJ452" s="6" t="s">
        <v>238</v>
      </c>
      <c r="AK452" s="6" t="s">
        <v>35</v>
      </c>
      <c r="AL452" s="6" t="s">
        <v>275</v>
      </c>
      <c r="AM452" s="6" t="s">
        <v>41</v>
      </c>
    </row>
    <row r="453" spans="1:39" hidden="1" x14ac:dyDescent="0.25">
      <c r="A453" s="12">
        <v>45677</v>
      </c>
      <c r="B453" s="6" t="s">
        <v>184</v>
      </c>
      <c r="C453" t="str">
        <f>_xlfn.XLOOKUP(Table3[[#This Row],[station]],station_waterbody_county!A:A, station_waterbody_county!B:B)</f>
        <v>Chedabucto Bay</v>
      </c>
      <c r="D453" t="str">
        <f>_xlfn.XLOOKUP(Table3[[#This Row],[station]],station_waterbody_county!A:A, station_waterbody_county!C:C)</f>
        <v>Guysborough</v>
      </c>
      <c r="E453" s="6"/>
      <c r="F453" s="6" t="s">
        <v>310</v>
      </c>
      <c r="G453" s="12">
        <v>45112</v>
      </c>
      <c r="H453" s="5"/>
      <c r="I453" s="4">
        <v>45476</v>
      </c>
      <c r="J453" s="5">
        <v>0.52430555555555558</v>
      </c>
      <c r="K453" s="10">
        <v>45.395257000000001</v>
      </c>
      <c r="L453" s="10">
        <v>-61.410311</v>
      </c>
      <c r="O453" s="6"/>
      <c r="Q453" s="6" t="s">
        <v>406</v>
      </c>
      <c r="R453" s="6" t="s">
        <v>407</v>
      </c>
      <c r="S453" s="6" t="s">
        <v>239</v>
      </c>
      <c r="T453" s="11">
        <v>20291431</v>
      </c>
      <c r="U453" s="7">
        <v>10</v>
      </c>
      <c r="V453" s="6" t="s">
        <v>36</v>
      </c>
      <c r="W453" s="7">
        <v>28.4</v>
      </c>
      <c r="X453" s="6" t="s">
        <v>35</v>
      </c>
      <c r="Y453" s="7">
        <v>0.3</v>
      </c>
      <c r="Z453" s="7">
        <v>1.5</v>
      </c>
      <c r="AA453" s="6" t="s">
        <v>251</v>
      </c>
      <c r="AB453" s="6" t="s">
        <v>38</v>
      </c>
      <c r="AD453" s="6" t="s">
        <v>39</v>
      </c>
      <c r="AE453" s="6"/>
      <c r="AG453" s="6" t="s">
        <v>260</v>
      </c>
      <c r="AH453" s="7"/>
      <c r="AI453" s="6" t="s">
        <v>40</v>
      </c>
      <c r="AJ453" s="6" t="s">
        <v>238</v>
      </c>
      <c r="AK453" s="6" t="s">
        <v>35</v>
      </c>
      <c r="AL453" s="6" t="s">
        <v>275</v>
      </c>
      <c r="AM453" s="6" t="s">
        <v>41</v>
      </c>
    </row>
    <row r="454" spans="1:39" hidden="1" x14ac:dyDescent="0.25">
      <c r="A454" s="12">
        <v>45677</v>
      </c>
      <c r="B454" s="6" t="s">
        <v>184</v>
      </c>
      <c r="C454" t="str">
        <f>_xlfn.XLOOKUP(Table3[[#This Row],[station]],station_waterbody_county!A:A, station_waterbody_county!B:B)</f>
        <v>Chedabucto Bay</v>
      </c>
      <c r="D454" t="str">
        <f>_xlfn.XLOOKUP(Table3[[#This Row],[station]],station_waterbody_county!A:A, station_waterbody_county!C:C)</f>
        <v>Guysborough</v>
      </c>
      <c r="E454" s="6"/>
      <c r="F454" s="6" t="s">
        <v>310</v>
      </c>
      <c r="G454" s="12">
        <v>45112</v>
      </c>
      <c r="H454" s="5"/>
      <c r="I454" s="4">
        <v>45476</v>
      </c>
      <c r="J454" s="5">
        <v>0.52430555555555558</v>
      </c>
      <c r="K454" s="10">
        <v>45.395257000000001</v>
      </c>
      <c r="L454" s="10">
        <v>-61.410311</v>
      </c>
      <c r="O454" s="6"/>
      <c r="Q454" s="6" t="s">
        <v>406</v>
      </c>
      <c r="R454" s="6" t="s">
        <v>407</v>
      </c>
      <c r="S454" s="6" t="s">
        <v>239</v>
      </c>
      <c r="T454" s="11">
        <v>21650151</v>
      </c>
      <c r="U454" s="7">
        <v>15</v>
      </c>
      <c r="V454" s="6" t="s">
        <v>36</v>
      </c>
      <c r="W454" s="7">
        <v>28.4</v>
      </c>
      <c r="X454" s="6" t="s">
        <v>35</v>
      </c>
      <c r="Y454" s="7">
        <v>0.3</v>
      </c>
      <c r="Z454" s="7">
        <v>1.5</v>
      </c>
      <c r="AA454" s="6" t="s">
        <v>251</v>
      </c>
      <c r="AB454" s="6" t="s">
        <v>38</v>
      </c>
      <c r="AD454" s="6" t="s">
        <v>39</v>
      </c>
      <c r="AE454" s="6"/>
      <c r="AG454" s="6" t="s">
        <v>260</v>
      </c>
      <c r="AH454" s="7"/>
      <c r="AI454" s="6" t="s">
        <v>40</v>
      </c>
      <c r="AJ454" s="6" t="s">
        <v>238</v>
      </c>
      <c r="AK454" s="6" t="s">
        <v>35</v>
      </c>
      <c r="AL454" s="6" t="s">
        <v>275</v>
      </c>
      <c r="AM454" s="6" t="s">
        <v>41</v>
      </c>
    </row>
    <row r="455" spans="1:39" hidden="1" x14ac:dyDescent="0.25">
      <c r="A455" s="12">
        <v>45677</v>
      </c>
      <c r="B455" s="6" t="s">
        <v>184</v>
      </c>
      <c r="C455" t="str">
        <f>_xlfn.XLOOKUP(Table3[[#This Row],[station]],station_waterbody_county!A:A, station_waterbody_county!B:B)</f>
        <v>Chedabucto Bay</v>
      </c>
      <c r="D455" t="str">
        <f>_xlfn.XLOOKUP(Table3[[#This Row],[station]],station_waterbody_county!A:A, station_waterbody_county!C:C)</f>
        <v>Guysborough</v>
      </c>
      <c r="E455" s="6"/>
      <c r="F455" s="6" t="s">
        <v>310</v>
      </c>
      <c r="G455" s="12">
        <v>45112</v>
      </c>
      <c r="H455" s="5"/>
      <c r="I455" s="4">
        <v>45476</v>
      </c>
      <c r="J455" s="5">
        <v>0.52430555555555558</v>
      </c>
      <c r="K455" s="10">
        <v>45.395257000000001</v>
      </c>
      <c r="L455" s="10">
        <v>-61.410311</v>
      </c>
      <c r="O455" s="6"/>
      <c r="Q455" s="6" t="s">
        <v>406</v>
      </c>
      <c r="R455" s="6" t="s">
        <v>407</v>
      </c>
      <c r="S455" s="6" t="s">
        <v>239</v>
      </c>
      <c r="T455" s="11">
        <v>21083052</v>
      </c>
      <c r="U455" s="7">
        <v>20</v>
      </c>
      <c r="V455" s="6" t="s">
        <v>36</v>
      </c>
      <c r="W455" s="7">
        <v>28.4</v>
      </c>
      <c r="X455" s="6" t="s">
        <v>35</v>
      </c>
      <c r="Y455" s="7">
        <v>0.3</v>
      </c>
      <c r="Z455" s="7">
        <v>1.5</v>
      </c>
      <c r="AA455" s="6" t="s">
        <v>251</v>
      </c>
      <c r="AB455" s="6" t="s">
        <v>38</v>
      </c>
      <c r="AD455" s="6" t="s">
        <v>39</v>
      </c>
      <c r="AE455" s="6"/>
      <c r="AG455" s="6" t="s">
        <v>260</v>
      </c>
      <c r="AH455" s="7"/>
      <c r="AI455" s="6" t="s">
        <v>40</v>
      </c>
      <c r="AJ455" s="6" t="s">
        <v>238</v>
      </c>
      <c r="AK455" s="6" t="s">
        <v>35</v>
      </c>
      <c r="AL455" s="6" t="s">
        <v>275</v>
      </c>
      <c r="AM455" s="6" t="s">
        <v>41</v>
      </c>
    </row>
    <row r="456" spans="1:39" hidden="1" x14ac:dyDescent="0.25">
      <c r="A456" s="12">
        <v>45677</v>
      </c>
      <c r="B456" s="6" t="s">
        <v>184</v>
      </c>
      <c r="C456" t="str">
        <f>_xlfn.XLOOKUP(Table3[[#This Row],[station]],station_waterbody_county!A:A, station_waterbody_county!B:B)</f>
        <v>Chedabucto Bay</v>
      </c>
      <c r="D456" t="str">
        <f>_xlfn.XLOOKUP(Table3[[#This Row],[station]],station_waterbody_county!A:A, station_waterbody_county!C:C)</f>
        <v>Guysborough</v>
      </c>
      <c r="E456" s="6"/>
      <c r="F456" s="6" t="s">
        <v>310</v>
      </c>
      <c r="G456" s="12">
        <v>45112</v>
      </c>
      <c r="H456" s="5"/>
      <c r="I456" s="4">
        <v>45476</v>
      </c>
      <c r="J456" s="5">
        <v>0.52430555555555558</v>
      </c>
      <c r="K456" s="10">
        <v>45.395257000000001</v>
      </c>
      <c r="L456" s="10">
        <v>-61.410311</v>
      </c>
      <c r="O456" s="6"/>
      <c r="Q456" s="6" t="s">
        <v>406</v>
      </c>
      <c r="R456" s="6" t="s">
        <v>407</v>
      </c>
      <c r="S456" s="6" t="s">
        <v>42</v>
      </c>
      <c r="T456" s="11">
        <v>549343</v>
      </c>
      <c r="U456" s="7">
        <v>27</v>
      </c>
      <c r="V456" s="6" t="s">
        <v>36</v>
      </c>
      <c r="W456" s="7">
        <v>28.4</v>
      </c>
      <c r="X456" s="6" t="s">
        <v>35</v>
      </c>
      <c r="Y456" s="7">
        <v>0.3</v>
      </c>
      <c r="Z456" s="7">
        <v>1.5</v>
      </c>
      <c r="AA456" s="6" t="s">
        <v>251</v>
      </c>
      <c r="AB456" s="6" t="s">
        <v>38</v>
      </c>
      <c r="AD456" s="6" t="s">
        <v>39</v>
      </c>
      <c r="AE456" s="6"/>
      <c r="AG456" s="6" t="s">
        <v>260</v>
      </c>
      <c r="AH456" s="7"/>
      <c r="AI456" s="6" t="s">
        <v>40</v>
      </c>
      <c r="AJ456" s="6" t="s">
        <v>238</v>
      </c>
      <c r="AK456" s="6" t="s">
        <v>35</v>
      </c>
      <c r="AL456" s="6" t="s">
        <v>275</v>
      </c>
      <c r="AM456" s="6" t="s">
        <v>41</v>
      </c>
    </row>
    <row r="457" spans="1:39" x14ac:dyDescent="0.25">
      <c r="A457" s="4">
        <v>45798</v>
      </c>
      <c r="B457" s="6" t="s">
        <v>184</v>
      </c>
      <c r="C457" t="str">
        <f>_xlfn.XLOOKUP(Table3[[#This Row],[station]],station_waterbody_county!A:A, station_waterbody_county!B:B)</f>
        <v>Chedabucto Bay</v>
      </c>
      <c r="D457" t="str">
        <f>_xlfn.XLOOKUP(Table3[[#This Row],[station]],station_waterbody_county!A:A, station_waterbody_county!C:C)</f>
        <v>Guysborough</v>
      </c>
      <c r="E457" s="6"/>
      <c r="F457" s="6" t="s">
        <v>310</v>
      </c>
      <c r="G457" s="4">
        <v>45582</v>
      </c>
      <c r="H457" s="5">
        <v>0.56666666666666665</v>
      </c>
      <c r="I457" s="4">
        <v>45791</v>
      </c>
      <c r="J457" s="5">
        <v>0.64513888888888893</v>
      </c>
      <c r="K457" s="10"/>
      <c r="O457" s="6" t="s">
        <v>504</v>
      </c>
      <c r="P457" s="6" t="s">
        <v>505</v>
      </c>
      <c r="Q457" s="6" t="s">
        <v>1259</v>
      </c>
      <c r="R457" s="6" t="s">
        <v>1260</v>
      </c>
      <c r="S457" s="6" t="s">
        <v>239</v>
      </c>
      <c r="T457" s="11">
        <v>21927293</v>
      </c>
      <c r="U457" s="7">
        <v>2</v>
      </c>
      <c r="V457" s="6" t="s">
        <v>36</v>
      </c>
      <c r="W457" s="7">
        <v>18</v>
      </c>
      <c r="X457" s="6" t="s">
        <v>35</v>
      </c>
      <c r="Y457" s="7">
        <v>1.2</v>
      </c>
      <c r="Z457" s="7">
        <v>1.5</v>
      </c>
      <c r="AA457" s="6" t="s">
        <v>251</v>
      </c>
      <c r="AB457" s="6" t="s">
        <v>38</v>
      </c>
      <c r="AD457" s="6" t="s">
        <v>39</v>
      </c>
      <c r="AE457" s="6"/>
      <c r="AG457" s="6" t="s">
        <v>37</v>
      </c>
      <c r="AH457" s="7">
        <v>60</v>
      </c>
      <c r="AI457" s="6" t="s">
        <v>40</v>
      </c>
      <c r="AJ457" s="6" t="s">
        <v>238</v>
      </c>
      <c r="AK457" s="6" t="s">
        <v>35</v>
      </c>
      <c r="AL457" s="6" t="s">
        <v>41</v>
      </c>
      <c r="AM457" s="6" t="s">
        <v>41</v>
      </c>
    </row>
    <row r="458" spans="1:39" x14ac:dyDescent="0.25">
      <c r="A458" s="4">
        <v>45798</v>
      </c>
      <c r="B458" s="6" t="s">
        <v>184</v>
      </c>
      <c r="C458" t="str">
        <f>_xlfn.XLOOKUP(Table3[[#This Row],[station]],station_waterbody_county!A:A, station_waterbody_county!B:B)</f>
        <v>Chedabucto Bay</v>
      </c>
      <c r="D458" t="str">
        <f>_xlfn.XLOOKUP(Table3[[#This Row],[station]],station_waterbody_county!A:A, station_waterbody_county!C:C)</f>
        <v>Guysborough</v>
      </c>
      <c r="E458" s="6"/>
      <c r="F458" s="6" t="s">
        <v>310</v>
      </c>
      <c r="G458" s="4">
        <v>45582</v>
      </c>
      <c r="H458" s="5">
        <v>0.56666666666666665</v>
      </c>
      <c r="I458" s="4">
        <v>45791</v>
      </c>
      <c r="J458" s="5">
        <v>0.64513888888888893</v>
      </c>
      <c r="K458" s="10"/>
      <c r="O458" s="6" t="s">
        <v>504</v>
      </c>
      <c r="P458" s="6" t="s">
        <v>505</v>
      </c>
      <c r="Q458" s="6" t="s">
        <v>1259</v>
      </c>
      <c r="R458" s="6" t="s">
        <v>1260</v>
      </c>
      <c r="S458" s="6" t="s">
        <v>240</v>
      </c>
      <c r="T458" s="11">
        <v>670286</v>
      </c>
      <c r="U458" s="7">
        <v>5</v>
      </c>
      <c r="V458" s="6" t="s">
        <v>36</v>
      </c>
      <c r="W458" s="7">
        <v>18</v>
      </c>
      <c r="X458" s="6" t="s">
        <v>35</v>
      </c>
      <c r="Y458" s="7">
        <v>1.2</v>
      </c>
      <c r="Z458" s="7">
        <v>1.5</v>
      </c>
      <c r="AA458" s="6" t="s">
        <v>251</v>
      </c>
      <c r="AB458" s="6" t="s">
        <v>38</v>
      </c>
      <c r="AD458" s="6" t="s">
        <v>39</v>
      </c>
      <c r="AE458" s="6"/>
      <c r="AG458" s="6" t="s">
        <v>37</v>
      </c>
      <c r="AH458" s="7">
        <v>60</v>
      </c>
      <c r="AI458" s="6" t="s">
        <v>40</v>
      </c>
      <c r="AJ458" s="6" t="s">
        <v>238</v>
      </c>
      <c r="AK458" s="6" t="s">
        <v>35</v>
      </c>
      <c r="AL458" s="6" t="s">
        <v>41</v>
      </c>
      <c r="AM458" s="6" t="s">
        <v>41</v>
      </c>
    </row>
    <row r="459" spans="1:39" x14ac:dyDescent="0.25">
      <c r="A459" s="4">
        <v>45798</v>
      </c>
      <c r="B459" s="6" t="s">
        <v>184</v>
      </c>
      <c r="C459" t="str">
        <f>_xlfn.XLOOKUP(Table3[[#This Row],[station]],station_waterbody_county!A:A, station_waterbody_county!B:B)</f>
        <v>Chedabucto Bay</v>
      </c>
      <c r="D459" t="str">
        <f>_xlfn.XLOOKUP(Table3[[#This Row],[station]],station_waterbody_county!A:A, station_waterbody_county!C:C)</f>
        <v>Guysborough</v>
      </c>
      <c r="E459" s="6"/>
      <c r="F459" s="6" t="s">
        <v>310</v>
      </c>
      <c r="G459" s="4">
        <v>45582</v>
      </c>
      <c r="H459" s="5">
        <v>0.56666666666666665</v>
      </c>
      <c r="I459" s="4">
        <v>45791</v>
      </c>
      <c r="J459" s="5">
        <v>0.64513888888888893</v>
      </c>
      <c r="K459" s="10"/>
      <c r="O459" s="6" t="s">
        <v>504</v>
      </c>
      <c r="P459" s="6" t="s">
        <v>505</v>
      </c>
      <c r="Q459" s="6" t="s">
        <v>1259</v>
      </c>
      <c r="R459" s="6" t="s">
        <v>1260</v>
      </c>
      <c r="S459" s="6" t="s">
        <v>239</v>
      </c>
      <c r="T459" s="11">
        <v>21927325</v>
      </c>
      <c r="U459" s="7">
        <v>10</v>
      </c>
      <c r="V459" s="6" t="s">
        <v>36</v>
      </c>
      <c r="W459" s="7">
        <v>18</v>
      </c>
      <c r="X459" s="6" t="s">
        <v>35</v>
      </c>
      <c r="Y459" s="7">
        <v>1.2</v>
      </c>
      <c r="Z459" s="7">
        <v>1.5</v>
      </c>
      <c r="AA459" s="6" t="s">
        <v>251</v>
      </c>
      <c r="AB459" s="6" t="s">
        <v>38</v>
      </c>
      <c r="AD459" s="6" t="s">
        <v>39</v>
      </c>
      <c r="AE459" s="6"/>
      <c r="AG459" s="6" t="s">
        <v>37</v>
      </c>
      <c r="AH459" s="7">
        <v>60</v>
      </c>
      <c r="AI459" s="6" t="s">
        <v>40</v>
      </c>
      <c r="AJ459" s="6" t="s">
        <v>238</v>
      </c>
      <c r="AK459" s="6" t="s">
        <v>35</v>
      </c>
      <c r="AL459" s="6" t="s">
        <v>41</v>
      </c>
      <c r="AM459" s="6" t="s">
        <v>41</v>
      </c>
    </row>
    <row r="460" spans="1:39" x14ac:dyDescent="0.25">
      <c r="A460" s="4">
        <v>45798</v>
      </c>
      <c r="B460" s="6" t="s">
        <v>184</v>
      </c>
      <c r="C460" t="str">
        <f>_xlfn.XLOOKUP(Table3[[#This Row],[station]],station_waterbody_county!A:A, station_waterbody_county!B:B)</f>
        <v>Chedabucto Bay</v>
      </c>
      <c r="D460" t="str">
        <f>_xlfn.XLOOKUP(Table3[[#This Row],[station]],station_waterbody_county!A:A, station_waterbody_county!C:C)</f>
        <v>Guysborough</v>
      </c>
      <c r="E460" s="6"/>
      <c r="F460" s="6" t="s">
        <v>310</v>
      </c>
      <c r="G460" s="4">
        <v>45582</v>
      </c>
      <c r="H460" s="5">
        <v>0.56666666666666665</v>
      </c>
      <c r="I460" s="4">
        <v>45791</v>
      </c>
      <c r="J460" s="5">
        <v>0.64513888888888893</v>
      </c>
      <c r="K460" s="10"/>
      <c r="O460" s="6" t="s">
        <v>504</v>
      </c>
      <c r="P460" s="6" t="s">
        <v>505</v>
      </c>
      <c r="Q460" s="6" t="s">
        <v>1259</v>
      </c>
      <c r="R460" s="6" t="s">
        <v>1260</v>
      </c>
      <c r="S460" s="6" t="s">
        <v>239</v>
      </c>
      <c r="T460" s="11">
        <v>21927303</v>
      </c>
      <c r="U460" s="7">
        <v>15</v>
      </c>
      <c r="V460" s="6" t="s">
        <v>36</v>
      </c>
      <c r="W460" s="7">
        <v>18</v>
      </c>
      <c r="X460" s="6" t="s">
        <v>35</v>
      </c>
      <c r="Y460" s="7">
        <v>1.2</v>
      </c>
      <c r="Z460" s="7">
        <v>1.5</v>
      </c>
      <c r="AA460" s="6" t="s">
        <v>251</v>
      </c>
      <c r="AB460" s="6" t="s">
        <v>38</v>
      </c>
      <c r="AD460" s="6" t="s">
        <v>39</v>
      </c>
      <c r="AE460" s="6"/>
      <c r="AG460" s="6" t="s">
        <v>37</v>
      </c>
      <c r="AH460" s="7">
        <v>60</v>
      </c>
      <c r="AI460" s="6" t="s">
        <v>40</v>
      </c>
      <c r="AJ460" s="6" t="s">
        <v>238</v>
      </c>
      <c r="AK460" s="6" t="s">
        <v>35</v>
      </c>
      <c r="AL460" s="6" t="s">
        <v>41</v>
      </c>
      <c r="AM460" s="6" t="s">
        <v>41</v>
      </c>
    </row>
    <row r="461" spans="1:39" x14ac:dyDescent="0.25">
      <c r="A461" s="4">
        <v>45798</v>
      </c>
      <c r="B461" s="6" t="s">
        <v>184</v>
      </c>
      <c r="C461" t="str">
        <f>_xlfn.XLOOKUP(Table3[[#This Row],[station]],station_waterbody_county!A:A, station_waterbody_county!B:B)</f>
        <v>Chedabucto Bay</v>
      </c>
      <c r="D461" t="str">
        <f>_xlfn.XLOOKUP(Table3[[#This Row],[station]],station_waterbody_county!A:A, station_waterbody_county!C:C)</f>
        <v>Guysborough</v>
      </c>
      <c r="E461" s="6"/>
      <c r="F461" s="6" t="s">
        <v>310</v>
      </c>
      <c r="G461" s="4">
        <v>45582</v>
      </c>
      <c r="H461" s="5">
        <v>0.56666666666666665</v>
      </c>
      <c r="I461" s="4">
        <v>45791</v>
      </c>
      <c r="J461" s="5">
        <v>0.64513888888888893</v>
      </c>
      <c r="K461" s="10"/>
      <c r="O461" s="6" t="s">
        <v>504</v>
      </c>
      <c r="P461" s="6" t="s">
        <v>505</v>
      </c>
      <c r="Q461" s="6" t="s">
        <v>1259</v>
      </c>
      <c r="R461" s="6" t="s">
        <v>1260</v>
      </c>
      <c r="S461" s="6" t="s">
        <v>239</v>
      </c>
      <c r="T461" s="11">
        <v>21927316</v>
      </c>
      <c r="U461" s="7">
        <v>20</v>
      </c>
      <c r="V461" s="6" t="s">
        <v>36</v>
      </c>
      <c r="W461" s="7">
        <v>18</v>
      </c>
      <c r="X461" s="6" t="s">
        <v>35</v>
      </c>
      <c r="Y461" s="7">
        <v>1.2</v>
      </c>
      <c r="Z461" s="7">
        <v>1.5</v>
      </c>
      <c r="AA461" s="6" t="s">
        <v>251</v>
      </c>
      <c r="AB461" s="6" t="s">
        <v>38</v>
      </c>
      <c r="AD461" s="6" t="s">
        <v>39</v>
      </c>
      <c r="AE461" s="6"/>
      <c r="AG461" s="6" t="s">
        <v>37</v>
      </c>
      <c r="AH461" s="7">
        <v>60</v>
      </c>
      <c r="AI461" s="6" t="s">
        <v>40</v>
      </c>
      <c r="AJ461" s="6" t="s">
        <v>238</v>
      </c>
      <c r="AK461" s="6" t="s">
        <v>35</v>
      </c>
      <c r="AL461" s="6" t="s">
        <v>41</v>
      </c>
      <c r="AM461" s="6" t="s">
        <v>41</v>
      </c>
    </row>
    <row r="462" spans="1:39" x14ac:dyDescent="0.25">
      <c r="A462" s="4">
        <v>45798</v>
      </c>
      <c r="B462" s="6" t="s">
        <v>184</v>
      </c>
      <c r="C462" t="str">
        <f>_xlfn.XLOOKUP(Table3[[#This Row],[station]],station_waterbody_county!A:A, station_waterbody_county!B:B)</f>
        <v>Chedabucto Bay</v>
      </c>
      <c r="D462" t="str">
        <f>_xlfn.XLOOKUP(Table3[[#This Row],[station]],station_waterbody_county!A:A, station_waterbody_county!C:C)</f>
        <v>Guysborough</v>
      </c>
      <c r="E462" s="6"/>
      <c r="F462" s="6" t="s">
        <v>310</v>
      </c>
      <c r="G462" s="4">
        <v>45582</v>
      </c>
      <c r="H462" s="5">
        <v>0.56666666666666665</v>
      </c>
      <c r="I462" s="4">
        <v>45791</v>
      </c>
      <c r="J462" s="5">
        <v>0.64513888888888893</v>
      </c>
      <c r="K462" s="10"/>
      <c r="O462" s="6" t="s">
        <v>504</v>
      </c>
      <c r="P462" s="6" t="s">
        <v>505</v>
      </c>
      <c r="Q462" s="6" t="s">
        <v>1259</v>
      </c>
      <c r="R462" s="6" t="s">
        <v>1260</v>
      </c>
      <c r="S462" s="6" t="s">
        <v>42</v>
      </c>
      <c r="T462" s="11">
        <v>548551</v>
      </c>
      <c r="U462" s="7">
        <v>27</v>
      </c>
      <c r="V462" s="6" t="s">
        <v>36</v>
      </c>
      <c r="W462" s="7">
        <v>18</v>
      </c>
      <c r="X462" s="6" t="s">
        <v>35</v>
      </c>
      <c r="Y462" s="7">
        <v>1.2</v>
      </c>
      <c r="Z462" s="7">
        <v>1.5</v>
      </c>
      <c r="AA462" s="6" t="s">
        <v>251</v>
      </c>
      <c r="AB462" s="6" t="s">
        <v>38</v>
      </c>
      <c r="AD462" s="6" t="s">
        <v>39</v>
      </c>
      <c r="AE462" s="6"/>
      <c r="AG462" s="6" t="s">
        <v>37</v>
      </c>
      <c r="AH462" s="7">
        <v>60</v>
      </c>
      <c r="AI462" s="6" t="s">
        <v>40</v>
      </c>
      <c r="AJ462" s="6" t="s">
        <v>238</v>
      </c>
      <c r="AK462" s="6" t="s">
        <v>35</v>
      </c>
      <c r="AL462" s="6" t="s">
        <v>41</v>
      </c>
      <c r="AM462" s="6" t="s">
        <v>41</v>
      </c>
    </row>
    <row r="463" spans="1:39" x14ac:dyDescent="0.25">
      <c r="A463" s="4">
        <v>45798</v>
      </c>
      <c r="B463" s="6" t="s">
        <v>184</v>
      </c>
      <c r="C463" t="str">
        <f>_xlfn.XLOOKUP(Table3[[#This Row],[station]],station_waterbody_county!A:A, station_waterbody_county!B:B)</f>
        <v>Chedabucto Bay</v>
      </c>
      <c r="D463" t="str">
        <f>_xlfn.XLOOKUP(Table3[[#This Row],[station]],station_waterbody_county!A:A, station_waterbody_county!C:C)</f>
        <v>Guysborough</v>
      </c>
      <c r="E463" s="6"/>
      <c r="F463" s="6" t="s">
        <v>310</v>
      </c>
      <c r="G463" s="4">
        <v>45582</v>
      </c>
      <c r="H463" s="5">
        <v>0.56666666666666665</v>
      </c>
      <c r="I463" s="4">
        <v>45791</v>
      </c>
      <c r="J463" s="5">
        <v>0.64513888888888893</v>
      </c>
      <c r="K463" s="10"/>
      <c r="O463" s="6" t="s">
        <v>504</v>
      </c>
      <c r="P463" s="6" t="s">
        <v>505</v>
      </c>
      <c r="Q463" s="6" t="s">
        <v>1259</v>
      </c>
      <c r="R463" s="6" t="s">
        <v>1260</v>
      </c>
      <c r="S463" s="6" t="s">
        <v>239</v>
      </c>
      <c r="T463" s="11">
        <v>21043077</v>
      </c>
      <c r="U463" s="7">
        <v>27</v>
      </c>
      <c r="V463" s="6" t="s">
        <v>36</v>
      </c>
      <c r="W463" s="7">
        <v>18</v>
      </c>
      <c r="X463" s="6" t="s">
        <v>35</v>
      </c>
      <c r="Y463" s="7">
        <v>1.2</v>
      </c>
      <c r="Z463" s="7">
        <v>1.5</v>
      </c>
      <c r="AA463" s="6" t="s">
        <v>251</v>
      </c>
      <c r="AB463" s="6" t="s">
        <v>38</v>
      </c>
      <c r="AD463" s="6" t="s">
        <v>39</v>
      </c>
      <c r="AE463" s="6"/>
      <c r="AG463" s="6" t="s">
        <v>37</v>
      </c>
      <c r="AH463" s="7">
        <v>60</v>
      </c>
      <c r="AI463" s="6" t="s">
        <v>40</v>
      </c>
      <c r="AJ463" s="6" t="s">
        <v>238</v>
      </c>
      <c r="AK463" s="6" t="s">
        <v>35</v>
      </c>
      <c r="AL463" s="6" t="s">
        <v>41</v>
      </c>
      <c r="AM463" s="6" t="s">
        <v>41</v>
      </c>
    </row>
    <row r="464" spans="1:39" hidden="1" x14ac:dyDescent="0.25">
      <c r="A464" s="4">
        <v>45798</v>
      </c>
      <c r="B464" s="6" t="s">
        <v>184</v>
      </c>
      <c r="C464" t="str">
        <f>_xlfn.XLOOKUP(Table3[[#This Row],[station]],station_waterbody_county!A:A, station_waterbody_county!B:B)</f>
        <v>Chedabucto Bay</v>
      </c>
      <c r="D464" t="str">
        <f>_xlfn.XLOOKUP(Table3[[#This Row],[station]],station_waterbody_county!A:A, station_waterbody_county!C:C)</f>
        <v>Guysborough</v>
      </c>
      <c r="E464" s="6"/>
      <c r="F464" s="6" t="s">
        <v>34</v>
      </c>
      <c r="G464" s="12">
        <v>45791</v>
      </c>
      <c r="H464" s="5">
        <v>0.65694444444444444</v>
      </c>
      <c r="I464" s="4"/>
      <c r="J464" s="5"/>
      <c r="K464" s="10"/>
      <c r="O464" s="6" t="s">
        <v>1261</v>
      </c>
      <c r="P464" s="6" t="s">
        <v>1262</v>
      </c>
      <c r="S464" s="6" t="s">
        <v>239</v>
      </c>
      <c r="T464" s="11">
        <v>22249016</v>
      </c>
      <c r="U464" s="7">
        <v>2</v>
      </c>
      <c r="V464" s="6" t="s">
        <v>36</v>
      </c>
      <c r="W464" s="7">
        <v>35</v>
      </c>
      <c r="X464" s="6" t="s">
        <v>35</v>
      </c>
      <c r="Y464" s="7">
        <v>0.9</v>
      </c>
      <c r="Z464" s="7">
        <v>1.5</v>
      </c>
      <c r="AA464" s="6" t="s">
        <v>251</v>
      </c>
      <c r="AB464" s="6" t="s">
        <v>38</v>
      </c>
      <c r="AD464" s="6" t="s">
        <v>39</v>
      </c>
      <c r="AE464" s="6" t="s">
        <v>40</v>
      </c>
      <c r="AG464" s="6" t="s">
        <v>37</v>
      </c>
      <c r="AH464" s="7">
        <v>60</v>
      </c>
      <c r="AI464" s="6" t="s">
        <v>40</v>
      </c>
      <c r="AJ464" s="6" t="s">
        <v>238</v>
      </c>
      <c r="AL464" s="6" t="s">
        <v>41</v>
      </c>
    </row>
    <row r="465" spans="1:38" hidden="1" x14ac:dyDescent="0.25">
      <c r="A465" s="4">
        <v>45798</v>
      </c>
      <c r="B465" s="6" t="s">
        <v>184</v>
      </c>
      <c r="C465" t="str">
        <f>_xlfn.XLOOKUP(Table3[[#This Row],[station]],station_waterbody_county!A:A, station_waterbody_county!B:B)</f>
        <v>Chedabucto Bay</v>
      </c>
      <c r="D465" t="str">
        <f>_xlfn.XLOOKUP(Table3[[#This Row],[station]],station_waterbody_county!A:A, station_waterbody_county!C:C)</f>
        <v>Guysborough</v>
      </c>
      <c r="E465" s="6"/>
      <c r="F465" s="6" t="s">
        <v>34</v>
      </c>
      <c r="G465" s="12">
        <v>45791</v>
      </c>
      <c r="H465" s="5">
        <v>0.65694444444444444</v>
      </c>
      <c r="I465" s="4"/>
      <c r="J465" s="5"/>
      <c r="K465" s="10"/>
      <c r="O465" s="6" t="s">
        <v>1261</v>
      </c>
      <c r="P465" s="6" t="s">
        <v>1262</v>
      </c>
      <c r="S465" s="6" t="s">
        <v>239</v>
      </c>
      <c r="T465" s="11">
        <v>22278853</v>
      </c>
      <c r="U465" s="7">
        <v>5</v>
      </c>
      <c r="V465" s="6" t="s">
        <v>36</v>
      </c>
      <c r="W465" s="7">
        <v>35</v>
      </c>
      <c r="X465" s="6" t="s">
        <v>35</v>
      </c>
      <c r="Y465" s="7">
        <v>0.9</v>
      </c>
      <c r="Z465" s="7">
        <v>1.5</v>
      </c>
      <c r="AA465" s="6" t="s">
        <v>251</v>
      </c>
      <c r="AB465" s="6" t="s">
        <v>38</v>
      </c>
      <c r="AD465" s="6" t="s">
        <v>39</v>
      </c>
      <c r="AE465" s="6" t="s">
        <v>40</v>
      </c>
      <c r="AG465" s="6" t="s">
        <v>37</v>
      </c>
      <c r="AH465" s="7">
        <v>60</v>
      </c>
      <c r="AI465" s="6" t="s">
        <v>40</v>
      </c>
      <c r="AJ465" s="6" t="s">
        <v>238</v>
      </c>
      <c r="AL465" s="6" t="s">
        <v>41</v>
      </c>
    </row>
    <row r="466" spans="1:38" hidden="1" x14ac:dyDescent="0.25">
      <c r="A466" s="4">
        <v>45798</v>
      </c>
      <c r="B466" s="6" t="s">
        <v>184</v>
      </c>
      <c r="C466" t="str">
        <f>_xlfn.XLOOKUP(Table3[[#This Row],[station]],station_waterbody_county!A:A, station_waterbody_county!B:B)</f>
        <v>Chedabucto Bay</v>
      </c>
      <c r="D466" t="str">
        <f>_xlfn.XLOOKUP(Table3[[#This Row],[station]],station_waterbody_county!A:A, station_waterbody_county!C:C)</f>
        <v>Guysborough</v>
      </c>
      <c r="E466" s="6"/>
      <c r="F466" s="6" t="s">
        <v>34</v>
      </c>
      <c r="G466" s="12">
        <v>45791</v>
      </c>
      <c r="H466" s="5">
        <v>0.65694444444444444</v>
      </c>
      <c r="I466" s="4"/>
      <c r="J466" s="5"/>
      <c r="K466" s="10"/>
      <c r="O466" s="6" t="s">
        <v>1261</v>
      </c>
      <c r="P466" s="6" t="s">
        <v>1262</v>
      </c>
      <c r="S466" s="6" t="s">
        <v>239</v>
      </c>
      <c r="T466" s="11">
        <v>21043068</v>
      </c>
      <c r="U466" s="7">
        <v>10</v>
      </c>
      <c r="V466" s="6" t="s">
        <v>36</v>
      </c>
      <c r="W466" s="7">
        <v>35</v>
      </c>
      <c r="X466" s="6" t="s">
        <v>35</v>
      </c>
      <c r="Y466" s="7">
        <v>0.9</v>
      </c>
      <c r="Z466" s="7">
        <v>1.5</v>
      </c>
      <c r="AA466" s="6" t="s">
        <v>251</v>
      </c>
      <c r="AB466" s="6" t="s">
        <v>38</v>
      </c>
      <c r="AD466" s="6" t="s">
        <v>39</v>
      </c>
      <c r="AE466" s="6" t="s">
        <v>40</v>
      </c>
      <c r="AG466" s="6" t="s">
        <v>37</v>
      </c>
      <c r="AH466" s="7">
        <v>60</v>
      </c>
      <c r="AI466" s="6" t="s">
        <v>40</v>
      </c>
      <c r="AJ466" s="6" t="s">
        <v>238</v>
      </c>
      <c r="AL466" s="6" t="s">
        <v>41</v>
      </c>
    </row>
    <row r="467" spans="1:38" hidden="1" x14ac:dyDescent="0.25">
      <c r="A467" s="4">
        <v>45798</v>
      </c>
      <c r="B467" s="6" t="s">
        <v>184</v>
      </c>
      <c r="C467" t="str">
        <f>_xlfn.XLOOKUP(Table3[[#This Row],[station]],station_waterbody_county!A:A, station_waterbody_county!B:B)</f>
        <v>Chedabucto Bay</v>
      </c>
      <c r="D467" t="str">
        <f>_xlfn.XLOOKUP(Table3[[#This Row],[station]],station_waterbody_county!A:A, station_waterbody_county!C:C)</f>
        <v>Guysborough</v>
      </c>
      <c r="E467" s="6"/>
      <c r="F467" s="6" t="s">
        <v>34</v>
      </c>
      <c r="G467" s="12">
        <v>45791</v>
      </c>
      <c r="H467" s="5">
        <v>0.65694444444444444</v>
      </c>
      <c r="I467" s="4"/>
      <c r="J467" s="5"/>
      <c r="K467" s="10"/>
      <c r="O467" s="6" t="s">
        <v>1261</v>
      </c>
      <c r="P467" s="6" t="s">
        <v>1262</v>
      </c>
      <c r="S467" s="6" t="s">
        <v>239</v>
      </c>
      <c r="T467" s="11">
        <v>20308042</v>
      </c>
      <c r="U467" s="7">
        <v>15</v>
      </c>
      <c r="V467" s="6" t="s">
        <v>36</v>
      </c>
      <c r="W467" s="7">
        <v>35</v>
      </c>
      <c r="X467" s="6" t="s">
        <v>35</v>
      </c>
      <c r="Y467" s="7">
        <v>0.9</v>
      </c>
      <c r="Z467" s="7">
        <v>1.5</v>
      </c>
      <c r="AA467" s="6" t="s">
        <v>251</v>
      </c>
      <c r="AB467" s="6" t="s">
        <v>38</v>
      </c>
      <c r="AD467" s="6" t="s">
        <v>39</v>
      </c>
      <c r="AE467" s="6" t="s">
        <v>40</v>
      </c>
      <c r="AG467" s="6" t="s">
        <v>37</v>
      </c>
      <c r="AH467" s="7">
        <v>60</v>
      </c>
      <c r="AI467" s="6" t="s">
        <v>40</v>
      </c>
      <c r="AJ467" s="6" t="s">
        <v>238</v>
      </c>
      <c r="AL467" s="6" t="s">
        <v>41</v>
      </c>
    </row>
    <row r="468" spans="1:38" hidden="1" x14ac:dyDescent="0.25">
      <c r="A468" s="4">
        <v>45798</v>
      </c>
      <c r="B468" s="6" t="s">
        <v>184</v>
      </c>
      <c r="C468" t="str">
        <f>_xlfn.XLOOKUP(Table3[[#This Row],[station]],station_waterbody_county!A:A, station_waterbody_county!B:B)</f>
        <v>Chedabucto Bay</v>
      </c>
      <c r="D468" t="str">
        <f>_xlfn.XLOOKUP(Table3[[#This Row],[station]],station_waterbody_county!A:A, station_waterbody_county!C:C)</f>
        <v>Guysborough</v>
      </c>
      <c r="E468" s="6"/>
      <c r="F468" s="6" t="s">
        <v>34</v>
      </c>
      <c r="G468" s="12">
        <v>45791</v>
      </c>
      <c r="H468" s="5">
        <v>0.65694444444444444</v>
      </c>
      <c r="I468" s="4"/>
      <c r="J468" s="5"/>
      <c r="K468" s="10"/>
      <c r="O468" s="6" t="s">
        <v>1261</v>
      </c>
      <c r="P468" s="6" t="s">
        <v>1262</v>
      </c>
      <c r="S468" s="6" t="s">
        <v>239</v>
      </c>
      <c r="T468" s="11">
        <v>20495203</v>
      </c>
      <c r="U468" s="7">
        <v>20</v>
      </c>
      <c r="V468" s="6" t="s">
        <v>36</v>
      </c>
      <c r="W468" s="7">
        <v>35</v>
      </c>
      <c r="X468" s="6" t="s">
        <v>35</v>
      </c>
      <c r="Y468" s="7">
        <v>0.9</v>
      </c>
      <c r="Z468" s="7">
        <v>1.5</v>
      </c>
      <c r="AA468" s="6" t="s">
        <v>251</v>
      </c>
      <c r="AB468" s="6" t="s">
        <v>38</v>
      </c>
      <c r="AD468" s="6" t="s">
        <v>39</v>
      </c>
      <c r="AE468" s="6" t="s">
        <v>40</v>
      </c>
      <c r="AG468" s="6" t="s">
        <v>37</v>
      </c>
      <c r="AH468" s="7">
        <v>60</v>
      </c>
      <c r="AI468" s="6" t="s">
        <v>40</v>
      </c>
      <c r="AJ468" s="6" t="s">
        <v>238</v>
      </c>
      <c r="AL468" s="6" t="s">
        <v>41</v>
      </c>
    </row>
    <row r="469" spans="1:38" hidden="1" x14ac:dyDescent="0.25">
      <c r="A469" s="4">
        <v>45798</v>
      </c>
      <c r="B469" s="6" t="s">
        <v>184</v>
      </c>
      <c r="C469" t="str">
        <f>_xlfn.XLOOKUP(Table3[[#This Row],[station]],station_waterbody_county!A:A, station_waterbody_county!B:B)</f>
        <v>Chedabucto Bay</v>
      </c>
      <c r="D469" t="str">
        <f>_xlfn.XLOOKUP(Table3[[#This Row],[station]],station_waterbody_county!A:A, station_waterbody_county!C:C)</f>
        <v>Guysborough</v>
      </c>
      <c r="E469" s="6"/>
      <c r="F469" s="6" t="s">
        <v>34</v>
      </c>
      <c r="G469" s="12">
        <v>45791</v>
      </c>
      <c r="H469" s="5">
        <v>0.65694444444444444</v>
      </c>
      <c r="I469" s="4"/>
      <c r="J469" s="5"/>
      <c r="K469" s="10"/>
      <c r="O469" s="6" t="s">
        <v>1261</v>
      </c>
      <c r="P469" s="6" t="s">
        <v>1262</v>
      </c>
      <c r="S469" s="6" t="s">
        <v>42</v>
      </c>
      <c r="T469" s="11">
        <v>548600</v>
      </c>
      <c r="U469" s="7">
        <v>27</v>
      </c>
      <c r="V469" s="6" t="s">
        <v>36</v>
      </c>
      <c r="W469" s="7">
        <v>35</v>
      </c>
      <c r="X469" s="6" t="s">
        <v>35</v>
      </c>
      <c r="Y469" s="7">
        <v>0.9</v>
      </c>
      <c r="Z469" s="7">
        <v>1.5</v>
      </c>
      <c r="AA469" s="6" t="s">
        <v>251</v>
      </c>
      <c r="AB469" s="6" t="s">
        <v>38</v>
      </c>
      <c r="AD469" s="6" t="s">
        <v>39</v>
      </c>
      <c r="AE469" s="6" t="s">
        <v>40</v>
      </c>
      <c r="AG469" s="6" t="s">
        <v>37</v>
      </c>
      <c r="AH469" s="7">
        <v>60</v>
      </c>
      <c r="AI469" s="6" t="s">
        <v>40</v>
      </c>
      <c r="AJ469" s="6" t="s">
        <v>238</v>
      </c>
      <c r="AL469" s="6" t="s">
        <v>41</v>
      </c>
    </row>
    <row r="470" spans="1:38" hidden="1" x14ac:dyDescent="0.25">
      <c r="A470" s="4">
        <v>45798</v>
      </c>
      <c r="B470" s="6" t="s">
        <v>184</v>
      </c>
      <c r="C470" t="str">
        <f>_xlfn.XLOOKUP(Table3[[#This Row],[station]],station_waterbody_county!A:A, station_waterbody_county!B:B)</f>
        <v>Chedabucto Bay</v>
      </c>
      <c r="D470" t="str">
        <f>_xlfn.XLOOKUP(Table3[[#This Row],[station]],station_waterbody_county!A:A, station_waterbody_county!C:C)</f>
        <v>Guysborough</v>
      </c>
      <c r="E470" s="6"/>
      <c r="F470" s="6" t="s">
        <v>34</v>
      </c>
      <c r="G470" s="12">
        <v>45791</v>
      </c>
      <c r="H470" s="5">
        <v>0.65694444444444444</v>
      </c>
      <c r="I470" s="4"/>
      <c r="J470" s="5"/>
      <c r="K470" s="10"/>
      <c r="O470" s="6" t="s">
        <v>1261</v>
      </c>
      <c r="P470" s="6" t="s">
        <v>1262</v>
      </c>
      <c r="S470" s="6" t="s">
        <v>239</v>
      </c>
      <c r="T470" s="11">
        <v>22278832</v>
      </c>
      <c r="U470" s="7">
        <v>27</v>
      </c>
      <c r="V470" s="6" t="s">
        <v>36</v>
      </c>
      <c r="W470" s="7">
        <v>35</v>
      </c>
      <c r="X470" s="6" t="s">
        <v>35</v>
      </c>
      <c r="Y470" s="7">
        <v>0.9</v>
      </c>
      <c r="Z470" s="7">
        <v>1.5</v>
      </c>
      <c r="AA470" s="6" t="s">
        <v>251</v>
      </c>
      <c r="AB470" s="6" t="s">
        <v>38</v>
      </c>
      <c r="AD470" s="6" t="s">
        <v>39</v>
      </c>
      <c r="AE470" s="6" t="s">
        <v>40</v>
      </c>
      <c r="AG470" s="6" t="s">
        <v>37</v>
      </c>
      <c r="AH470" s="7">
        <v>60</v>
      </c>
      <c r="AI470" s="6" t="s">
        <v>40</v>
      </c>
      <c r="AJ470" s="6" t="s">
        <v>238</v>
      </c>
      <c r="AL470" s="6" t="s">
        <v>41</v>
      </c>
    </row>
    <row r="471" spans="1:38" hidden="1" x14ac:dyDescent="0.25">
      <c r="A471" s="4">
        <v>45856</v>
      </c>
      <c r="B471" s="6" t="s">
        <v>1082</v>
      </c>
      <c r="C471" s="6" t="str">
        <f>_xlfn.XLOOKUP(Table3[[#This Row],[station]],station_waterbody_county!A:A, station_waterbody_county!B:B)</f>
        <v>Ships Channel</v>
      </c>
      <c r="D471" s="3" t="str">
        <f>_xlfn.XLOOKUP(Table3[[#This Row],[station]],station_waterbody_county!A:A, station_waterbody_county!C:C)</f>
        <v>Lunenburg</v>
      </c>
      <c r="E471" s="6"/>
      <c r="F471" s="6" t="s">
        <v>34</v>
      </c>
      <c r="G471" s="12">
        <v>45852</v>
      </c>
      <c r="H471" s="5">
        <v>0.59652777777777777</v>
      </c>
      <c r="I471" s="4"/>
      <c r="J471" s="5"/>
      <c r="K471" s="10"/>
      <c r="O471" s="6" t="s">
        <v>1357</v>
      </c>
      <c r="P471" s="6" t="s">
        <v>1358</v>
      </c>
      <c r="S471" s="6" t="s">
        <v>239</v>
      </c>
      <c r="T471" s="11">
        <v>22311500</v>
      </c>
      <c r="U471" s="7">
        <v>2</v>
      </c>
      <c r="V471" s="6" t="s">
        <v>36</v>
      </c>
      <c r="W471" s="7">
        <v>31.1</v>
      </c>
      <c r="X471" s="6" t="s">
        <v>35</v>
      </c>
      <c r="Y471" s="7">
        <v>1.89</v>
      </c>
      <c r="Z471" s="7">
        <v>0.5</v>
      </c>
      <c r="AA471" s="6" t="s">
        <v>370</v>
      </c>
      <c r="AB471" s="6" t="s">
        <v>321</v>
      </c>
      <c r="AC471" s="6" t="s">
        <v>321</v>
      </c>
      <c r="AD471" s="6" t="s">
        <v>39</v>
      </c>
      <c r="AE471" s="6" t="s">
        <v>1244</v>
      </c>
      <c r="AF471" s="11">
        <v>1</v>
      </c>
      <c r="AG471" s="6" t="s">
        <v>37</v>
      </c>
      <c r="AH471" s="7">
        <v>60</v>
      </c>
      <c r="AI471" s="6" t="s">
        <v>40</v>
      </c>
      <c r="AJ471" s="6" t="s">
        <v>238</v>
      </c>
      <c r="AK471" s="6" t="s">
        <v>241</v>
      </c>
      <c r="AL471" s="6" t="s">
        <v>41</v>
      </c>
    </row>
    <row r="472" spans="1:38" hidden="1" x14ac:dyDescent="0.25">
      <c r="A472" s="4">
        <v>45856</v>
      </c>
      <c r="B472" s="6" t="s">
        <v>1082</v>
      </c>
      <c r="C472" s="6" t="str">
        <f>_xlfn.XLOOKUP(Table3[[#This Row],[station]],station_waterbody_county!A:A, station_waterbody_county!B:B)</f>
        <v>Ships Channel</v>
      </c>
      <c r="D472" s="3" t="str">
        <f>_xlfn.XLOOKUP(Table3[[#This Row],[station]],station_waterbody_county!A:A, station_waterbody_county!C:C)</f>
        <v>Lunenburg</v>
      </c>
      <c r="E472" s="6"/>
      <c r="F472" s="6" t="s">
        <v>34</v>
      </c>
      <c r="G472" s="12">
        <v>45852</v>
      </c>
      <c r="H472" s="5">
        <v>0.59652777777777777</v>
      </c>
      <c r="I472" s="4"/>
      <c r="J472" s="5"/>
      <c r="K472" s="10"/>
      <c r="O472" s="6" t="s">
        <v>1357</v>
      </c>
      <c r="P472" s="6" t="s">
        <v>1358</v>
      </c>
      <c r="S472" s="6" t="s">
        <v>239</v>
      </c>
      <c r="T472" s="11">
        <v>21981718</v>
      </c>
      <c r="U472" s="7">
        <v>5</v>
      </c>
      <c r="V472" s="6" t="s">
        <v>36</v>
      </c>
      <c r="W472" s="7">
        <v>31.1</v>
      </c>
      <c r="X472" s="6" t="s">
        <v>35</v>
      </c>
      <c r="Y472" s="7">
        <v>1.89</v>
      </c>
      <c r="Z472" s="7">
        <v>0.5</v>
      </c>
      <c r="AA472" s="6" t="s">
        <v>370</v>
      </c>
      <c r="AB472" s="6" t="s">
        <v>321</v>
      </c>
      <c r="AC472" s="6" t="s">
        <v>321</v>
      </c>
      <c r="AD472" s="6" t="s">
        <v>39</v>
      </c>
      <c r="AE472" s="6" t="s">
        <v>1244</v>
      </c>
      <c r="AF472" s="11">
        <v>1</v>
      </c>
      <c r="AG472" s="6" t="s">
        <v>37</v>
      </c>
      <c r="AH472" s="7">
        <v>60</v>
      </c>
      <c r="AI472" s="6" t="s">
        <v>40</v>
      </c>
      <c r="AJ472" s="6" t="s">
        <v>238</v>
      </c>
      <c r="AK472" s="6" t="s">
        <v>241</v>
      </c>
      <c r="AL472" s="6" t="s">
        <v>41</v>
      </c>
    </row>
    <row r="473" spans="1:38" hidden="1" x14ac:dyDescent="0.25">
      <c r="A473" s="4">
        <v>45856</v>
      </c>
      <c r="B473" s="6" t="s">
        <v>1082</v>
      </c>
      <c r="C473" s="6" t="str">
        <f>_xlfn.XLOOKUP(Table3[[#This Row],[station]],station_waterbody_county!A:A, station_waterbody_county!B:B)</f>
        <v>Ships Channel</v>
      </c>
      <c r="D473" s="3" t="str">
        <f>_xlfn.XLOOKUP(Table3[[#This Row],[station]],station_waterbody_county!A:A, station_waterbody_county!C:C)</f>
        <v>Lunenburg</v>
      </c>
      <c r="E473" s="6"/>
      <c r="F473" s="6" t="s">
        <v>34</v>
      </c>
      <c r="G473" s="12">
        <v>45852</v>
      </c>
      <c r="H473" s="5">
        <v>0.59652777777777777</v>
      </c>
      <c r="I473" s="4"/>
      <c r="J473" s="5"/>
      <c r="K473" s="10"/>
      <c r="O473" s="6" t="s">
        <v>1357</v>
      </c>
      <c r="P473" s="6" t="s">
        <v>1358</v>
      </c>
      <c r="S473" s="6" t="s">
        <v>239</v>
      </c>
      <c r="T473" s="11">
        <v>22048609</v>
      </c>
      <c r="U473" s="7">
        <v>10</v>
      </c>
      <c r="V473" s="6" t="s">
        <v>36</v>
      </c>
      <c r="W473" s="7">
        <v>31.1</v>
      </c>
      <c r="X473" s="6" t="s">
        <v>35</v>
      </c>
      <c r="Y473" s="7">
        <v>1.89</v>
      </c>
      <c r="Z473" s="7">
        <v>0.5</v>
      </c>
      <c r="AA473" s="6" t="s">
        <v>370</v>
      </c>
      <c r="AB473" s="6" t="s">
        <v>321</v>
      </c>
      <c r="AC473" s="6" t="s">
        <v>321</v>
      </c>
      <c r="AD473" s="6" t="s">
        <v>39</v>
      </c>
      <c r="AE473" s="6" t="s">
        <v>1244</v>
      </c>
      <c r="AF473" s="11">
        <v>1</v>
      </c>
      <c r="AG473" s="6" t="s">
        <v>37</v>
      </c>
      <c r="AH473" s="7">
        <v>60</v>
      </c>
      <c r="AI473" s="6" t="s">
        <v>40</v>
      </c>
      <c r="AJ473" s="6" t="s">
        <v>238</v>
      </c>
      <c r="AK473" s="6" t="s">
        <v>241</v>
      </c>
      <c r="AL473" s="6" t="s">
        <v>41</v>
      </c>
    </row>
    <row r="474" spans="1:38" hidden="1" x14ac:dyDescent="0.25">
      <c r="A474" s="4">
        <v>45856</v>
      </c>
      <c r="B474" s="6" t="s">
        <v>1082</v>
      </c>
      <c r="C474" s="6" t="str">
        <f>_xlfn.XLOOKUP(Table3[[#This Row],[station]],station_waterbody_county!A:A, station_waterbody_county!B:B)</f>
        <v>Ships Channel</v>
      </c>
      <c r="D474" s="3" t="str">
        <f>_xlfn.XLOOKUP(Table3[[#This Row],[station]],station_waterbody_county!A:A, station_waterbody_county!C:C)</f>
        <v>Lunenburg</v>
      </c>
      <c r="E474" s="6"/>
      <c r="F474" s="6" t="s">
        <v>34</v>
      </c>
      <c r="G474" s="12">
        <v>45852</v>
      </c>
      <c r="H474" s="5">
        <v>0.59652777777777777</v>
      </c>
      <c r="I474" s="4"/>
      <c r="J474" s="5"/>
      <c r="K474" s="10"/>
      <c r="O474" s="6" t="s">
        <v>1357</v>
      </c>
      <c r="P474" s="6" t="s">
        <v>1358</v>
      </c>
      <c r="S474" s="6" t="s">
        <v>239</v>
      </c>
      <c r="T474" s="11">
        <v>22310021</v>
      </c>
      <c r="U474" s="7">
        <v>15</v>
      </c>
      <c r="V474" s="6" t="s">
        <v>36</v>
      </c>
      <c r="W474" s="7">
        <v>31.1</v>
      </c>
      <c r="X474" s="6" t="s">
        <v>35</v>
      </c>
      <c r="Y474" s="7">
        <v>1.89</v>
      </c>
      <c r="Z474" s="7">
        <v>0.5</v>
      </c>
      <c r="AA474" s="6" t="s">
        <v>370</v>
      </c>
      <c r="AB474" s="6" t="s">
        <v>321</v>
      </c>
      <c r="AC474" s="6" t="s">
        <v>321</v>
      </c>
      <c r="AD474" s="6" t="s">
        <v>39</v>
      </c>
      <c r="AE474" s="6" t="s">
        <v>1244</v>
      </c>
      <c r="AF474" s="11">
        <v>1</v>
      </c>
      <c r="AG474" s="6" t="s">
        <v>37</v>
      </c>
      <c r="AH474" s="7">
        <v>60</v>
      </c>
      <c r="AI474" s="6" t="s">
        <v>40</v>
      </c>
      <c r="AJ474" s="6" t="s">
        <v>238</v>
      </c>
      <c r="AK474" s="6" t="s">
        <v>241</v>
      </c>
      <c r="AL474" s="6" t="s">
        <v>41</v>
      </c>
    </row>
    <row r="475" spans="1:38" hidden="1" x14ac:dyDescent="0.25">
      <c r="A475" s="4">
        <v>45856</v>
      </c>
      <c r="B475" s="6" t="s">
        <v>1082</v>
      </c>
      <c r="C475" s="6" t="str">
        <f>_xlfn.XLOOKUP(Table3[[#This Row],[station]],station_waterbody_county!A:A, station_waterbody_county!B:B)</f>
        <v>Ships Channel</v>
      </c>
      <c r="D475" s="3" t="str">
        <f>_xlfn.XLOOKUP(Table3[[#This Row],[station]],station_waterbody_county!A:A, station_waterbody_county!C:C)</f>
        <v>Lunenburg</v>
      </c>
      <c r="E475" s="6"/>
      <c r="F475" s="6" t="s">
        <v>34</v>
      </c>
      <c r="G475" s="12">
        <v>45852</v>
      </c>
      <c r="H475" s="5">
        <v>0.59652777777777777</v>
      </c>
      <c r="I475" s="4"/>
      <c r="J475" s="5"/>
      <c r="K475" s="10"/>
      <c r="O475" s="6" t="s">
        <v>1357</v>
      </c>
      <c r="P475" s="6" t="s">
        <v>1358</v>
      </c>
      <c r="S475" s="6" t="s">
        <v>239</v>
      </c>
      <c r="T475" s="11">
        <v>20495211</v>
      </c>
      <c r="U475" s="7">
        <v>20</v>
      </c>
      <c r="V475" s="6" t="s">
        <v>36</v>
      </c>
      <c r="W475" s="7">
        <v>31.1</v>
      </c>
      <c r="X475" s="6" t="s">
        <v>35</v>
      </c>
      <c r="Y475" s="7">
        <v>1.89</v>
      </c>
      <c r="Z475" s="7">
        <v>0.5</v>
      </c>
      <c r="AA475" s="6" t="s">
        <v>370</v>
      </c>
      <c r="AB475" s="6" t="s">
        <v>321</v>
      </c>
      <c r="AC475" s="6" t="s">
        <v>321</v>
      </c>
      <c r="AD475" s="6" t="s">
        <v>39</v>
      </c>
      <c r="AE475" s="6" t="s">
        <v>1244</v>
      </c>
      <c r="AF475" s="11">
        <v>1</v>
      </c>
      <c r="AG475" s="6" t="s">
        <v>37</v>
      </c>
      <c r="AH475" s="7">
        <v>60</v>
      </c>
      <c r="AI475" s="6" t="s">
        <v>40</v>
      </c>
      <c r="AJ475" s="6" t="s">
        <v>238</v>
      </c>
      <c r="AK475" s="6" t="s">
        <v>241</v>
      </c>
      <c r="AL475" s="6" t="s">
        <v>41</v>
      </c>
    </row>
    <row r="476" spans="1:38" hidden="1" x14ac:dyDescent="0.25">
      <c r="A476" s="4">
        <v>45856</v>
      </c>
      <c r="B476" s="6" t="s">
        <v>1082</v>
      </c>
      <c r="C476" s="6" t="str">
        <f>_xlfn.XLOOKUP(Table3[[#This Row],[station]],station_waterbody_county!A:A, station_waterbody_county!B:B)</f>
        <v>Ships Channel</v>
      </c>
      <c r="D476" s="3" t="str">
        <f>_xlfn.XLOOKUP(Table3[[#This Row],[station]],station_waterbody_county!A:A, station_waterbody_county!C:C)</f>
        <v>Lunenburg</v>
      </c>
      <c r="E476" s="6"/>
      <c r="F476" s="6" t="s">
        <v>34</v>
      </c>
      <c r="G476" s="12">
        <v>45852</v>
      </c>
      <c r="H476" s="5">
        <v>0.59652777777777777</v>
      </c>
      <c r="I476" s="4"/>
      <c r="J476" s="5"/>
      <c r="K476" s="10"/>
      <c r="O476" s="6" t="s">
        <v>1357</v>
      </c>
      <c r="P476" s="6" t="s">
        <v>1358</v>
      </c>
      <c r="S476" s="6" t="s">
        <v>42</v>
      </c>
      <c r="T476" s="11">
        <v>551264</v>
      </c>
      <c r="U476" s="7">
        <v>30</v>
      </c>
      <c r="V476" s="6" t="s">
        <v>36</v>
      </c>
      <c r="W476" s="7">
        <v>31.1</v>
      </c>
      <c r="X476" s="6" t="s">
        <v>35</v>
      </c>
      <c r="Y476" s="7">
        <v>1.89</v>
      </c>
      <c r="Z476" s="7">
        <v>0.5</v>
      </c>
      <c r="AA476" s="6" t="s">
        <v>370</v>
      </c>
      <c r="AB476" s="6" t="s">
        <v>321</v>
      </c>
      <c r="AC476" s="6" t="s">
        <v>321</v>
      </c>
      <c r="AD476" s="6" t="s">
        <v>39</v>
      </c>
      <c r="AE476" s="6" t="s">
        <v>1244</v>
      </c>
      <c r="AF476" s="11">
        <v>1</v>
      </c>
      <c r="AG476" s="6" t="s">
        <v>37</v>
      </c>
      <c r="AH476" s="7">
        <v>60</v>
      </c>
      <c r="AI476" s="6" t="s">
        <v>40</v>
      </c>
      <c r="AJ476" s="6" t="s">
        <v>238</v>
      </c>
      <c r="AK476" s="6" t="s">
        <v>241</v>
      </c>
      <c r="AL476" s="6" t="s">
        <v>41</v>
      </c>
    </row>
    <row r="477" spans="1:38" hidden="1" x14ac:dyDescent="0.25">
      <c r="A477" s="4">
        <v>45856</v>
      </c>
      <c r="B477" s="6" t="s">
        <v>1082</v>
      </c>
      <c r="C477" s="6" t="str">
        <f>_xlfn.XLOOKUP(Table3[[#This Row],[station]],station_waterbody_county!A:A, station_waterbody_county!B:B)</f>
        <v>Ships Channel</v>
      </c>
      <c r="D477" s="3" t="str">
        <f>_xlfn.XLOOKUP(Table3[[#This Row],[station]],station_waterbody_county!A:A, station_waterbody_county!C:C)</f>
        <v>Lunenburg</v>
      </c>
      <c r="E477" s="6"/>
      <c r="F477" s="6" t="s">
        <v>34</v>
      </c>
      <c r="G477" s="12">
        <v>45852</v>
      </c>
      <c r="H477" s="5">
        <v>0.59652777777777777</v>
      </c>
      <c r="I477" s="4"/>
      <c r="J477" s="5"/>
      <c r="K477" s="10"/>
      <c r="O477" s="6" t="s">
        <v>1357</v>
      </c>
      <c r="P477" s="6" t="s">
        <v>1358</v>
      </c>
      <c r="S477" s="6" t="s">
        <v>239</v>
      </c>
      <c r="T477" s="11">
        <v>20804688</v>
      </c>
      <c r="U477" s="7">
        <v>30</v>
      </c>
      <c r="V477" s="6" t="s">
        <v>36</v>
      </c>
      <c r="W477" s="7">
        <v>31.1</v>
      </c>
      <c r="X477" s="6" t="s">
        <v>35</v>
      </c>
      <c r="Y477" s="7">
        <v>1.89</v>
      </c>
      <c r="Z477" s="7">
        <v>0.5</v>
      </c>
      <c r="AA477" s="6" t="s">
        <v>370</v>
      </c>
      <c r="AB477" s="6" t="s">
        <v>321</v>
      </c>
      <c r="AC477" s="6" t="s">
        <v>321</v>
      </c>
      <c r="AD477" s="6" t="s">
        <v>39</v>
      </c>
      <c r="AE477" s="6" t="s">
        <v>1244</v>
      </c>
      <c r="AF477" s="11">
        <v>1</v>
      </c>
      <c r="AG477" s="6" t="s">
        <v>37</v>
      </c>
      <c r="AH477" s="7">
        <v>60</v>
      </c>
      <c r="AI477" s="6" t="s">
        <v>40</v>
      </c>
      <c r="AJ477" s="6" t="s">
        <v>238</v>
      </c>
      <c r="AK477" s="6" t="s">
        <v>241</v>
      </c>
      <c r="AL477" s="6" t="s">
        <v>41</v>
      </c>
    </row>
    <row r="478" spans="1:38" hidden="1" x14ac:dyDescent="0.25">
      <c r="A478" s="4">
        <v>45863</v>
      </c>
      <c r="B478" s="6" t="s">
        <v>1360</v>
      </c>
      <c r="C478" s="6" t="str">
        <f>_xlfn.XLOOKUP(Table3[[#This Row],[station]],station_waterbody_county!A:A, station_waterbody_county!B:B)</f>
        <v>St. Andrews Channel</v>
      </c>
      <c r="D478" s="3" t="str">
        <f>_xlfn.XLOOKUP(Table3[[#This Row],[station]],station_waterbody_county!A:A, station_waterbody_county!C:C)</f>
        <v>Cape Breton</v>
      </c>
      <c r="E478" s="6"/>
      <c r="F478" s="6" t="s">
        <v>34</v>
      </c>
      <c r="G478" s="12">
        <v>45840</v>
      </c>
      <c r="H478" s="5">
        <v>0.85069444444444442</v>
      </c>
      <c r="I478" s="4"/>
      <c r="J478" s="5"/>
      <c r="K478" s="10"/>
      <c r="O478" s="6" t="s">
        <v>1363</v>
      </c>
      <c r="P478" s="6" t="s">
        <v>1364</v>
      </c>
      <c r="S478" s="6" t="s">
        <v>239</v>
      </c>
      <c r="T478" s="11">
        <v>21927293</v>
      </c>
      <c r="U478" s="7">
        <v>2</v>
      </c>
      <c r="V478" s="6" t="s">
        <v>36</v>
      </c>
      <c r="W478" s="7">
        <v>60</v>
      </c>
      <c r="X478" s="6" t="s">
        <v>35</v>
      </c>
      <c r="Y478" s="7"/>
      <c r="Z478" s="7">
        <v>0.5</v>
      </c>
      <c r="AA478" s="6"/>
      <c r="AB478" s="6" t="s">
        <v>38</v>
      </c>
      <c r="AD478" s="6" t="s">
        <v>39</v>
      </c>
      <c r="AE478" s="6"/>
      <c r="AG478" s="6" t="s">
        <v>37</v>
      </c>
      <c r="AH478" s="7">
        <v>60</v>
      </c>
      <c r="AI478" s="6" t="s">
        <v>40</v>
      </c>
      <c r="AJ478" s="6" t="s">
        <v>238</v>
      </c>
      <c r="AK478" s="6" t="s">
        <v>241</v>
      </c>
      <c r="AL478" s="6" t="s">
        <v>1301</v>
      </c>
    </row>
    <row r="479" spans="1:38" hidden="1" x14ac:dyDescent="0.25">
      <c r="A479" s="4">
        <v>45863</v>
      </c>
      <c r="B479" s="6" t="s">
        <v>1360</v>
      </c>
      <c r="C479" s="6" t="str">
        <f>_xlfn.XLOOKUP(Table3[[#This Row],[station]],station_waterbody_county!A:A, station_waterbody_county!B:B)</f>
        <v>St. Andrews Channel</v>
      </c>
      <c r="D479" s="3" t="str">
        <f>_xlfn.XLOOKUP(Table3[[#This Row],[station]],station_waterbody_county!A:A, station_waterbody_county!C:C)</f>
        <v>Cape Breton</v>
      </c>
      <c r="E479" s="6"/>
      <c r="F479" s="6" t="s">
        <v>34</v>
      </c>
      <c r="G479" s="12">
        <v>45840</v>
      </c>
      <c r="H479" s="5">
        <v>0.85069444444444442</v>
      </c>
      <c r="I479" s="4"/>
      <c r="J479" s="5"/>
      <c r="K479" s="10"/>
      <c r="O479" s="6" t="s">
        <v>1363</v>
      </c>
      <c r="P479" s="6" t="s">
        <v>1364</v>
      </c>
      <c r="S479" s="6" t="s">
        <v>240</v>
      </c>
      <c r="T479" s="11">
        <v>671185</v>
      </c>
      <c r="U479" s="7">
        <v>5</v>
      </c>
      <c r="V479" s="6" t="s">
        <v>36</v>
      </c>
      <c r="W479" s="7">
        <v>60</v>
      </c>
      <c r="X479" s="6" t="s">
        <v>35</v>
      </c>
      <c r="Y479" s="7"/>
      <c r="Z479" s="7">
        <v>0.5</v>
      </c>
      <c r="AA479" s="6"/>
      <c r="AB479" s="6" t="s">
        <v>38</v>
      </c>
      <c r="AD479" s="6" t="s">
        <v>39</v>
      </c>
      <c r="AE479" s="6"/>
      <c r="AG479" s="6" t="s">
        <v>37</v>
      </c>
      <c r="AH479" s="7">
        <v>60</v>
      </c>
      <c r="AI479" s="6" t="s">
        <v>40</v>
      </c>
      <c r="AJ479" s="6" t="s">
        <v>238</v>
      </c>
      <c r="AK479" s="6" t="s">
        <v>241</v>
      </c>
      <c r="AL479" s="6" t="s">
        <v>1301</v>
      </c>
    </row>
    <row r="480" spans="1:38" hidden="1" x14ac:dyDescent="0.25">
      <c r="A480" s="4">
        <v>45863</v>
      </c>
      <c r="B480" s="6" t="s">
        <v>1360</v>
      </c>
      <c r="C480" s="6" t="str">
        <f>_xlfn.XLOOKUP(Table3[[#This Row],[station]],station_waterbody_county!A:A, station_waterbody_county!B:B)</f>
        <v>St. Andrews Channel</v>
      </c>
      <c r="D480" s="3" t="str">
        <f>_xlfn.XLOOKUP(Table3[[#This Row],[station]],station_waterbody_county!A:A, station_waterbody_county!C:C)</f>
        <v>Cape Breton</v>
      </c>
      <c r="E480" s="6"/>
      <c r="F480" s="6" t="s">
        <v>34</v>
      </c>
      <c r="G480" s="12">
        <v>45840</v>
      </c>
      <c r="H480" s="5">
        <v>0.85069444444444442</v>
      </c>
      <c r="I480" s="4"/>
      <c r="J480" s="5"/>
      <c r="K480" s="10"/>
      <c r="O480" s="6" t="s">
        <v>1363</v>
      </c>
      <c r="P480" s="6" t="s">
        <v>1364</v>
      </c>
      <c r="S480" s="6" t="s">
        <v>239</v>
      </c>
      <c r="T480" s="11">
        <v>22310007</v>
      </c>
      <c r="U480" s="7">
        <v>10</v>
      </c>
      <c r="V480" s="6" t="s">
        <v>36</v>
      </c>
      <c r="W480" s="7">
        <v>60</v>
      </c>
      <c r="X480" s="6" t="s">
        <v>35</v>
      </c>
      <c r="Y480" s="7"/>
      <c r="Z480" s="7">
        <v>0.5</v>
      </c>
      <c r="AA480" s="6"/>
      <c r="AB480" s="6" t="s">
        <v>38</v>
      </c>
      <c r="AD480" s="6" t="s">
        <v>39</v>
      </c>
      <c r="AE480" s="6"/>
      <c r="AG480" s="6" t="s">
        <v>37</v>
      </c>
      <c r="AH480" s="7">
        <v>60</v>
      </c>
      <c r="AI480" s="6" t="s">
        <v>40</v>
      </c>
      <c r="AJ480" s="6" t="s">
        <v>238</v>
      </c>
      <c r="AK480" s="6" t="s">
        <v>241</v>
      </c>
      <c r="AL480" s="6" t="s">
        <v>1301</v>
      </c>
    </row>
    <row r="481" spans="1:40" hidden="1" x14ac:dyDescent="0.25">
      <c r="A481" s="4">
        <v>45863</v>
      </c>
      <c r="B481" s="6" t="s">
        <v>1360</v>
      </c>
      <c r="C481" s="6" t="str">
        <f>_xlfn.XLOOKUP(Table3[[#This Row],[station]],station_waterbody_county!A:A, station_waterbody_county!B:B)</f>
        <v>St. Andrews Channel</v>
      </c>
      <c r="D481" s="3" t="str">
        <f>_xlfn.XLOOKUP(Table3[[#This Row],[station]],station_waterbody_county!A:A, station_waterbody_county!C:C)</f>
        <v>Cape Breton</v>
      </c>
      <c r="E481" s="6"/>
      <c r="F481" s="6" t="s">
        <v>34</v>
      </c>
      <c r="G481" s="12">
        <v>45840</v>
      </c>
      <c r="H481" s="5">
        <v>0.85069444444444442</v>
      </c>
      <c r="I481" s="4"/>
      <c r="J481" s="5"/>
      <c r="K481" s="10"/>
      <c r="O481" s="6" t="s">
        <v>1363</v>
      </c>
      <c r="P481" s="6" t="s">
        <v>1364</v>
      </c>
      <c r="S481" s="6" t="s">
        <v>239</v>
      </c>
      <c r="T481" s="11">
        <v>21927318</v>
      </c>
      <c r="U481" s="7">
        <v>15</v>
      </c>
      <c r="V481" s="6" t="s">
        <v>36</v>
      </c>
      <c r="W481" s="7">
        <v>60</v>
      </c>
      <c r="X481" s="6" t="s">
        <v>35</v>
      </c>
      <c r="Y481" s="7"/>
      <c r="Z481" s="7">
        <v>0.5</v>
      </c>
      <c r="AA481" s="6"/>
      <c r="AB481" s="6" t="s">
        <v>38</v>
      </c>
      <c r="AD481" s="6" t="s">
        <v>39</v>
      </c>
      <c r="AE481" s="6"/>
      <c r="AG481" s="6" t="s">
        <v>37</v>
      </c>
      <c r="AH481" s="7">
        <v>60</v>
      </c>
      <c r="AI481" s="6" t="s">
        <v>40</v>
      </c>
      <c r="AJ481" s="6" t="s">
        <v>238</v>
      </c>
      <c r="AK481" s="6" t="s">
        <v>241</v>
      </c>
      <c r="AL481" s="6" t="s">
        <v>1301</v>
      </c>
    </row>
    <row r="482" spans="1:40" hidden="1" x14ac:dyDescent="0.25">
      <c r="A482" s="4">
        <v>45863</v>
      </c>
      <c r="B482" s="6" t="s">
        <v>1360</v>
      </c>
      <c r="C482" s="6" t="str">
        <f>_xlfn.XLOOKUP(Table3[[#This Row],[station]],station_waterbody_county!A:A, station_waterbody_county!B:B)</f>
        <v>St. Andrews Channel</v>
      </c>
      <c r="D482" s="3" t="str">
        <f>_xlfn.XLOOKUP(Table3[[#This Row],[station]],station_waterbody_county!A:A, station_waterbody_county!C:C)</f>
        <v>Cape Breton</v>
      </c>
      <c r="E482" s="6"/>
      <c r="F482" s="6" t="s">
        <v>34</v>
      </c>
      <c r="G482" s="12">
        <v>45840</v>
      </c>
      <c r="H482" s="5">
        <v>0.85069444444444442</v>
      </c>
      <c r="I482" s="4"/>
      <c r="J482" s="5"/>
      <c r="K482" s="10"/>
      <c r="O482" s="6" t="s">
        <v>1363</v>
      </c>
      <c r="P482" s="6" t="s">
        <v>1364</v>
      </c>
      <c r="S482" s="6" t="s">
        <v>239</v>
      </c>
      <c r="T482" s="11">
        <v>22311515</v>
      </c>
      <c r="U482" s="7">
        <v>20</v>
      </c>
      <c r="V482" s="6" t="s">
        <v>36</v>
      </c>
      <c r="W482" s="7">
        <v>60</v>
      </c>
      <c r="X482" s="6" t="s">
        <v>35</v>
      </c>
      <c r="Y482" s="7"/>
      <c r="Z482" s="7">
        <v>0.5</v>
      </c>
      <c r="AA482" s="6"/>
      <c r="AB482" s="6" t="s">
        <v>38</v>
      </c>
      <c r="AD482" s="6" t="s">
        <v>39</v>
      </c>
      <c r="AE482" s="6"/>
      <c r="AG482" s="6" t="s">
        <v>37</v>
      </c>
      <c r="AH482" s="7">
        <v>60</v>
      </c>
      <c r="AI482" s="6" t="s">
        <v>40</v>
      </c>
      <c r="AJ482" s="6" t="s">
        <v>238</v>
      </c>
      <c r="AK482" s="6" t="s">
        <v>241</v>
      </c>
      <c r="AL482" s="6" t="s">
        <v>1301</v>
      </c>
    </row>
    <row r="483" spans="1:40" hidden="1" x14ac:dyDescent="0.25">
      <c r="A483" s="4">
        <v>45863</v>
      </c>
      <c r="B483" s="6" t="s">
        <v>1360</v>
      </c>
      <c r="C483" s="6" t="str">
        <f>_xlfn.XLOOKUP(Table3[[#This Row],[station]],station_waterbody_county!A:A, station_waterbody_county!B:B)</f>
        <v>St. Andrews Channel</v>
      </c>
      <c r="D483" s="3" t="str">
        <f>_xlfn.XLOOKUP(Table3[[#This Row],[station]],station_waterbody_county!A:A, station_waterbody_county!C:C)</f>
        <v>Cape Breton</v>
      </c>
      <c r="E483" s="6"/>
      <c r="F483" s="6" t="s">
        <v>34</v>
      </c>
      <c r="G483" s="12">
        <v>45840</v>
      </c>
      <c r="H483" s="5">
        <v>0.85069444444444442</v>
      </c>
      <c r="I483" s="4"/>
      <c r="J483" s="5"/>
      <c r="K483" s="10"/>
      <c r="O483" s="6" t="s">
        <v>1363</v>
      </c>
      <c r="P483" s="6" t="s">
        <v>1364</v>
      </c>
      <c r="S483" s="6" t="s">
        <v>239</v>
      </c>
      <c r="T483" s="11">
        <v>22309993</v>
      </c>
      <c r="U483" s="7">
        <v>30</v>
      </c>
      <c r="V483" s="6" t="s">
        <v>36</v>
      </c>
      <c r="W483" s="7">
        <v>60</v>
      </c>
      <c r="X483" s="6" t="s">
        <v>35</v>
      </c>
      <c r="Y483" s="7"/>
      <c r="Z483" s="7">
        <v>0.5</v>
      </c>
      <c r="AA483" s="6"/>
      <c r="AB483" s="6" t="s">
        <v>38</v>
      </c>
      <c r="AD483" s="6" t="s">
        <v>39</v>
      </c>
      <c r="AE483" s="6"/>
      <c r="AG483" s="6" t="s">
        <v>37</v>
      </c>
      <c r="AH483" s="7">
        <v>60</v>
      </c>
      <c r="AI483" s="6" t="s">
        <v>40</v>
      </c>
      <c r="AJ483" s="6" t="s">
        <v>238</v>
      </c>
      <c r="AK483" s="6" t="s">
        <v>241</v>
      </c>
      <c r="AL483" s="6" t="s">
        <v>1301</v>
      </c>
    </row>
    <row r="484" spans="1:40" hidden="1" x14ac:dyDescent="0.25">
      <c r="A484" s="4">
        <v>45863</v>
      </c>
      <c r="B484" s="6" t="s">
        <v>1360</v>
      </c>
      <c r="C484" s="6" t="str">
        <f>_xlfn.XLOOKUP(Table3[[#This Row],[station]],station_waterbody_county!A:A, station_waterbody_county!B:B)</f>
        <v>St. Andrews Channel</v>
      </c>
      <c r="D484" s="3" t="str">
        <f>_xlfn.XLOOKUP(Table3[[#This Row],[station]],station_waterbody_county!A:A, station_waterbody_county!C:C)</f>
        <v>Cape Breton</v>
      </c>
      <c r="E484" s="6"/>
      <c r="F484" s="6" t="s">
        <v>34</v>
      </c>
      <c r="G484" s="12">
        <v>45840</v>
      </c>
      <c r="H484" s="5">
        <v>0.85069444444444442</v>
      </c>
      <c r="I484" s="4"/>
      <c r="J484" s="5"/>
      <c r="K484" s="10"/>
      <c r="O484" s="6" t="s">
        <v>1363</v>
      </c>
      <c r="P484" s="6" t="s">
        <v>1364</v>
      </c>
      <c r="S484" s="6" t="s">
        <v>239</v>
      </c>
      <c r="T484" s="11">
        <v>22310004</v>
      </c>
      <c r="U484" s="7">
        <v>40</v>
      </c>
      <c r="V484" s="6" t="s">
        <v>36</v>
      </c>
      <c r="W484" s="7">
        <v>60</v>
      </c>
      <c r="X484" s="6" t="s">
        <v>35</v>
      </c>
      <c r="Y484" s="7"/>
      <c r="Z484" s="7">
        <v>0.5</v>
      </c>
      <c r="AA484" s="6"/>
      <c r="AB484" s="6" t="s">
        <v>38</v>
      </c>
      <c r="AD484" s="6" t="s">
        <v>39</v>
      </c>
      <c r="AE484" s="6"/>
      <c r="AG484" s="6" t="s">
        <v>37</v>
      </c>
      <c r="AH484" s="7">
        <v>60</v>
      </c>
      <c r="AI484" s="6" t="s">
        <v>40</v>
      </c>
      <c r="AJ484" s="6" t="s">
        <v>238</v>
      </c>
      <c r="AK484" s="6" t="s">
        <v>241</v>
      </c>
      <c r="AL484" s="6" t="s">
        <v>1301</v>
      </c>
    </row>
    <row r="485" spans="1:40" hidden="1" x14ac:dyDescent="0.25">
      <c r="A485" s="4">
        <v>45863</v>
      </c>
      <c r="B485" s="6" t="s">
        <v>1360</v>
      </c>
      <c r="C485" s="6" t="str">
        <f>_xlfn.XLOOKUP(Table3[[#This Row],[station]],station_waterbody_county!A:A, station_waterbody_county!B:B)</f>
        <v>St. Andrews Channel</v>
      </c>
      <c r="D485" s="3" t="str">
        <f>_xlfn.XLOOKUP(Table3[[#This Row],[station]],station_waterbody_county!A:A, station_waterbody_county!C:C)</f>
        <v>Cape Breton</v>
      </c>
      <c r="E485" s="6"/>
      <c r="F485" s="6" t="s">
        <v>34</v>
      </c>
      <c r="G485" s="12">
        <v>45840</v>
      </c>
      <c r="H485" s="5">
        <v>0.85069444444444442</v>
      </c>
      <c r="I485" s="4"/>
      <c r="J485" s="5"/>
      <c r="K485" s="10"/>
      <c r="O485" s="6" t="s">
        <v>1363</v>
      </c>
      <c r="P485" s="6" t="s">
        <v>1364</v>
      </c>
      <c r="S485" s="6" t="s">
        <v>42</v>
      </c>
      <c r="T485" s="11">
        <v>547109</v>
      </c>
      <c r="U485" s="7">
        <v>47</v>
      </c>
      <c r="V485" s="6" t="s">
        <v>36</v>
      </c>
      <c r="W485" s="7">
        <v>60</v>
      </c>
      <c r="X485" s="6" t="s">
        <v>35</v>
      </c>
      <c r="Y485" s="7"/>
      <c r="Z485" s="7">
        <v>0.5</v>
      </c>
      <c r="AA485" s="6"/>
      <c r="AB485" s="6" t="s">
        <v>38</v>
      </c>
      <c r="AD485" s="6" t="s">
        <v>39</v>
      </c>
      <c r="AE485" s="6"/>
      <c r="AG485" s="6" t="s">
        <v>37</v>
      </c>
      <c r="AH485" s="7">
        <v>60</v>
      </c>
      <c r="AI485" s="6" t="s">
        <v>40</v>
      </c>
      <c r="AJ485" s="6" t="s">
        <v>238</v>
      </c>
      <c r="AK485" s="6" t="s">
        <v>241</v>
      </c>
      <c r="AL485" s="6" t="s">
        <v>1301</v>
      </c>
    </row>
    <row r="486" spans="1:40" hidden="1" x14ac:dyDescent="0.25">
      <c r="A486" s="4">
        <v>45863</v>
      </c>
      <c r="B486" s="6" t="s">
        <v>1360</v>
      </c>
      <c r="C486" s="6" t="str">
        <f>_xlfn.XLOOKUP(Table3[[#This Row],[station]],station_waterbody_county!A:A, station_waterbody_county!B:B)</f>
        <v>St. Andrews Channel</v>
      </c>
      <c r="D486" s="3" t="str">
        <f>_xlfn.XLOOKUP(Table3[[#This Row],[station]],station_waterbody_county!A:A, station_waterbody_county!C:C)</f>
        <v>Cape Breton</v>
      </c>
      <c r="E486" s="6"/>
      <c r="F486" s="6" t="s">
        <v>34</v>
      </c>
      <c r="G486" s="12">
        <v>45840</v>
      </c>
      <c r="H486" s="5">
        <v>0.85069444444444442</v>
      </c>
      <c r="I486" s="4"/>
      <c r="J486" s="5"/>
      <c r="K486" s="10"/>
      <c r="O486" s="6" t="s">
        <v>1363</v>
      </c>
      <c r="P486" s="6" t="s">
        <v>1364</v>
      </c>
      <c r="S486" s="6" t="s">
        <v>239</v>
      </c>
      <c r="T486" s="11">
        <v>22311510</v>
      </c>
      <c r="U486" s="7">
        <v>47</v>
      </c>
      <c r="V486" s="6" t="s">
        <v>36</v>
      </c>
      <c r="W486" s="7">
        <v>60</v>
      </c>
      <c r="X486" s="6" t="s">
        <v>35</v>
      </c>
      <c r="Y486" s="7"/>
      <c r="Z486" s="7">
        <v>0.5</v>
      </c>
      <c r="AA486" s="6"/>
      <c r="AB486" s="6" t="s">
        <v>38</v>
      </c>
      <c r="AD486" s="6" t="s">
        <v>39</v>
      </c>
      <c r="AE486" s="6"/>
      <c r="AG486" s="6" t="s">
        <v>37</v>
      </c>
      <c r="AH486" s="7">
        <v>60</v>
      </c>
      <c r="AI486" s="6" t="s">
        <v>40</v>
      </c>
      <c r="AJ486" s="6" t="s">
        <v>238</v>
      </c>
      <c r="AK486" s="6" t="s">
        <v>241</v>
      </c>
      <c r="AL486" s="6" t="s">
        <v>1301</v>
      </c>
    </row>
    <row r="487" spans="1:40" x14ac:dyDescent="0.25">
      <c r="A487" s="4">
        <v>45931</v>
      </c>
      <c r="B487" s="6" t="s">
        <v>188</v>
      </c>
      <c r="C487" t="str">
        <f>_xlfn.XLOOKUP(Table3[[#This Row],[station]],station_waterbody_county!A:A, station_waterbody_county!B:B)</f>
        <v>Whitehead Harbour</v>
      </c>
      <c r="D487" t="str">
        <f>_xlfn.XLOOKUP(Table3[[#This Row],[station]],station_waterbody_county!A:A, station_waterbody_county!C:C)</f>
        <v>Guysborough</v>
      </c>
      <c r="E487" s="6" t="s">
        <v>287</v>
      </c>
      <c r="F487" s="6" t="s">
        <v>310</v>
      </c>
      <c r="G487" s="4">
        <v>45600</v>
      </c>
      <c r="H487" s="5">
        <v>0.51041666666666663</v>
      </c>
      <c r="I487" s="4">
        <v>45919</v>
      </c>
      <c r="J487" s="5">
        <v>0.47222222222222221</v>
      </c>
      <c r="K487" s="10"/>
      <c r="O487" s="6" t="s">
        <v>537</v>
      </c>
      <c r="P487" s="6" t="s">
        <v>538</v>
      </c>
      <c r="Q487" s="6" t="s">
        <v>537</v>
      </c>
      <c r="R487" s="6" t="s">
        <v>538</v>
      </c>
      <c r="S487" s="6" t="s">
        <v>239</v>
      </c>
      <c r="T487" s="11">
        <v>22048605</v>
      </c>
      <c r="U487" s="7">
        <v>1</v>
      </c>
      <c r="V487" s="6" t="s">
        <v>246</v>
      </c>
      <c r="W487" s="7"/>
      <c r="X487" s="6" t="s">
        <v>241</v>
      </c>
      <c r="Y487" s="7"/>
      <c r="AA487" s="6"/>
      <c r="AE487" s="6"/>
      <c r="AH487" s="7"/>
      <c r="AI487" s="6" t="s">
        <v>40</v>
      </c>
      <c r="AJ487" s="6" t="s">
        <v>238</v>
      </c>
      <c r="AL487" s="6" t="s">
        <v>536</v>
      </c>
      <c r="AM487" s="6" t="s">
        <v>1424</v>
      </c>
    </row>
    <row r="488" spans="1:40" x14ac:dyDescent="0.25">
      <c r="A488" s="4">
        <v>45931</v>
      </c>
      <c r="B488" s="6" t="s">
        <v>188</v>
      </c>
      <c r="C488" t="str">
        <f>_xlfn.XLOOKUP(Table3[[#This Row],[station]],station_waterbody_county!A:A, station_waterbody_county!B:B)</f>
        <v>Whitehead Harbour</v>
      </c>
      <c r="D488" t="str">
        <f>_xlfn.XLOOKUP(Table3[[#This Row],[station]],station_waterbody_county!A:A, station_waterbody_county!C:C)</f>
        <v>Guysborough</v>
      </c>
      <c r="E488" s="6" t="s">
        <v>287</v>
      </c>
      <c r="F488" s="6" t="s">
        <v>310</v>
      </c>
      <c r="G488" s="4">
        <v>45600</v>
      </c>
      <c r="H488" s="5">
        <v>0.51041666666666663</v>
      </c>
      <c r="I488" s="4">
        <v>45919</v>
      </c>
      <c r="J488" s="5">
        <v>0.47222222222222221</v>
      </c>
      <c r="K488" s="10"/>
      <c r="O488" s="6" t="s">
        <v>537</v>
      </c>
      <c r="P488" s="6" t="s">
        <v>538</v>
      </c>
      <c r="Q488" s="6" t="s">
        <v>537</v>
      </c>
      <c r="R488" s="6" t="s">
        <v>538</v>
      </c>
      <c r="S488" s="6" t="s">
        <v>239</v>
      </c>
      <c r="T488" s="11">
        <v>21082882</v>
      </c>
      <c r="U488" s="7">
        <v>5</v>
      </c>
      <c r="V488" s="6" t="s">
        <v>246</v>
      </c>
      <c r="W488" s="7"/>
      <c r="X488" s="6" t="s">
        <v>241</v>
      </c>
      <c r="Y488" s="7"/>
      <c r="AA488" s="6"/>
      <c r="AE488" s="6"/>
      <c r="AH488" s="7"/>
      <c r="AI488" s="6" t="s">
        <v>40</v>
      </c>
      <c r="AJ488" s="6" t="s">
        <v>238</v>
      </c>
      <c r="AL488" s="6" t="s">
        <v>536</v>
      </c>
      <c r="AM488" s="6" t="s">
        <v>1424</v>
      </c>
    </row>
    <row r="489" spans="1:40" x14ac:dyDescent="0.25">
      <c r="A489" s="4">
        <v>45931</v>
      </c>
      <c r="B489" s="6" t="s">
        <v>188</v>
      </c>
      <c r="C489" t="str">
        <f>_xlfn.XLOOKUP(Table3[[#This Row],[station]],station_waterbody_county!A:A, station_waterbody_county!B:B)</f>
        <v>Whitehead Harbour</v>
      </c>
      <c r="D489" t="str">
        <f>_xlfn.XLOOKUP(Table3[[#This Row],[station]],station_waterbody_county!A:A, station_waterbody_county!C:C)</f>
        <v>Guysborough</v>
      </c>
      <c r="E489" s="6" t="s">
        <v>287</v>
      </c>
      <c r="F489" s="6" t="s">
        <v>310</v>
      </c>
      <c r="G489" s="4">
        <v>45600</v>
      </c>
      <c r="H489" s="5">
        <v>0.51041666666666663</v>
      </c>
      <c r="I489" s="4">
        <v>45919</v>
      </c>
      <c r="J489" s="5">
        <v>0.47222222222222221</v>
      </c>
      <c r="K489" s="10"/>
      <c r="O489" s="6" t="s">
        <v>537</v>
      </c>
      <c r="P489" s="6" t="s">
        <v>538</v>
      </c>
      <c r="Q489" s="6" t="s">
        <v>537</v>
      </c>
      <c r="R489" s="6" t="s">
        <v>538</v>
      </c>
      <c r="S489" s="6" t="s">
        <v>239</v>
      </c>
      <c r="T489" s="11">
        <v>22048602</v>
      </c>
      <c r="U489" s="7">
        <v>10</v>
      </c>
      <c r="V489" s="6" t="s">
        <v>246</v>
      </c>
      <c r="W489" s="7"/>
      <c r="X489" s="6" t="s">
        <v>241</v>
      </c>
      <c r="Y489" s="7"/>
      <c r="AA489" s="6"/>
      <c r="AE489" s="6"/>
      <c r="AH489" s="7"/>
      <c r="AI489" s="6" t="s">
        <v>40</v>
      </c>
      <c r="AJ489" s="6" t="s">
        <v>238</v>
      </c>
      <c r="AL489" s="6" t="s">
        <v>536</v>
      </c>
      <c r="AM489" s="6" t="s">
        <v>1424</v>
      </c>
    </row>
    <row r="490" spans="1:40" hidden="1" x14ac:dyDescent="0.25">
      <c r="A490" s="12">
        <v>45698</v>
      </c>
      <c r="B490" s="6" t="s">
        <v>188</v>
      </c>
      <c r="C490" t="str">
        <f>_xlfn.XLOOKUP(Table3[[#This Row],[station]],station_waterbody_county!A:A, station_waterbody_county!B:B)</f>
        <v>Whitehead Harbour</v>
      </c>
      <c r="D490" t="str">
        <f>_xlfn.XLOOKUP(Table3[[#This Row],[station]],station_waterbody_county!A:A, station_waterbody_county!C:C)</f>
        <v>Guysborough</v>
      </c>
      <c r="E490" s="6" t="s">
        <v>287</v>
      </c>
      <c r="F490" s="6" t="s">
        <v>310</v>
      </c>
      <c r="G490" s="12">
        <v>45244</v>
      </c>
      <c r="H490" s="5"/>
      <c r="I490" s="4">
        <v>45600</v>
      </c>
      <c r="J490" s="5">
        <v>0.50694444444444442</v>
      </c>
      <c r="K490" s="10">
        <v>45.270651000000001</v>
      </c>
      <c r="L490" s="10">
        <v>-61.135097999999999</v>
      </c>
      <c r="O490" s="6"/>
      <c r="Q490" s="6" t="s">
        <v>537</v>
      </c>
      <c r="R490" s="6" t="s">
        <v>538</v>
      </c>
      <c r="S490" s="6" t="s">
        <v>239</v>
      </c>
      <c r="T490" s="11">
        <v>20291461</v>
      </c>
      <c r="U490" s="7">
        <v>1</v>
      </c>
      <c r="V490" s="6" t="s">
        <v>246</v>
      </c>
      <c r="W490" s="7"/>
      <c r="X490" s="6" t="s">
        <v>241</v>
      </c>
      <c r="Y490" s="7"/>
      <c r="AA490" s="6"/>
      <c r="AE490" s="6"/>
      <c r="AH490" s="7"/>
      <c r="AI490" s="6" t="s">
        <v>40</v>
      </c>
      <c r="AJ490" s="6" t="s">
        <v>238</v>
      </c>
      <c r="AK490" s="6" t="s">
        <v>35</v>
      </c>
      <c r="AL490" s="6" t="s">
        <v>274</v>
      </c>
      <c r="AM490" s="6" t="s">
        <v>536</v>
      </c>
      <c r="AN490" s="6" t="s">
        <v>261</v>
      </c>
    </row>
    <row r="491" spans="1:40" hidden="1" x14ac:dyDescent="0.25">
      <c r="A491" s="12">
        <v>45698</v>
      </c>
      <c r="B491" s="6" t="s">
        <v>188</v>
      </c>
      <c r="C491" t="str">
        <f>_xlfn.XLOOKUP(Table3[[#This Row],[station]],station_waterbody_county!A:A, station_waterbody_county!B:B)</f>
        <v>Whitehead Harbour</v>
      </c>
      <c r="D491" t="str">
        <f>_xlfn.XLOOKUP(Table3[[#This Row],[station]],station_waterbody_county!A:A, station_waterbody_county!C:C)</f>
        <v>Guysborough</v>
      </c>
      <c r="E491" s="6" t="s">
        <v>287</v>
      </c>
      <c r="F491" s="6" t="s">
        <v>310</v>
      </c>
      <c r="G491" s="12">
        <v>45244</v>
      </c>
      <c r="H491" s="5"/>
      <c r="I491" s="4">
        <v>45600</v>
      </c>
      <c r="J491" s="5">
        <v>0.50694444444444442</v>
      </c>
      <c r="K491" s="10">
        <v>45.270651000000001</v>
      </c>
      <c r="L491" s="10">
        <v>-61.135097999999999</v>
      </c>
      <c r="O491" s="6"/>
      <c r="Q491" s="6" t="s">
        <v>537</v>
      </c>
      <c r="R491" s="6" t="s">
        <v>538</v>
      </c>
      <c r="S491" s="6" t="s">
        <v>240</v>
      </c>
      <c r="T491" s="11">
        <v>675008</v>
      </c>
      <c r="U491" s="7">
        <v>5</v>
      </c>
      <c r="V491" s="6" t="s">
        <v>246</v>
      </c>
      <c r="W491" s="7"/>
      <c r="X491" s="6" t="s">
        <v>241</v>
      </c>
      <c r="Y491" s="7"/>
      <c r="AA491" s="6"/>
      <c r="AE491" s="6"/>
      <c r="AH491" s="7"/>
      <c r="AI491" s="6" t="s">
        <v>40</v>
      </c>
      <c r="AJ491" s="6" t="s">
        <v>238</v>
      </c>
      <c r="AK491" s="6" t="s">
        <v>35</v>
      </c>
      <c r="AL491" s="6" t="s">
        <v>274</v>
      </c>
      <c r="AM491" s="6" t="s">
        <v>536</v>
      </c>
      <c r="AN491" s="6" t="s">
        <v>261</v>
      </c>
    </row>
    <row r="492" spans="1:40" hidden="1" x14ac:dyDescent="0.25">
      <c r="A492" s="12">
        <v>45698</v>
      </c>
      <c r="B492" s="6" t="s">
        <v>188</v>
      </c>
      <c r="C492" t="str">
        <f>_xlfn.XLOOKUP(Table3[[#This Row],[station]],station_waterbody_county!A:A, station_waterbody_county!B:B)</f>
        <v>Whitehead Harbour</v>
      </c>
      <c r="D492" t="str">
        <f>_xlfn.XLOOKUP(Table3[[#This Row],[station]],station_waterbody_county!A:A, station_waterbody_county!C:C)</f>
        <v>Guysborough</v>
      </c>
      <c r="E492" s="6" t="s">
        <v>287</v>
      </c>
      <c r="F492" s="6" t="s">
        <v>310</v>
      </c>
      <c r="G492" s="12">
        <v>45244</v>
      </c>
      <c r="H492" s="5"/>
      <c r="I492" s="4">
        <v>45600</v>
      </c>
      <c r="J492" s="5">
        <v>0.50694444444444442</v>
      </c>
      <c r="K492" s="10">
        <v>45.270651000000001</v>
      </c>
      <c r="L492" s="10">
        <v>-61.135097999999999</v>
      </c>
      <c r="O492" s="6"/>
      <c r="Q492" s="6" t="s">
        <v>537</v>
      </c>
      <c r="R492" s="6" t="s">
        <v>538</v>
      </c>
      <c r="S492" s="6" t="s">
        <v>239</v>
      </c>
      <c r="T492" s="11">
        <v>21414881</v>
      </c>
      <c r="U492" s="7">
        <v>10</v>
      </c>
      <c r="V492" s="6" t="s">
        <v>246</v>
      </c>
      <c r="W492" s="7"/>
      <c r="X492" s="6" t="s">
        <v>241</v>
      </c>
      <c r="Y492" s="7"/>
      <c r="AA492" s="6"/>
      <c r="AE492" s="6"/>
      <c r="AH492" s="7"/>
      <c r="AI492" s="6" t="s">
        <v>40</v>
      </c>
      <c r="AJ492" s="6" t="s">
        <v>238</v>
      </c>
      <c r="AK492" s="6" t="s">
        <v>35</v>
      </c>
      <c r="AL492" s="6" t="s">
        <v>274</v>
      </c>
      <c r="AM492" s="6" t="s">
        <v>536</v>
      </c>
      <c r="AN492" s="6" t="s">
        <v>261</v>
      </c>
    </row>
    <row r="493" spans="1:40" x14ac:dyDescent="0.25">
      <c r="A493" s="4">
        <v>45944</v>
      </c>
      <c r="B493" s="6" t="s">
        <v>189</v>
      </c>
      <c r="C493" t="str">
        <f>_xlfn.XLOOKUP(Table3[[#This Row],[station]],station_waterbody_county!A:A, station_waterbody_county!B:B)</f>
        <v>Whitehead Harbour</v>
      </c>
      <c r="D493" t="str">
        <f>_xlfn.XLOOKUP(Table3[[#This Row],[station]],station_waterbody_county!A:A, station_waterbody_county!C:C)</f>
        <v>Guysborough</v>
      </c>
      <c r="E493" s="6" t="s">
        <v>288</v>
      </c>
      <c r="F493" s="6" t="s">
        <v>310</v>
      </c>
      <c r="G493" s="4">
        <v>45600</v>
      </c>
      <c r="H493" s="5">
        <v>0.4909722222222222</v>
      </c>
      <c r="I493" s="4">
        <v>45919</v>
      </c>
      <c r="J493" s="5">
        <v>0.45694444444444443</v>
      </c>
      <c r="K493" s="10"/>
      <c r="O493" s="6" t="s">
        <v>534</v>
      </c>
      <c r="P493" s="6" t="s">
        <v>535</v>
      </c>
      <c r="Q493" s="6" t="s">
        <v>1452</v>
      </c>
      <c r="R493" s="6" t="s">
        <v>1453</v>
      </c>
      <c r="S493" s="6" t="s">
        <v>239</v>
      </c>
      <c r="T493" s="11">
        <v>22030579</v>
      </c>
      <c r="U493" s="7">
        <v>1</v>
      </c>
      <c r="V493" s="6" t="s">
        <v>246</v>
      </c>
      <c r="W493" s="7"/>
      <c r="X493" s="6" t="s">
        <v>241</v>
      </c>
      <c r="Y493" s="7"/>
      <c r="AA493" s="6"/>
      <c r="AE493" s="6"/>
      <c r="AH493" s="7"/>
      <c r="AI493" s="6" t="s">
        <v>40</v>
      </c>
      <c r="AJ493" s="6" t="s">
        <v>238</v>
      </c>
      <c r="AL493" s="6" t="s">
        <v>536</v>
      </c>
      <c r="AM493" s="6" t="s">
        <v>1424</v>
      </c>
    </row>
    <row r="494" spans="1:40" hidden="1" x14ac:dyDescent="0.25">
      <c r="A494" s="12">
        <v>45608</v>
      </c>
      <c r="B494" s="6" t="s">
        <v>189</v>
      </c>
      <c r="C494" t="str">
        <f>_xlfn.XLOOKUP(Table3[[#This Row],[station]],station_waterbody_county!A:A, station_waterbody_county!B:B)</f>
        <v>Whitehead Harbour</v>
      </c>
      <c r="D494" t="str">
        <f>_xlfn.XLOOKUP(Table3[[#This Row],[station]],station_waterbody_county!A:A, station_waterbody_county!C:C)</f>
        <v>Guysborough</v>
      </c>
      <c r="E494" s="6" t="s">
        <v>288</v>
      </c>
      <c r="F494" s="6" t="s">
        <v>310</v>
      </c>
      <c r="G494" s="12">
        <v>45244</v>
      </c>
      <c r="H494" s="5"/>
      <c r="I494" s="4">
        <v>45600</v>
      </c>
      <c r="J494" s="5">
        <v>0.48958333333333331</v>
      </c>
      <c r="K494" s="10">
        <v>45.287021000000003</v>
      </c>
      <c r="L494" s="10">
        <v>-61.168498</v>
      </c>
      <c r="O494" s="6"/>
      <c r="Q494" s="6" t="s">
        <v>534</v>
      </c>
      <c r="R494" s="6" t="s">
        <v>535</v>
      </c>
      <c r="S494" s="6" t="s">
        <v>239</v>
      </c>
      <c r="T494" s="11">
        <v>21082885</v>
      </c>
      <c r="U494" s="7">
        <v>1</v>
      </c>
      <c r="V494" s="6" t="s">
        <v>246</v>
      </c>
      <c r="W494" s="7"/>
      <c r="X494" s="6" t="s">
        <v>241</v>
      </c>
      <c r="Y494" s="7"/>
      <c r="AA494" s="6"/>
      <c r="AE494" s="6"/>
      <c r="AH494" s="7"/>
      <c r="AI494" s="6" t="s">
        <v>40</v>
      </c>
      <c r="AJ494" s="6" t="s">
        <v>238</v>
      </c>
      <c r="AK494" s="6" t="s">
        <v>35</v>
      </c>
      <c r="AL494" s="6" t="s">
        <v>274</v>
      </c>
      <c r="AM494" s="6" t="s">
        <v>536</v>
      </c>
      <c r="AN494" s="6" t="s">
        <v>262</v>
      </c>
    </row>
    <row r="495" spans="1:40" x14ac:dyDescent="0.25">
      <c r="A495" s="4">
        <v>45596</v>
      </c>
      <c r="B495" s="6" t="s">
        <v>193</v>
      </c>
      <c r="C495" t="str">
        <f>_xlfn.XLOOKUP(Table3[[#This Row],[station]],station_waterbody_county!A:A, station_waterbody_county!B:B)</f>
        <v>Merigomish Harbour</v>
      </c>
      <c r="D495" t="str">
        <f>_xlfn.XLOOKUP(Table3[[#This Row],[station]],station_waterbody_county!A:A, station_waterbody_county!C:C)</f>
        <v>Pictou</v>
      </c>
      <c r="E495" s="6"/>
      <c r="F495" s="6" t="s">
        <v>310</v>
      </c>
      <c r="G495" s="4">
        <v>45427</v>
      </c>
      <c r="H495" s="5">
        <v>0.65069444444444446</v>
      </c>
      <c r="I495" s="4">
        <v>45583</v>
      </c>
      <c r="J495" s="5">
        <v>0.59791666666666665</v>
      </c>
      <c r="K495" s="10"/>
      <c r="O495" s="6" t="s">
        <v>301</v>
      </c>
      <c r="P495" s="6" t="s">
        <v>317</v>
      </c>
      <c r="Q495" s="6" t="s">
        <v>515</v>
      </c>
      <c r="R495" s="6" t="s">
        <v>516</v>
      </c>
      <c r="S495" s="6" t="s">
        <v>239</v>
      </c>
      <c r="T495" s="11">
        <v>20291484</v>
      </c>
      <c r="U495" s="7">
        <v>2</v>
      </c>
      <c r="V495" s="6" t="s">
        <v>36</v>
      </c>
      <c r="W495" s="7">
        <v>8.1999999999999993</v>
      </c>
      <c r="X495" s="6" t="s">
        <v>35</v>
      </c>
      <c r="Y495" s="7"/>
      <c r="Z495" s="7">
        <v>1</v>
      </c>
      <c r="AA495" s="6" t="s">
        <v>243</v>
      </c>
      <c r="AB495" s="6" t="s">
        <v>39</v>
      </c>
      <c r="AC495" s="6" t="s">
        <v>39</v>
      </c>
      <c r="AE495" s="6"/>
      <c r="AG495" s="6" t="s">
        <v>315</v>
      </c>
      <c r="AH495" s="7">
        <v>25</v>
      </c>
      <c r="AI495" s="6" t="s">
        <v>40</v>
      </c>
      <c r="AJ495" s="6" t="s">
        <v>238</v>
      </c>
      <c r="AK495" s="6" t="s">
        <v>241</v>
      </c>
      <c r="AL495" s="6" t="s">
        <v>41</v>
      </c>
      <c r="AM495" s="6" t="s">
        <v>41</v>
      </c>
    </row>
    <row r="496" spans="1:40" x14ac:dyDescent="0.25">
      <c r="A496" s="4">
        <v>45596</v>
      </c>
      <c r="B496" s="6" t="s">
        <v>193</v>
      </c>
      <c r="C496" t="str">
        <f>_xlfn.XLOOKUP(Table3[[#This Row],[station]],station_waterbody_county!A:A, station_waterbody_county!B:B)</f>
        <v>Merigomish Harbour</v>
      </c>
      <c r="D496" t="str">
        <f>_xlfn.XLOOKUP(Table3[[#This Row],[station]],station_waterbody_county!A:A, station_waterbody_county!C:C)</f>
        <v>Pictou</v>
      </c>
      <c r="E496" s="6"/>
      <c r="F496" s="6" t="s">
        <v>310</v>
      </c>
      <c r="G496" s="4">
        <v>45427</v>
      </c>
      <c r="H496" s="5">
        <v>0.65069444444444446</v>
      </c>
      <c r="I496" s="4">
        <v>45583</v>
      </c>
      <c r="J496" s="5">
        <v>0.59791666666666665</v>
      </c>
      <c r="K496" s="10"/>
      <c r="O496" s="6" t="s">
        <v>301</v>
      </c>
      <c r="P496" s="6" t="s">
        <v>317</v>
      </c>
      <c r="Q496" s="6" t="s">
        <v>515</v>
      </c>
      <c r="R496" s="6" t="s">
        <v>516</v>
      </c>
      <c r="S496" s="6" t="s">
        <v>240</v>
      </c>
      <c r="T496" s="11">
        <v>671014</v>
      </c>
      <c r="U496" s="7">
        <v>3</v>
      </c>
      <c r="V496" s="6" t="s">
        <v>36</v>
      </c>
      <c r="W496" s="7">
        <v>8.1999999999999993</v>
      </c>
      <c r="X496" s="6" t="s">
        <v>35</v>
      </c>
      <c r="Y496" s="7"/>
      <c r="Z496" s="7">
        <v>1</v>
      </c>
      <c r="AA496" s="6" t="s">
        <v>243</v>
      </c>
      <c r="AB496" s="6" t="s">
        <v>39</v>
      </c>
      <c r="AC496" s="6" t="s">
        <v>39</v>
      </c>
      <c r="AE496" s="6"/>
      <c r="AG496" s="6" t="s">
        <v>315</v>
      </c>
      <c r="AH496" s="7">
        <v>25</v>
      </c>
      <c r="AI496" s="6" t="s">
        <v>40</v>
      </c>
      <c r="AJ496" s="6" t="s">
        <v>238</v>
      </c>
      <c r="AK496" s="6" t="s">
        <v>241</v>
      </c>
      <c r="AL496" s="6" t="s">
        <v>41</v>
      </c>
      <c r="AM496" s="6" t="s">
        <v>41</v>
      </c>
    </row>
    <row r="497" spans="1:40" x14ac:dyDescent="0.25">
      <c r="A497" s="4">
        <v>45596</v>
      </c>
      <c r="B497" s="6" t="s">
        <v>193</v>
      </c>
      <c r="C497" t="str">
        <f>_xlfn.XLOOKUP(Table3[[#This Row],[station]],station_waterbody_county!A:A, station_waterbody_county!B:B)</f>
        <v>Merigomish Harbour</v>
      </c>
      <c r="D497" t="str">
        <f>_xlfn.XLOOKUP(Table3[[#This Row],[station]],station_waterbody_county!A:A, station_waterbody_county!C:C)</f>
        <v>Pictou</v>
      </c>
      <c r="E497" s="6"/>
      <c r="F497" s="6" t="s">
        <v>310</v>
      </c>
      <c r="G497" s="4">
        <v>45427</v>
      </c>
      <c r="H497" s="5">
        <v>0.65069444444444446</v>
      </c>
      <c r="I497" s="4">
        <v>45583</v>
      </c>
      <c r="J497" s="5">
        <v>0.59791666666666665</v>
      </c>
      <c r="K497" s="10"/>
      <c r="O497" s="6" t="s">
        <v>301</v>
      </c>
      <c r="P497" s="6" t="s">
        <v>317</v>
      </c>
      <c r="Q497" s="6" t="s">
        <v>515</v>
      </c>
      <c r="R497" s="6" t="s">
        <v>516</v>
      </c>
      <c r="S497" s="6" t="s">
        <v>239</v>
      </c>
      <c r="T497" s="11">
        <v>20291485</v>
      </c>
      <c r="U497" s="7">
        <v>5</v>
      </c>
      <c r="V497" s="6" t="s">
        <v>36</v>
      </c>
      <c r="W497" s="7">
        <v>8.1999999999999993</v>
      </c>
      <c r="X497" s="6" t="s">
        <v>35</v>
      </c>
      <c r="Y497" s="7"/>
      <c r="Z497" s="7">
        <v>1</v>
      </c>
      <c r="AA497" s="6" t="s">
        <v>243</v>
      </c>
      <c r="AB497" s="6" t="s">
        <v>39</v>
      </c>
      <c r="AC497" s="6" t="s">
        <v>39</v>
      </c>
      <c r="AE497" s="6"/>
      <c r="AG497" s="6" t="s">
        <v>315</v>
      </c>
      <c r="AH497" s="7">
        <v>25</v>
      </c>
      <c r="AI497" s="6" t="s">
        <v>40</v>
      </c>
      <c r="AJ497" s="6" t="s">
        <v>238</v>
      </c>
      <c r="AK497" s="6" t="s">
        <v>241</v>
      </c>
      <c r="AL497" s="6" t="s">
        <v>41</v>
      </c>
      <c r="AM497" s="6" t="s">
        <v>41</v>
      </c>
    </row>
    <row r="498" spans="1:40" x14ac:dyDescent="0.25">
      <c r="A498" s="4">
        <v>45596</v>
      </c>
      <c r="B498" s="6" t="s">
        <v>193</v>
      </c>
      <c r="C498" t="str">
        <f>_xlfn.XLOOKUP(Table3[[#This Row],[station]],station_waterbody_county!A:A, station_waterbody_county!B:B)</f>
        <v>Merigomish Harbour</v>
      </c>
      <c r="D498" t="str">
        <f>_xlfn.XLOOKUP(Table3[[#This Row],[station]],station_waterbody_county!A:A, station_waterbody_county!C:C)</f>
        <v>Pictou</v>
      </c>
      <c r="E498" s="6"/>
      <c r="F498" s="6" t="s">
        <v>310</v>
      </c>
      <c r="G498" s="4">
        <v>45427</v>
      </c>
      <c r="H498" s="5">
        <v>0.65069444444444446</v>
      </c>
      <c r="I498" s="4">
        <v>45583</v>
      </c>
      <c r="J498" s="5">
        <v>0.59791666666666665</v>
      </c>
      <c r="K498" s="10"/>
      <c r="O498" s="6" t="s">
        <v>301</v>
      </c>
      <c r="P498" s="6" t="s">
        <v>317</v>
      </c>
      <c r="Q498" s="6" t="s">
        <v>515</v>
      </c>
      <c r="R498" s="6" t="s">
        <v>516</v>
      </c>
      <c r="S498" s="6" t="s">
        <v>42</v>
      </c>
      <c r="T498" s="11">
        <v>548575</v>
      </c>
      <c r="U498" s="7">
        <v>5</v>
      </c>
      <c r="V498" s="6" t="s">
        <v>36</v>
      </c>
      <c r="W498" s="7">
        <v>8.1999999999999993</v>
      </c>
      <c r="X498" s="6" t="s">
        <v>35</v>
      </c>
      <c r="Y498" s="7"/>
      <c r="Z498" s="7">
        <v>1</v>
      </c>
      <c r="AA498" s="6" t="s">
        <v>243</v>
      </c>
      <c r="AB498" s="6" t="s">
        <v>39</v>
      </c>
      <c r="AC498" s="6" t="s">
        <v>39</v>
      </c>
      <c r="AE498" s="6"/>
      <c r="AG498" s="6" t="s">
        <v>315</v>
      </c>
      <c r="AH498" s="7">
        <v>25</v>
      </c>
      <c r="AI498" s="6" t="s">
        <v>40</v>
      </c>
      <c r="AJ498" s="6" t="s">
        <v>238</v>
      </c>
      <c r="AK498" s="6" t="s">
        <v>241</v>
      </c>
      <c r="AL498" s="6" t="s">
        <v>41</v>
      </c>
      <c r="AM498" s="6" t="s">
        <v>41</v>
      </c>
    </row>
    <row r="499" spans="1:40" hidden="1" x14ac:dyDescent="0.25">
      <c r="A499" s="12">
        <v>45678</v>
      </c>
      <c r="B499" s="6" t="s">
        <v>193</v>
      </c>
      <c r="C499" t="str">
        <f>_xlfn.XLOOKUP(Table3[[#This Row],[station]],station_waterbody_county!A:A, station_waterbody_county!B:B)</f>
        <v>Merigomish Harbour</v>
      </c>
      <c r="D499" t="str">
        <f>_xlfn.XLOOKUP(Table3[[#This Row],[station]],station_waterbody_county!A:A, station_waterbody_county!C:C)</f>
        <v>Pictou</v>
      </c>
      <c r="E499" s="6"/>
      <c r="F499" s="6" t="s">
        <v>310</v>
      </c>
      <c r="G499" s="12">
        <v>45231</v>
      </c>
      <c r="H499" s="5"/>
      <c r="I499" s="4">
        <v>45427</v>
      </c>
      <c r="J499" s="5">
        <v>0.63541666666666663</v>
      </c>
      <c r="K499" s="10">
        <v>45.643853602911697</v>
      </c>
      <c r="L499" s="10">
        <v>-62.468084736152399</v>
      </c>
      <c r="O499" s="6"/>
      <c r="Q499" s="6" t="s">
        <v>301</v>
      </c>
      <c r="R499" s="6" t="s">
        <v>302</v>
      </c>
      <c r="S499" s="6" t="s">
        <v>239</v>
      </c>
      <c r="T499" s="11">
        <v>21152409</v>
      </c>
      <c r="U499" s="7">
        <v>2</v>
      </c>
      <c r="V499" s="6" t="s">
        <v>36</v>
      </c>
      <c r="W499" s="7">
        <v>7</v>
      </c>
      <c r="X499" s="6" t="s">
        <v>35</v>
      </c>
      <c r="Y499" s="7">
        <v>1.4</v>
      </c>
      <c r="Z499" s="7">
        <v>1.2</v>
      </c>
      <c r="AA499" s="6" t="s">
        <v>251</v>
      </c>
      <c r="AB499" s="6" t="s">
        <v>39</v>
      </c>
      <c r="AC499" s="6" t="s">
        <v>39</v>
      </c>
      <c r="AE499" s="6"/>
      <c r="AG499" s="6" t="s">
        <v>37</v>
      </c>
      <c r="AH499" s="7"/>
      <c r="AI499" s="6" t="s">
        <v>40</v>
      </c>
      <c r="AJ499" s="6" t="s">
        <v>238</v>
      </c>
      <c r="AK499" s="6" t="s">
        <v>35</v>
      </c>
      <c r="AL499" s="6" t="s">
        <v>276</v>
      </c>
      <c r="AM499" s="6" t="s">
        <v>41</v>
      </c>
      <c r="AN499" s="6" t="s">
        <v>263</v>
      </c>
    </row>
    <row r="500" spans="1:40" hidden="1" x14ac:dyDescent="0.25">
      <c r="A500" s="12">
        <v>45678</v>
      </c>
      <c r="B500" s="6" t="s">
        <v>193</v>
      </c>
      <c r="C500" t="str">
        <f>_xlfn.XLOOKUP(Table3[[#This Row],[station]],station_waterbody_county!A:A, station_waterbody_county!B:B)</f>
        <v>Merigomish Harbour</v>
      </c>
      <c r="D500" t="str">
        <f>_xlfn.XLOOKUP(Table3[[#This Row],[station]],station_waterbody_county!A:A, station_waterbody_county!C:C)</f>
        <v>Pictou</v>
      </c>
      <c r="E500" s="6"/>
      <c r="F500" s="6" t="s">
        <v>310</v>
      </c>
      <c r="G500" s="12">
        <v>45231</v>
      </c>
      <c r="H500" s="5"/>
      <c r="I500" s="4">
        <v>45427</v>
      </c>
      <c r="J500" s="5">
        <v>0.63541666666666663</v>
      </c>
      <c r="K500" s="10">
        <v>45.643853602911697</v>
      </c>
      <c r="L500" s="10">
        <v>-62.468084736152399</v>
      </c>
      <c r="O500" s="6"/>
      <c r="Q500" s="6" t="s">
        <v>301</v>
      </c>
      <c r="R500" s="6" t="s">
        <v>302</v>
      </c>
      <c r="S500" s="6" t="s">
        <v>240</v>
      </c>
      <c r="T500" s="11">
        <v>670365</v>
      </c>
      <c r="U500" s="7">
        <v>3</v>
      </c>
      <c r="V500" s="6" t="s">
        <v>36</v>
      </c>
      <c r="W500" s="7">
        <v>7</v>
      </c>
      <c r="X500" s="6" t="s">
        <v>35</v>
      </c>
      <c r="Y500" s="7">
        <v>1.4</v>
      </c>
      <c r="Z500" s="7">
        <v>1.2</v>
      </c>
      <c r="AA500" s="6" t="s">
        <v>251</v>
      </c>
      <c r="AB500" s="6" t="s">
        <v>39</v>
      </c>
      <c r="AC500" s="6" t="s">
        <v>39</v>
      </c>
      <c r="AE500" s="6"/>
      <c r="AG500" s="6" t="s">
        <v>37</v>
      </c>
      <c r="AH500" s="7"/>
      <c r="AI500" s="6" t="s">
        <v>40</v>
      </c>
      <c r="AJ500" s="6" t="s">
        <v>238</v>
      </c>
      <c r="AK500" s="6" t="s">
        <v>35</v>
      </c>
      <c r="AL500" s="6" t="s">
        <v>276</v>
      </c>
      <c r="AM500" s="6" t="s">
        <v>41</v>
      </c>
      <c r="AN500" s="6" t="s">
        <v>264</v>
      </c>
    </row>
    <row r="501" spans="1:40" hidden="1" x14ac:dyDescent="0.25">
      <c r="A501" s="12">
        <v>45678</v>
      </c>
      <c r="B501" s="6" t="s">
        <v>193</v>
      </c>
      <c r="C501" t="str">
        <f>_xlfn.XLOOKUP(Table3[[#This Row],[station]],station_waterbody_county!A:A, station_waterbody_county!B:B)</f>
        <v>Merigomish Harbour</v>
      </c>
      <c r="D501" t="str">
        <f>_xlfn.XLOOKUP(Table3[[#This Row],[station]],station_waterbody_county!A:A, station_waterbody_county!C:C)</f>
        <v>Pictou</v>
      </c>
      <c r="E501" s="6"/>
      <c r="F501" s="6" t="s">
        <v>310</v>
      </c>
      <c r="G501" s="12">
        <v>45231</v>
      </c>
      <c r="H501" s="5"/>
      <c r="I501" s="4">
        <v>45427</v>
      </c>
      <c r="J501" s="5">
        <v>0.63541666666666663</v>
      </c>
      <c r="K501" s="10">
        <v>45.643853602911697</v>
      </c>
      <c r="L501" s="10">
        <v>-62.468084736152399</v>
      </c>
      <c r="O501" s="6"/>
      <c r="Q501" s="6" t="s">
        <v>301</v>
      </c>
      <c r="R501" s="6" t="s">
        <v>302</v>
      </c>
      <c r="S501" s="6" t="s">
        <v>42</v>
      </c>
      <c r="T501" s="11">
        <v>549339</v>
      </c>
      <c r="U501" s="7">
        <v>5</v>
      </c>
      <c r="V501" s="6" t="s">
        <v>36</v>
      </c>
      <c r="W501" s="7">
        <v>7</v>
      </c>
      <c r="X501" s="6" t="s">
        <v>35</v>
      </c>
      <c r="Y501" s="7">
        <v>1.4</v>
      </c>
      <c r="Z501" s="7">
        <v>1.2</v>
      </c>
      <c r="AA501" s="6" t="s">
        <v>251</v>
      </c>
      <c r="AB501" s="6" t="s">
        <v>39</v>
      </c>
      <c r="AC501" s="6" t="s">
        <v>39</v>
      </c>
      <c r="AE501" s="6"/>
      <c r="AG501" s="6" t="s">
        <v>37</v>
      </c>
      <c r="AH501" s="7"/>
      <c r="AI501" s="6" t="s">
        <v>40</v>
      </c>
      <c r="AJ501" s="6" t="s">
        <v>238</v>
      </c>
      <c r="AK501" s="6" t="s">
        <v>35</v>
      </c>
      <c r="AL501" s="6" t="s">
        <v>276</v>
      </c>
      <c r="AM501" s="6" t="s">
        <v>41</v>
      </c>
      <c r="AN501" s="6" t="s">
        <v>264</v>
      </c>
    </row>
    <row r="502" spans="1:40" hidden="1" x14ac:dyDescent="0.25">
      <c r="A502" s="12">
        <v>45678</v>
      </c>
      <c r="B502" s="6" t="s">
        <v>193</v>
      </c>
      <c r="C502" t="str">
        <f>_xlfn.XLOOKUP(Table3[[#This Row],[station]],station_waterbody_county!A:A, station_waterbody_county!B:B)</f>
        <v>Merigomish Harbour</v>
      </c>
      <c r="D502" t="str">
        <f>_xlfn.XLOOKUP(Table3[[#This Row],[station]],station_waterbody_county!A:A, station_waterbody_county!C:C)</f>
        <v>Pictou</v>
      </c>
      <c r="E502" s="6"/>
      <c r="F502" s="6" t="s">
        <v>310</v>
      </c>
      <c r="G502" s="12">
        <v>45231</v>
      </c>
      <c r="H502" s="5"/>
      <c r="I502" s="4">
        <v>45427</v>
      </c>
      <c r="J502" s="5">
        <v>0.63541666666666663</v>
      </c>
      <c r="K502" s="10">
        <v>45.643853602911697</v>
      </c>
      <c r="L502" s="10">
        <v>-62.468084736152399</v>
      </c>
      <c r="O502" s="6"/>
      <c r="Q502" s="6" t="s">
        <v>301</v>
      </c>
      <c r="R502" s="6" t="s">
        <v>302</v>
      </c>
      <c r="S502" s="6" t="s">
        <v>239</v>
      </c>
      <c r="T502" s="11">
        <v>20495251</v>
      </c>
      <c r="U502" s="7">
        <v>6</v>
      </c>
      <c r="V502" s="6" t="s">
        <v>36</v>
      </c>
      <c r="W502" s="7">
        <v>7</v>
      </c>
      <c r="X502" s="6" t="s">
        <v>35</v>
      </c>
      <c r="Y502" s="7">
        <v>1.4</v>
      </c>
      <c r="Z502" s="7">
        <v>1.2</v>
      </c>
      <c r="AA502" s="6" t="s">
        <v>251</v>
      </c>
      <c r="AB502" s="6" t="s">
        <v>39</v>
      </c>
      <c r="AC502" s="6" t="s">
        <v>39</v>
      </c>
      <c r="AE502" s="6"/>
      <c r="AG502" s="6" t="s">
        <v>37</v>
      </c>
      <c r="AH502" s="7"/>
      <c r="AI502" s="6" t="s">
        <v>40</v>
      </c>
      <c r="AJ502" s="6" t="s">
        <v>238</v>
      </c>
      <c r="AK502" s="6" t="s">
        <v>35</v>
      </c>
      <c r="AL502" s="6" t="s">
        <v>276</v>
      </c>
      <c r="AM502" s="6" t="s">
        <v>41</v>
      </c>
      <c r="AN502" s="6" t="s">
        <v>615</v>
      </c>
    </row>
    <row r="503" spans="1:40" x14ac:dyDescent="0.25">
      <c r="A503" s="4">
        <v>45798</v>
      </c>
      <c r="B503" s="6" t="s">
        <v>193</v>
      </c>
      <c r="C503" t="str">
        <f>_xlfn.XLOOKUP(Table3[[#This Row],[station]],station_waterbody_county!A:A, station_waterbody_county!B:B)</f>
        <v>Merigomish Harbour</v>
      </c>
      <c r="D503" t="str">
        <f>_xlfn.XLOOKUP(Table3[[#This Row],[station]],station_waterbody_county!A:A, station_waterbody_county!C:C)</f>
        <v>Pictou</v>
      </c>
      <c r="E503" s="6"/>
      <c r="F503" s="6" t="s">
        <v>310</v>
      </c>
      <c r="G503" s="4">
        <v>45583</v>
      </c>
      <c r="H503" s="5">
        <v>0.59791666666666665</v>
      </c>
      <c r="I503" s="4">
        <v>45793</v>
      </c>
      <c r="J503" s="5">
        <v>0.53333333333333333</v>
      </c>
      <c r="K503" s="10"/>
      <c r="O503" s="6" t="s">
        <v>515</v>
      </c>
      <c r="P503" s="6" t="s">
        <v>516</v>
      </c>
      <c r="Q503" s="6" t="s">
        <v>1292</v>
      </c>
      <c r="R503" s="6" t="s">
        <v>1293</v>
      </c>
      <c r="S503" s="6" t="s">
        <v>239</v>
      </c>
      <c r="T503" s="11">
        <v>21082888</v>
      </c>
      <c r="U503" s="7">
        <v>2</v>
      </c>
      <c r="V503" s="6" t="s">
        <v>36</v>
      </c>
      <c r="W503" s="7">
        <v>8.5</v>
      </c>
      <c r="X503" s="6" t="s">
        <v>35</v>
      </c>
      <c r="Y503" s="7">
        <v>1.7</v>
      </c>
      <c r="Z503" s="7">
        <v>1</v>
      </c>
      <c r="AA503" s="6" t="s">
        <v>370</v>
      </c>
      <c r="AB503" s="6" t="s">
        <v>39</v>
      </c>
      <c r="AC503" s="6" t="s">
        <v>39</v>
      </c>
      <c r="AE503" s="6"/>
      <c r="AG503" s="6" t="s">
        <v>315</v>
      </c>
      <c r="AH503" s="7">
        <v>25</v>
      </c>
      <c r="AI503" s="6" t="s">
        <v>40</v>
      </c>
      <c r="AJ503" s="6" t="s">
        <v>238</v>
      </c>
      <c r="AK503" s="6" t="s">
        <v>35</v>
      </c>
      <c r="AL503" s="6" t="s">
        <v>41</v>
      </c>
      <c r="AM503" s="6" t="s">
        <v>41</v>
      </c>
      <c r="AN503" s="6" t="s">
        <v>517</v>
      </c>
    </row>
    <row r="504" spans="1:40" x14ac:dyDescent="0.25">
      <c r="A504" s="4">
        <v>45798</v>
      </c>
      <c r="B504" s="6" t="s">
        <v>193</v>
      </c>
      <c r="C504" t="str">
        <f>_xlfn.XLOOKUP(Table3[[#This Row],[station]],station_waterbody_county!A:A, station_waterbody_county!B:B)</f>
        <v>Merigomish Harbour</v>
      </c>
      <c r="D504" t="str">
        <f>_xlfn.XLOOKUP(Table3[[#This Row],[station]],station_waterbody_county!A:A, station_waterbody_county!C:C)</f>
        <v>Pictou</v>
      </c>
      <c r="E504" s="6"/>
      <c r="F504" s="6" t="s">
        <v>310</v>
      </c>
      <c r="G504" s="4">
        <v>45583</v>
      </c>
      <c r="H504" s="5">
        <v>0.59791666666666665</v>
      </c>
      <c r="I504" s="4">
        <v>45793</v>
      </c>
      <c r="J504" s="5">
        <v>0.53333333333333333</v>
      </c>
      <c r="K504" s="10"/>
      <c r="O504" s="6" t="s">
        <v>515</v>
      </c>
      <c r="P504" s="6" t="s">
        <v>516</v>
      </c>
      <c r="Q504" s="6" t="s">
        <v>1292</v>
      </c>
      <c r="R504" s="6" t="s">
        <v>1293</v>
      </c>
      <c r="S504" s="6" t="s">
        <v>240</v>
      </c>
      <c r="T504" s="11">
        <v>678289</v>
      </c>
      <c r="U504" s="7">
        <v>3</v>
      </c>
      <c r="V504" s="6" t="s">
        <v>36</v>
      </c>
      <c r="W504" s="7">
        <v>8.5</v>
      </c>
      <c r="X504" s="6" t="s">
        <v>35</v>
      </c>
      <c r="Y504" s="7">
        <v>1.7</v>
      </c>
      <c r="Z504" s="7">
        <v>1</v>
      </c>
      <c r="AA504" s="6" t="s">
        <v>370</v>
      </c>
      <c r="AB504" s="6" t="s">
        <v>39</v>
      </c>
      <c r="AC504" s="6" t="s">
        <v>39</v>
      </c>
      <c r="AE504" s="6"/>
      <c r="AG504" s="6" t="s">
        <v>315</v>
      </c>
      <c r="AH504" s="7">
        <v>25</v>
      </c>
      <c r="AI504" s="6" t="s">
        <v>40</v>
      </c>
      <c r="AJ504" s="6" t="s">
        <v>238</v>
      </c>
      <c r="AK504" s="6" t="s">
        <v>35</v>
      </c>
      <c r="AL504" s="6" t="s">
        <v>41</v>
      </c>
      <c r="AM504" s="6" t="s">
        <v>41</v>
      </c>
      <c r="AN504" s="6" t="s">
        <v>518</v>
      </c>
    </row>
    <row r="505" spans="1:40" x14ac:dyDescent="0.25">
      <c r="A505" s="4">
        <v>45798</v>
      </c>
      <c r="B505" s="6" t="s">
        <v>193</v>
      </c>
      <c r="C505" t="str">
        <f>_xlfn.XLOOKUP(Table3[[#This Row],[station]],station_waterbody_county!A:A, station_waterbody_county!B:B)</f>
        <v>Merigomish Harbour</v>
      </c>
      <c r="D505" t="str">
        <f>_xlfn.XLOOKUP(Table3[[#This Row],[station]],station_waterbody_county!A:A, station_waterbody_county!C:C)</f>
        <v>Pictou</v>
      </c>
      <c r="E505" s="6"/>
      <c r="F505" s="6" t="s">
        <v>310</v>
      </c>
      <c r="G505" s="4">
        <v>45583</v>
      </c>
      <c r="H505" s="5">
        <v>0.59791666666666665</v>
      </c>
      <c r="I505" s="4">
        <v>45793</v>
      </c>
      <c r="J505" s="5">
        <v>0.53333333333333333</v>
      </c>
      <c r="K505" s="10"/>
      <c r="O505" s="6" t="s">
        <v>515</v>
      </c>
      <c r="P505" s="6" t="s">
        <v>516</v>
      </c>
      <c r="Q505" s="6" t="s">
        <v>1292</v>
      </c>
      <c r="R505" s="6" t="s">
        <v>1293</v>
      </c>
      <c r="S505" s="6" t="s">
        <v>239</v>
      </c>
      <c r="T505" s="11">
        <v>21927319</v>
      </c>
      <c r="U505" s="7">
        <v>5</v>
      </c>
      <c r="V505" s="6" t="s">
        <v>36</v>
      </c>
      <c r="W505" s="7">
        <v>8.5</v>
      </c>
      <c r="X505" s="6" t="s">
        <v>35</v>
      </c>
      <c r="Y505" s="7">
        <v>1.7</v>
      </c>
      <c r="Z505" s="7">
        <v>1</v>
      </c>
      <c r="AA505" s="6" t="s">
        <v>370</v>
      </c>
      <c r="AB505" s="6" t="s">
        <v>39</v>
      </c>
      <c r="AC505" s="6" t="s">
        <v>39</v>
      </c>
      <c r="AE505" s="6"/>
      <c r="AG505" s="6" t="s">
        <v>315</v>
      </c>
      <c r="AH505" s="7">
        <v>25</v>
      </c>
      <c r="AI505" s="6" t="s">
        <v>40</v>
      </c>
      <c r="AJ505" s="6" t="s">
        <v>238</v>
      </c>
      <c r="AK505" s="6" t="s">
        <v>35</v>
      </c>
      <c r="AL505" s="6" t="s">
        <v>41</v>
      </c>
      <c r="AM505" s="6" t="s">
        <v>41</v>
      </c>
      <c r="AN505" s="6" t="s">
        <v>1337</v>
      </c>
    </row>
    <row r="506" spans="1:40" x14ac:dyDescent="0.25">
      <c r="A506" s="4">
        <v>45798</v>
      </c>
      <c r="B506" s="6" t="s">
        <v>193</v>
      </c>
      <c r="C506" t="str">
        <f>_xlfn.XLOOKUP(Table3[[#This Row],[station]],station_waterbody_county!A:A, station_waterbody_county!B:B)</f>
        <v>Merigomish Harbour</v>
      </c>
      <c r="D506" t="str">
        <f>_xlfn.XLOOKUP(Table3[[#This Row],[station]],station_waterbody_county!A:A, station_waterbody_county!C:C)</f>
        <v>Pictou</v>
      </c>
      <c r="E506" s="6"/>
      <c r="F506" s="6" t="s">
        <v>310</v>
      </c>
      <c r="G506" s="4">
        <v>45583</v>
      </c>
      <c r="H506" s="5">
        <v>0.59791666666666665</v>
      </c>
      <c r="I506" s="4">
        <v>45793</v>
      </c>
      <c r="J506" s="5">
        <v>0.53333333333333333</v>
      </c>
      <c r="K506" s="10"/>
      <c r="O506" s="6" t="s">
        <v>515</v>
      </c>
      <c r="P506" s="6" t="s">
        <v>516</v>
      </c>
      <c r="Q506" s="6" t="s">
        <v>1292</v>
      </c>
      <c r="R506" s="6" t="s">
        <v>1293</v>
      </c>
      <c r="S506" s="6" t="s">
        <v>42</v>
      </c>
      <c r="T506" s="11">
        <v>551264</v>
      </c>
      <c r="U506" s="7">
        <v>5</v>
      </c>
      <c r="V506" s="6" t="s">
        <v>36</v>
      </c>
      <c r="W506" s="7">
        <v>8.5</v>
      </c>
      <c r="X506" s="6" t="s">
        <v>35</v>
      </c>
      <c r="Y506" s="7">
        <v>1.7</v>
      </c>
      <c r="Z506" s="7">
        <v>1</v>
      </c>
      <c r="AA506" s="6" t="s">
        <v>370</v>
      </c>
      <c r="AB506" s="6" t="s">
        <v>39</v>
      </c>
      <c r="AC506" s="6" t="s">
        <v>39</v>
      </c>
      <c r="AE506" s="6"/>
      <c r="AG506" s="6" t="s">
        <v>315</v>
      </c>
      <c r="AH506" s="7">
        <v>25</v>
      </c>
      <c r="AI506" s="6" t="s">
        <v>40</v>
      </c>
      <c r="AJ506" s="6" t="s">
        <v>238</v>
      </c>
      <c r="AK506" s="6" t="s">
        <v>35</v>
      </c>
      <c r="AL506" s="6" t="s">
        <v>41</v>
      </c>
      <c r="AM506" s="6" t="s">
        <v>41</v>
      </c>
      <c r="AN506" s="6" t="s">
        <v>517</v>
      </c>
    </row>
    <row r="507" spans="1:40" hidden="1" x14ac:dyDescent="0.25">
      <c r="A507" s="4">
        <v>45798</v>
      </c>
      <c r="B507" s="6" t="s">
        <v>193</v>
      </c>
      <c r="C507" t="str">
        <f>_xlfn.XLOOKUP(Table3[[#This Row],[station]],station_waterbody_county!A:A, station_waterbody_county!B:B)</f>
        <v>Merigomish Harbour</v>
      </c>
      <c r="D507" t="str">
        <f>_xlfn.XLOOKUP(Table3[[#This Row],[station]],station_waterbody_county!A:A, station_waterbody_county!C:C)</f>
        <v>Pictou</v>
      </c>
      <c r="E507" s="6"/>
      <c r="F507" s="6" t="s">
        <v>34</v>
      </c>
      <c r="G507" s="12">
        <v>45793</v>
      </c>
      <c r="H507" s="5">
        <v>0.54166666666666663</v>
      </c>
      <c r="I507" s="4"/>
      <c r="J507" s="5"/>
      <c r="K507" s="10"/>
      <c r="O507" s="6" t="s">
        <v>1294</v>
      </c>
      <c r="P507" s="6" t="s">
        <v>1295</v>
      </c>
      <c r="S507" s="6" t="s">
        <v>239</v>
      </c>
      <c r="T507" s="11">
        <v>22249021</v>
      </c>
      <c r="U507" s="7">
        <v>2</v>
      </c>
      <c r="V507" s="6" t="s">
        <v>36</v>
      </c>
      <c r="W507" s="7">
        <v>8.5</v>
      </c>
      <c r="X507" s="6" t="s">
        <v>35</v>
      </c>
      <c r="Y507" s="7">
        <v>1.5</v>
      </c>
      <c r="Z507" s="7">
        <v>1</v>
      </c>
      <c r="AA507" s="6" t="s">
        <v>243</v>
      </c>
      <c r="AB507" s="6" t="s">
        <v>39</v>
      </c>
      <c r="AC507" s="6" t="s">
        <v>39</v>
      </c>
      <c r="AD507" s="6" t="s">
        <v>39</v>
      </c>
      <c r="AE507" s="6" t="s">
        <v>40</v>
      </c>
      <c r="AG507" s="6" t="s">
        <v>37</v>
      </c>
      <c r="AH507" s="7">
        <v>60</v>
      </c>
      <c r="AI507" s="6" t="s">
        <v>40</v>
      </c>
      <c r="AJ507" s="6" t="s">
        <v>238</v>
      </c>
      <c r="AL507" s="6" t="s">
        <v>41</v>
      </c>
    </row>
    <row r="508" spans="1:40" hidden="1" x14ac:dyDescent="0.25">
      <c r="A508" s="4">
        <v>45798</v>
      </c>
      <c r="B508" s="6" t="s">
        <v>193</v>
      </c>
      <c r="C508" t="str">
        <f>_xlfn.XLOOKUP(Table3[[#This Row],[station]],station_waterbody_county!A:A, station_waterbody_county!B:B)</f>
        <v>Merigomish Harbour</v>
      </c>
      <c r="D508" t="str">
        <f>_xlfn.XLOOKUP(Table3[[#This Row],[station]],station_waterbody_county!A:A, station_waterbody_county!C:C)</f>
        <v>Pictou</v>
      </c>
      <c r="E508" s="6"/>
      <c r="F508" s="6" t="s">
        <v>34</v>
      </c>
      <c r="G508" s="12">
        <v>45793</v>
      </c>
      <c r="H508" s="5">
        <v>0.54166666666666663</v>
      </c>
      <c r="I508" s="4"/>
      <c r="J508" s="5"/>
      <c r="K508" s="10"/>
      <c r="O508" s="6" t="s">
        <v>1294</v>
      </c>
      <c r="P508" s="6" t="s">
        <v>1295</v>
      </c>
      <c r="S508" s="6" t="s">
        <v>240</v>
      </c>
      <c r="T508" s="11">
        <v>671017</v>
      </c>
      <c r="U508" s="7">
        <v>3</v>
      </c>
      <c r="V508" s="6" t="s">
        <v>36</v>
      </c>
      <c r="W508" s="7">
        <v>8.5</v>
      </c>
      <c r="X508" s="6" t="s">
        <v>35</v>
      </c>
      <c r="Y508" s="7">
        <v>1.5</v>
      </c>
      <c r="Z508" s="7">
        <v>1</v>
      </c>
      <c r="AA508" s="6" t="s">
        <v>243</v>
      </c>
      <c r="AB508" s="6" t="s">
        <v>39</v>
      </c>
      <c r="AC508" s="6" t="s">
        <v>39</v>
      </c>
      <c r="AD508" s="6" t="s">
        <v>39</v>
      </c>
      <c r="AE508" s="6" t="s">
        <v>40</v>
      </c>
      <c r="AG508" s="6" t="s">
        <v>37</v>
      </c>
      <c r="AH508" s="7">
        <v>60</v>
      </c>
      <c r="AI508" s="6" t="s">
        <v>40</v>
      </c>
      <c r="AJ508" s="6" t="s">
        <v>238</v>
      </c>
      <c r="AL508" s="6" t="s">
        <v>41</v>
      </c>
    </row>
    <row r="509" spans="1:40" hidden="1" x14ac:dyDescent="0.25">
      <c r="A509" s="4">
        <v>45798</v>
      </c>
      <c r="B509" s="6" t="s">
        <v>193</v>
      </c>
      <c r="C509" t="str">
        <f>_xlfn.XLOOKUP(Table3[[#This Row],[station]],station_waterbody_county!A:A, station_waterbody_county!B:B)</f>
        <v>Merigomish Harbour</v>
      </c>
      <c r="D509" t="str">
        <f>_xlfn.XLOOKUP(Table3[[#This Row],[station]],station_waterbody_county!A:A, station_waterbody_county!C:C)</f>
        <v>Pictou</v>
      </c>
      <c r="E509" s="6"/>
      <c r="F509" s="6" t="s">
        <v>34</v>
      </c>
      <c r="G509" s="12">
        <v>45793</v>
      </c>
      <c r="H509" s="5">
        <v>0.54166666666666663</v>
      </c>
      <c r="I509" s="4"/>
      <c r="J509" s="5"/>
      <c r="K509" s="10"/>
      <c r="O509" s="6" t="s">
        <v>1294</v>
      </c>
      <c r="P509" s="6" t="s">
        <v>1295</v>
      </c>
      <c r="S509" s="6" t="s">
        <v>239</v>
      </c>
      <c r="T509" s="11">
        <v>21043083</v>
      </c>
      <c r="U509" s="7">
        <v>5</v>
      </c>
      <c r="V509" s="6" t="s">
        <v>36</v>
      </c>
      <c r="W509" s="7">
        <v>8.5</v>
      </c>
      <c r="X509" s="6" t="s">
        <v>35</v>
      </c>
      <c r="Y509" s="7">
        <v>1.5</v>
      </c>
      <c r="Z509" s="7">
        <v>1</v>
      </c>
      <c r="AA509" s="6" t="s">
        <v>243</v>
      </c>
      <c r="AB509" s="6" t="s">
        <v>39</v>
      </c>
      <c r="AC509" s="6" t="s">
        <v>39</v>
      </c>
      <c r="AD509" s="6" t="s">
        <v>39</v>
      </c>
      <c r="AE509" s="6" t="s">
        <v>40</v>
      </c>
      <c r="AG509" s="6" t="s">
        <v>37</v>
      </c>
      <c r="AH509" s="7">
        <v>60</v>
      </c>
      <c r="AI509" s="6" t="s">
        <v>40</v>
      </c>
      <c r="AJ509" s="6" t="s">
        <v>238</v>
      </c>
      <c r="AL509" s="6" t="s">
        <v>41</v>
      </c>
    </row>
    <row r="510" spans="1:40" hidden="1" x14ac:dyDescent="0.25">
      <c r="A510" s="4">
        <v>45798</v>
      </c>
      <c r="B510" s="6" t="s">
        <v>193</v>
      </c>
      <c r="C510" t="str">
        <f>_xlfn.XLOOKUP(Table3[[#This Row],[station]],station_waterbody_county!A:A, station_waterbody_county!B:B)</f>
        <v>Merigomish Harbour</v>
      </c>
      <c r="D510" t="str">
        <f>_xlfn.XLOOKUP(Table3[[#This Row],[station]],station_waterbody_county!A:A, station_waterbody_county!C:C)</f>
        <v>Pictou</v>
      </c>
      <c r="E510" s="6"/>
      <c r="F510" s="6" t="s">
        <v>34</v>
      </c>
      <c r="G510" s="12">
        <v>45793</v>
      </c>
      <c r="H510" s="5">
        <v>0.54166666666666663</v>
      </c>
      <c r="I510" s="4"/>
      <c r="J510" s="5"/>
      <c r="K510" s="10"/>
      <c r="O510" s="6" t="s">
        <v>1294</v>
      </c>
      <c r="P510" s="6" t="s">
        <v>1295</v>
      </c>
      <c r="S510" s="6" t="s">
        <v>42</v>
      </c>
      <c r="T510" s="11">
        <v>549340</v>
      </c>
      <c r="U510" s="7">
        <v>5</v>
      </c>
      <c r="V510" s="6" t="s">
        <v>36</v>
      </c>
      <c r="W510" s="7">
        <v>8.5</v>
      </c>
      <c r="X510" s="6" t="s">
        <v>35</v>
      </c>
      <c r="Y510" s="7">
        <v>1.5</v>
      </c>
      <c r="Z510" s="7">
        <v>1</v>
      </c>
      <c r="AA510" s="6" t="s">
        <v>243</v>
      </c>
      <c r="AB510" s="6" t="s">
        <v>39</v>
      </c>
      <c r="AC510" s="6" t="s">
        <v>39</v>
      </c>
      <c r="AD510" s="6" t="s">
        <v>39</v>
      </c>
      <c r="AE510" s="6" t="s">
        <v>40</v>
      </c>
      <c r="AG510" s="6" t="s">
        <v>37</v>
      </c>
      <c r="AH510" s="7">
        <v>60</v>
      </c>
      <c r="AI510" s="6" t="s">
        <v>40</v>
      </c>
      <c r="AJ510" s="6" t="s">
        <v>238</v>
      </c>
      <c r="AL510" s="6" t="s">
        <v>41</v>
      </c>
    </row>
    <row r="511" spans="1:40" hidden="1" x14ac:dyDescent="0.25">
      <c r="A511" s="4">
        <v>45863</v>
      </c>
      <c r="B511" s="6" t="s">
        <v>1359</v>
      </c>
      <c r="C511" s="6" t="str">
        <f>_xlfn.XLOOKUP(Table3[[#This Row],[station]],station_waterbody_county!A:A, station_waterbody_county!B:B)</f>
        <v>Great Bras d'Or Channel</v>
      </c>
      <c r="D511" s="3" t="str">
        <f>_xlfn.XLOOKUP(Table3[[#This Row],[station]],station_waterbody_county!A:A, station_waterbody_county!C:C)</f>
        <v>Victoria</v>
      </c>
      <c r="E511" s="6"/>
      <c r="F511" s="6" t="s">
        <v>34</v>
      </c>
      <c r="G511" s="12">
        <v>45833</v>
      </c>
      <c r="H511" s="5">
        <v>0.71111111111111114</v>
      </c>
      <c r="I511" s="4"/>
      <c r="J511" s="5"/>
      <c r="K511" s="10"/>
      <c r="O511" s="6" t="s">
        <v>1361</v>
      </c>
      <c r="P511" s="6" t="s">
        <v>1362</v>
      </c>
      <c r="S511" s="6" t="s">
        <v>239</v>
      </c>
      <c r="T511" s="11">
        <v>21488197</v>
      </c>
      <c r="U511" s="7">
        <v>2</v>
      </c>
      <c r="V511" s="6" t="s">
        <v>36</v>
      </c>
      <c r="W511" s="7">
        <v>60</v>
      </c>
      <c r="X511" s="6" t="s">
        <v>35</v>
      </c>
      <c r="Y511" s="7"/>
      <c r="Z511" s="7">
        <v>0.5</v>
      </c>
      <c r="AA511" s="6"/>
      <c r="AB511" s="6" t="s">
        <v>38</v>
      </c>
      <c r="AD511" s="6" t="s">
        <v>39</v>
      </c>
      <c r="AE511" s="6"/>
      <c r="AG511" s="6" t="s">
        <v>37</v>
      </c>
      <c r="AH511" s="7">
        <v>60</v>
      </c>
      <c r="AI511" s="6" t="s">
        <v>40</v>
      </c>
      <c r="AJ511" s="6" t="s">
        <v>238</v>
      </c>
      <c r="AK511" s="6" t="s">
        <v>241</v>
      </c>
      <c r="AL511" s="6" t="s">
        <v>1301</v>
      </c>
    </row>
    <row r="512" spans="1:40" hidden="1" x14ac:dyDescent="0.25">
      <c r="A512" s="4">
        <v>45863</v>
      </c>
      <c r="B512" s="6" t="s">
        <v>1359</v>
      </c>
      <c r="C512" s="6" t="str">
        <f>_xlfn.XLOOKUP(Table3[[#This Row],[station]],station_waterbody_county!A:A, station_waterbody_county!B:B)</f>
        <v>Great Bras d'Or Channel</v>
      </c>
      <c r="D512" s="3" t="str">
        <f>_xlfn.XLOOKUP(Table3[[#This Row],[station]],station_waterbody_county!A:A, station_waterbody_county!C:C)</f>
        <v>Victoria</v>
      </c>
      <c r="E512" s="6"/>
      <c r="F512" s="6" t="s">
        <v>34</v>
      </c>
      <c r="G512" s="12">
        <v>45833</v>
      </c>
      <c r="H512" s="5">
        <v>0.71111111111111114</v>
      </c>
      <c r="I512" s="4"/>
      <c r="J512" s="5"/>
      <c r="K512" s="10"/>
      <c r="O512" s="6" t="s">
        <v>1361</v>
      </c>
      <c r="P512" s="6" t="s">
        <v>1362</v>
      </c>
      <c r="S512" s="6" t="s">
        <v>240</v>
      </c>
      <c r="T512" s="11">
        <v>671392</v>
      </c>
      <c r="U512" s="7">
        <v>5</v>
      </c>
      <c r="V512" s="6" t="s">
        <v>36</v>
      </c>
      <c r="W512" s="7">
        <v>60</v>
      </c>
      <c r="X512" s="6" t="s">
        <v>35</v>
      </c>
      <c r="Y512" s="7"/>
      <c r="Z512" s="7">
        <v>0.5</v>
      </c>
      <c r="AA512" s="6"/>
      <c r="AB512" s="6" t="s">
        <v>38</v>
      </c>
      <c r="AD512" s="6" t="s">
        <v>39</v>
      </c>
      <c r="AE512" s="6"/>
      <c r="AG512" s="6" t="s">
        <v>37</v>
      </c>
      <c r="AH512" s="7">
        <v>60</v>
      </c>
      <c r="AI512" s="6" t="s">
        <v>40</v>
      </c>
      <c r="AJ512" s="6" t="s">
        <v>238</v>
      </c>
      <c r="AK512" s="6" t="s">
        <v>241</v>
      </c>
      <c r="AL512" s="6" t="s">
        <v>1301</v>
      </c>
    </row>
    <row r="513" spans="1:40" hidden="1" x14ac:dyDescent="0.25">
      <c r="A513" s="4">
        <v>45863</v>
      </c>
      <c r="B513" s="6" t="s">
        <v>1359</v>
      </c>
      <c r="C513" s="6" t="str">
        <f>_xlfn.XLOOKUP(Table3[[#This Row],[station]],station_waterbody_county!A:A, station_waterbody_county!B:B)</f>
        <v>Great Bras d'Or Channel</v>
      </c>
      <c r="D513" s="3" t="str">
        <f>_xlfn.XLOOKUP(Table3[[#This Row],[station]],station_waterbody_county!A:A, station_waterbody_county!C:C)</f>
        <v>Victoria</v>
      </c>
      <c r="E513" s="6"/>
      <c r="F513" s="6" t="s">
        <v>34</v>
      </c>
      <c r="G513" s="12">
        <v>45833</v>
      </c>
      <c r="H513" s="5">
        <v>0.71111111111111114</v>
      </c>
      <c r="I513" s="4"/>
      <c r="J513" s="5"/>
      <c r="K513" s="10"/>
      <c r="O513" s="6" t="s">
        <v>1361</v>
      </c>
      <c r="P513" s="6" t="s">
        <v>1362</v>
      </c>
      <c r="S513" s="6" t="s">
        <v>239</v>
      </c>
      <c r="T513" s="11">
        <v>21650149</v>
      </c>
      <c r="U513" s="7">
        <v>10</v>
      </c>
      <c r="V513" s="6" t="s">
        <v>36</v>
      </c>
      <c r="W513" s="7">
        <v>60</v>
      </c>
      <c r="X513" s="6" t="s">
        <v>35</v>
      </c>
      <c r="Y513" s="7"/>
      <c r="Z513" s="7">
        <v>0.5</v>
      </c>
      <c r="AA513" s="6"/>
      <c r="AB513" s="6" t="s">
        <v>38</v>
      </c>
      <c r="AD513" s="6" t="s">
        <v>39</v>
      </c>
      <c r="AE513" s="6"/>
      <c r="AG513" s="6" t="s">
        <v>37</v>
      </c>
      <c r="AH513" s="7">
        <v>60</v>
      </c>
      <c r="AI513" s="6" t="s">
        <v>40</v>
      </c>
      <c r="AJ513" s="6" t="s">
        <v>238</v>
      </c>
      <c r="AK513" s="6" t="s">
        <v>241</v>
      </c>
      <c r="AL513" s="6" t="s">
        <v>1301</v>
      </c>
    </row>
    <row r="514" spans="1:40" hidden="1" x14ac:dyDescent="0.25">
      <c r="A514" s="4">
        <v>45863</v>
      </c>
      <c r="B514" s="6" t="s">
        <v>1359</v>
      </c>
      <c r="C514" s="6" t="str">
        <f>_xlfn.XLOOKUP(Table3[[#This Row],[station]],station_waterbody_county!A:A, station_waterbody_county!B:B)</f>
        <v>Great Bras d'Or Channel</v>
      </c>
      <c r="D514" s="3" t="str">
        <f>_xlfn.XLOOKUP(Table3[[#This Row],[station]],station_waterbody_county!A:A, station_waterbody_county!C:C)</f>
        <v>Victoria</v>
      </c>
      <c r="E514" s="6"/>
      <c r="F514" s="6" t="s">
        <v>34</v>
      </c>
      <c r="G514" s="12">
        <v>45833</v>
      </c>
      <c r="H514" s="5">
        <v>0.71111111111111114</v>
      </c>
      <c r="I514" s="4"/>
      <c r="J514" s="5"/>
      <c r="K514" s="10"/>
      <c r="O514" s="6" t="s">
        <v>1361</v>
      </c>
      <c r="P514" s="6" t="s">
        <v>1362</v>
      </c>
      <c r="S514" s="6" t="s">
        <v>239</v>
      </c>
      <c r="T514" s="11">
        <v>21927303</v>
      </c>
      <c r="U514" s="7">
        <v>15</v>
      </c>
      <c r="V514" s="6" t="s">
        <v>36</v>
      </c>
      <c r="W514" s="7">
        <v>60</v>
      </c>
      <c r="X514" s="6" t="s">
        <v>35</v>
      </c>
      <c r="Y514" s="7"/>
      <c r="Z514" s="7">
        <v>0.5</v>
      </c>
      <c r="AA514" s="6"/>
      <c r="AB514" s="6" t="s">
        <v>38</v>
      </c>
      <c r="AD514" s="6" t="s">
        <v>39</v>
      </c>
      <c r="AE514" s="6"/>
      <c r="AG514" s="6" t="s">
        <v>37</v>
      </c>
      <c r="AH514" s="7">
        <v>60</v>
      </c>
      <c r="AI514" s="6" t="s">
        <v>40</v>
      </c>
      <c r="AJ514" s="6" t="s">
        <v>238</v>
      </c>
      <c r="AK514" s="6" t="s">
        <v>241</v>
      </c>
      <c r="AL514" s="6" t="s">
        <v>1301</v>
      </c>
    </row>
    <row r="515" spans="1:40" hidden="1" x14ac:dyDescent="0.25">
      <c r="A515" s="4">
        <v>45863</v>
      </c>
      <c r="B515" s="6" t="s">
        <v>1359</v>
      </c>
      <c r="C515" s="6" t="str">
        <f>_xlfn.XLOOKUP(Table3[[#This Row],[station]],station_waterbody_county!A:A, station_waterbody_county!B:B)</f>
        <v>Great Bras d'Or Channel</v>
      </c>
      <c r="D515" s="3" t="str">
        <f>_xlfn.XLOOKUP(Table3[[#This Row],[station]],station_waterbody_county!A:A, station_waterbody_county!C:C)</f>
        <v>Victoria</v>
      </c>
      <c r="E515" s="6"/>
      <c r="F515" s="6" t="s">
        <v>34</v>
      </c>
      <c r="G515" s="12">
        <v>45833</v>
      </c>
      <c r="H515" s="5">
        <v>0.71111111111111114</v>
      </c>
      <c r="I515" s="4"/>
      <c r="J515" s="5"/>
      <c r="K515" s="10"/>
      <c r="O515" s="6" t="s">
        <v>1361</v>
      </c>
      <c r="P515" s="6" t="s">
        <v>1362</v>
      </c>
      <c r="S515" s="6" t="s">
        <v>239</v>
      </c>
      <c r="T515" s="11">
        <v>21927316</v>
      </c>
      <c r="U515" s="7">
        <v>20</v>
      </c>
      <c r="V515" s="6" t="s">
        <v>36</v>
      </c>
      <c r="W515" s="7">
        <v>60</v>
      </c>
      <c r="X515" s="6" t="s">
        <v>35</v>
      </c>
      <c r="Y515" s="7"/>
      <c r="Z515" s="7">
        <v>0.5</v>
      </c>
      <c r="AA515" s="6"/>
      <c r="AB515" s="6" t="s">
        <v>38</v>
      </c>
      <c r="AD515" s="6" t="s">
        <v>39</v>
      </c>
      <c r="AE515" s="6"/>
      <c r="AG515" s="6" t="s">
        <v>37</v>
      </c>
      <c r="AH515" s="7">
        <v>60</v>
      </c>
      <c r="AI515" s="6" t="s">
        <v>40</v>
      </c>
      <c r="AJ515" s="6" t="s">
        <v>238</v>
      </c>
      <c r="AK515" s="6" t="s">
        <v>241</v>
      </c>
      <c r="AL515" s="6" t="s">
        <v>1301</v>
      </c>
    </row>
    <row r="516" spans="1:40" hidden="1" x14ac:dyDescent="0.25">
      <c r="A516" s="4">
        <v>45863</v>
      </c>
      <c r="B516" s="6" t="s">
        <v>1359</v>
      </c>
      <c r="C516" s="6" t="str">
        <f>_xlfn.XLOOKUP(Table3[[#This Row],[station]],station_waterbody_county!A:A, station_waterbody_county!B:B)</f>
        <v>Great Bras d'Or Channel</v>
      </c>
      <c r="D516" s="3" t="str">
        <f>_xlfn.XLOOKUP(Table3[[#This Row],[station]],station_waterbody_county!A:A, station_waterbody_county!C:C)</f>
        <v>Victoria</v>
      </c>
      <c r="E516" s="6"/>
      <c r="F516" s="6" t="s">
        <v>34</v>
      </c>
      <c r="G516" s="12">
        <v>45833</v>
      </c>
      <c r="H516" s="5">
        <v>0.71111111111111114</v>
      </c>
      <c r="I516" s="4"/>
      <c r="J516" s="5"/>
      <c r="K516" s="10"/>
      <c r="O516" s="6" t="s">
        <v>1361</v>
      </c>
      <c r="P516" s="6" t="s">
        <v>1362</v>
      </c>
      <c r="S516" s="6" t="s">
        <v>239</v>
      </c>
      <c r="T516" s="11">
        <v>22311493</v>
      </c>
      <c r="U516" s="7">
        <v>30</v>
      </c>
      <c r="V516" s="6" t="s">
        <v>36</v>
      </c>
      <c r="W516" s="7">
        <v>60</v>
      </c>
      <c r="X516" s="6" t="s">
        <v>35</v>
      </c>
      <c r="Y516" s="7"/>
      <c r="Z516" s="7">
        <v>0.5</v>
      </c>
      <c r="AA516" s="6"/>
      <c r="AB516" s="6" t="s">
        <v>38</v>
      </c>
      <c r="AD516" s="6" t="s">
        <v>39</v>
      </c>
      <c r="AE516" s="6"/>
      <c r="AG516" s="6" t="s">
        <v>37</v>
      </c>
      <c r="AH516" s="7">
        <v>60</v>
      </c>
      <c r="AI516" s="6" t="s">
        <v>40</v>
      </c>
      <c r="AJ516" s="6" t="s">
        <v>238</v>
      </c>
      <c r="AK516" s="6" t="s">
        <v>241</v>
      </c>
      <c r="AL516" s="6" t="s">
        <v>1301</v>
      </c>
    </row>
    <row r="517" spans="1:40" hidden="1" x14ac:dyDescent="0.25">
      <c r="A517" s="4">
        <v>45863</v>
      </c>
      <c r="B517" s="6" t="s">
        <v>1359</v>
      </c>
      <c r="C517" s="6" t="str">
        <f>_xlfn.XLOOKUP(Table3[[#This Row],[station]],station_waterbody_county!A:A, station_waterbody_county!B:B)</f>
        <v>Great Bras d'Or Channel</v>
      </c>
      <c r="D517" s="3" t="str">
        <f>_xlfn.XLOOKUP(Table3[[#This Row],[station]],station_waterbody_county!A:A, station_waterbody_county!C:C)</f>
        <v>Victoria</v>
      </c>
      <c r="E517" s="6"/>
      <c r="F517" s="6" t="s">
        <v>34</v>
      </c>
      <c r="G517" s="12">
        <v>45833</v>
      </c>
      <c r="H517" s="5">
        <v>0.71111111111111114</v>
      </c>
      <c r="I517" s="4"/>
      <c r="J517" s="5"/>
      <c r="K517" s="10"/>
      <c r="O517" s="6" t="s">
        <v>1361</v>
      </c>
      <c r="P517" s="6" t="s">
        <v>1362</v>
      </c>
      <c r="S517" s="6" t="s">
        <v>239</v>
      </c>
      <c r="T517" s="11">
        <v>22285905</v>
      </c>
      <c r="U517" s="7">
        <v>40</v>
      </c>
      <c r="V517" s="6" t="s">
        <v>36</v>
      </c>
      <c r="W517" s="7">
        <v>60</v>
      </c>
      <c r="X517" s="6" t="s">
        <v>35</v>
      </c>
      <c r="Y517" s="7"/>
      <c r="Z517" s="7">
        <v>0.5</v>
      </c>
      <c r="AA517" s="6"/>
      <c r="AB517" s="6" t="s">
        <v>38</v>
      </c>
      <c r="AD517" s="6" t="s">
        <v>39</v>
      </c>
      <c r="AE517" s="6"/>
      <c r="AG517" s="6" t="s">
        <v>37</v>
      </c>
      <c r="AH517" s="7">
        <v>60</v>
      </c>
      <c r="AI517" s="6" t="s">
        <v>40</v>
      </c>
      <c r="AJ517" s="6" t="s">
        <v>238</v>
      </c>
      <c r="AK517" s="6" t="s">
        <v>241</v>
      </c>
      <c r="AL517" s="6" t="s">
        <v>1301</v>
      </c>
    </row>
    <row r="518" spans="1:40" hidden="1" x14ac:dyDescent="0.25">
      <c r="A518" s="4">
        <v>45863</v>
      </c>
      <c r="B518" s="6" t="s">
        <v>1359</v>
      </c>
      <c r="C518" s="6" t="str">
        <f>_xlfn.XLOOKUP(Table3[[#This Row],[station]],station_waterbody_county!A:A, station_waterbody_county!B:B)</f>
        <v>Great Bras d'Or Channel</v>
      </c>
      <c r="D518" s="3" t="str">
        <f>_xlfn.XLOOKUP(Table3[[#This Row],[station]],station_waterbody_county!A:A, station_waterbody_county!C:C)</f>
        <v>Victoria</v>
      </c>
      <c r="E518" s="6"/>
      <c r="F518" s="6" t="s">
        <v>34</v>
      </c>
      <c r="G518" s="12">
        <v>45833</v>
      </c>
      <c r="H518" s="5">
        <v>0.71111111111111114</v>
      </c>
      <c r="I518" s="4"/>
      <c r="J518" s="5"/>
      <c r="K518" s="10"/>
      <c r="O518" s="6" t="s">
        <v>1361</v>
      </c>
      <c r="P518" s="6" t="s">
        <v>1362</v>
      </c>
      <c r="S518" s="6" t="s">
        <v>239</v>
      </c>
      <c r="T518" s="11">
        <v>22311505</v>
      </c>
      <c r="U518" s="7">
        <v>50</v>
      </c>
      <c r="V518" s="6" t="s">
        <v>36</v>
      </c>
      <c r="W518" s="7">
        <v>60</v>
      </c>
      <c r="X518" s="6" t="s">
        <v>35</v>
      </c>
      <c r="Y518" s="7"/>
      <c r="Z518" s="7">
        <v>0.5</v>
      </c>
      <c r="AA518" s="6"/>
      <c r="AB518" s="6" t="s">
        <v>38</v>
      </c>
      <c r="AD518" s="6" t="s">
        <v>39</v>
      </c>
      <c r="AE518" s="6"/>
      <c r="AG518" s="6" t="s">
        <v>37</v>
      </c>
      <c r="AH518" s="7">
        <v>60</v>
      </c>
      <c r="AI518" s="6" t="s">
        <v>40</v>
      </c>
      <c r="AJ518" s="6" t="s">
        <v>238</v>
      </c>
      <c r="AK518" s="6" t="s">
        <v>241</v>
      </c>
      <c r="AL518" s="6" t="s">
        <v>1301</v>
      </c>
    </row>
    <row r="519" spans="1:40" hidden="1" x14ac:dyDescent="0.25">
      <c r="A519" s="4">
        <v>45863</v>
      </c>
      <c r="B519" s="6" t="s">
        <v>1359</v>
      </c>
      <c r="C519" s="6" t="str">
        <f>_xlfn.XLOOKUP(Table3[[#This Row],[station]],station_waterbody_county!A:A, station_waterbody_county!B:B)</f>
        <v>Great Bras d'Or Channel</v>
      </c>
      <c r="D519" s="3" t="str">
        <f>_xlfn.XLOOKUP(Table3[[#This Row],[station]],station_waterbody_county!A:A, station_waterbody_county!C:C)</f>
        <v>Victoria</v>
      </c>
      <c r="E519" s="6"/>
      <c r="F519" s="6" t="s">
        <v>34</v>
      </c>
      <c r="G519" s="12">
        <v>45833</v>
      </c>
      <c r="H519" s="5">
        <v>0.71111111111111114</v>
      </c>
      <c r="I519" s="4"/>
      <c r="J519" s="5"/>
      <c r="K519" s="10"/>
      <c r="O519" s="6" t="s">
        <v>1361</v>
      </c>
      <c r="P519" s="6" t="s">
        <v>1362</v>
      </c>
      <c r="S519" s="6" t="s">
        <v>42</v>
      </c>
      <c r="T519" s="11">
        <v>548551</v>
      </c>
      <c r="U519" s="7">
        <v>55</v>
      </c>
      <c r="V519" s="6" t="s">
        <v>36</v>
      </c>
      <c r="W519" s="7">
        <v>60</v>
      </c>
      <c r="X519" s="6" t="s">
        <v>35</v>
      </c>
      <c r="Y519" s="7"/>
      <c r="Z519" s="7">
        <v>0.5</v>
      </c>
      <c r="AA519" s="6"/>
      <c r="AB519" s="6" t="s">
        <v>38</v>
      </c>
      <c r="AD519" s="6" t="s">
        <v>39</v>
      </c>
      <c r="AE519" s="6"/>
      <c r="AG519" s="6" t="s">
        <v>37</v>
      </c>
      <c r="AH519" s="7">
        <v>60</v>
      </c>
      <c r="AI519" s="6" t="s">
        <v>40</v>
      </c>
      <c r="AJ519" s="6" t="s">
        <v>238</v>
      </c>
      <c r="AK519" s="6" t="s">
        <v>241</v>
      </c>
      <c r="AL519" s="6" t="s">
        <v>1301</v>
      </c>
    </row>
    <row r="520" spans="1:40" hidden="1" x14ac:dyDescent="0.25">
      <c r="A520" s="4">
        <v>45863</v>
      </c>
      <c r="B520" s="6" t="s">
        <v>1359</v>
      </c>
      <c r="C520" s="6" t="str">
        <f>_xlfn.XLOOKUP(Table3[[#This Row],[station]],station_waterbody_county!A:A, station_waterbody_county!B:B)</f>
        <v>Great Bras d'Or Channel</v>
      </c>
      <c r="D520" s="3" t="str">
        <f>_xlfn.XLOOKUP(Table3[[#This Row],[station]],station_waterbody_county!A:A, station_waterbody_county!C:C)</f>
        <v>Victoria</v>
      </c>
      <c r="E520" s="6"/>
      <c r="F520" s="6" t="s">
        <v>34</v>
      </c>
      <c r="G520" s="12">
        <v>45833</v>
      </c>
      <c r="H520" s="5">
        <v>0.71111111111111114</v>
      </c>
      <c r="I520" s="4"/>
      <c r="J520" s="5"/>
      <c r="K520" s="10"/>
      <c r="O520" s="6" t="s">
        <v>1361</v>
      </c>
      <c r="P520" s="6" t="s">
        <v>1362</v>
      </c>
      <c r="S520" s="6" t="s">
        <v>239</v>
      </c>
      <c r="T520" s="11">
        <v>22224439</v>
      </c>
      <c r="U520" s="7">
        <v>55</v>
      </c>
      <c r="V520" s="6" t="s">
        <v>36</v>
      </c>
      <c r="W520" s="7">
        <v>60</v>
      </c>
      <c r="X520" s="6" t="s">
        <v>35</v>
      </c>
      <c r="Y520" s="7"/>
      <c r="Z520" s="7">
        <v>0.5</v>
      </c>
      <c r="AA520" s="6"/>
      <c r="AB520" s="6" t="s">
        <v>38</v>
      </c>
      <c r="AD520" s="6" t="s">
        <v>39</v>
      </c>
      <c r="AE520" s="6"/>
      <c r="AG520" s="6" t="s">
        <v>37</v>
      </c>
      <c r="AH520" s="7">
        <v>60</v>
      </c>
      <c r="AI520" s="6" t="s">
        <v>40</v>
      </c>
      <c r="AJ520" s="6" t="s">
        <v>238</v>
      </c>
      <c r="AK520" s="6" t="s">
        <v>241</v>
      </c>
      <c r="AL520" s="6" t="s">
        <v>1301</v>
      </c>
    </row>
    <row r="521" spans="1:40" x14ac:dyDescent="0.25">
      <c r="A521" s="4">
        <v>45643</v>
      </c>
      <c r="B521" s="6" t="s">
        <v>660</v>
      </c>
      <c r="C521" t="str">
        <f>_xlfn.XLOOKUP(Table3[[#This Row],[station]],station_waterbody_county!A:A, station_waterbody_county!B:B)</f>
        <v>Boat Harbour</v>
      </c>
      <c r="D521" t="str">
        <f>_xlfn.XLOOKUP(Table3[[#This Row],[station]],station_waterbody_county!A:A, station_waterbody_county!C:C)</f>
        <v>Pictou</v>
      </c>
      <c r="E521" s="6"/>
      <c r="F521" s="6" t="s">
        <v>310</v>
      </c>
      <c r="G521" s="4">
        <v>45459</v>
      </c>
      <c r="H521" s="5"/>
      <c r="I521" s="4">
        <v>45618</v>
      </c>
      <c r="J521" s="5"/>
      <c r="K521" s="10">
        <v>45.673656000000001</v>
      </c>
      <c r="L521" s="10">
        <v>-62.637242000000001</v>
      </c>
      <c r="O521" s="6"/>
      <c r="S521" s="6" t="s">
        <v>253</v>
      </c>
      <c r="T521" s="11">
        <v>680325</v>
      </c>
      <c r="U521" s="7">
        <v>0.3</v>
      </c>
      <c r="V521" s="6" t="s">
        <v>618</v>
      </c>
      <c r="W521" s="7"/>
      <c r="X521" s="6" t="s">
        <v>241</v>
      </c>
      <c r="Y521" s="7"/>
      <c r="AA521" s="6"/>
      <c r="AE521" s="6"/>
      <c r="AH521" s="7"/>
      <c r="AI521" s="6"/>
      <c r="AJ521" s="6" t="s">
        <v>238</v>
      </c>
      <c r="AK521" s="6" t="s">
        <v>241</v>
      </c>
      <c r="AL521" s="6" t="s">
        <v>662</v>
      </c>
      <c r="AM521" s="6" t="s">
        <v>662</v>
      </c>
      <c r="AN521" s="6" t="s">
        <v>663</v>
      </c>
    </row>
    <row r="522" spans="1:40" x14ac:dyDescent="0.25">
      <c r="A522" s="4">
        <v>45643</v>
      </c>
      <c r="B522" s="14" t="s">
        <v>660</v>
      </c>
      <c r="C522" t="str">
        <f>_xlfn.XLOOKUP(Table3[[#This Row],[station]],station_waterbody_county!A:A, station_waterbody_county!B:B)</f>
        <v>Boat Harbour</v>
      </c>
      <c r="D522" t="str">
        <f>_xlfn.XLOOKUP(Table3[[#This Row],[station]],station_waterbody_county!A:A, station_waterbody_county!C:C)</f>
        <v>Pictou</v>
      </c>
      <c r="E522" s="6"/>
      <c r="F522" s="6" t="s">
        <v>310</v>
      </c>
      <c r="G522" s="4">
        <v>45459</v>
      </c>
      <c r="H522" s="5"/>
      <c r="I522" s="4">
        <v>45618</v>
      </c>
      <c r="J522" s="5"/>
      <c r="K522" s="10">
        <v>45.673656000000001</v>
      </c>
      <c r="L522" s="10">
        <v>-62.637242000000001</v>
      </c>
      <c r="O522" s="6"/>
      <c r="S522" s="6" t="s">
        <v>661</v>
      </c>
      <c r="T522" s="11">
        <v>686494</v>
      </c>
      <c r="U522" s="7">
        <v>0.3</v>
      </c>
      <c r="V522" s="6" t="s">
        <v>618</v>
      </c>
      <c r="W522" s="7"/>
      <c r="X522" s="6" t="s">
        <v>241</v>
      </c>
      <c r="Y522" s="7"/>
      <c r="AA522" s="6"/>
      <c r="AE522" s="6"/>
      <c r="AH522" s="7"/>
      <c r="AI522" s="6"/>
      <c r="AJ522" s="6" t="s">
        <v>238</v>
      </c>
      <c r="AK522" s="6" t="s">
        <v>241</v>
      </c>
      <c r="AL522" s="6" t="s">
        <v>662</v>
      </c>
      <c r="AM522" s="6" t="s">
        <v>662</v>
      </c>
      <c r="AN522" s="6" t="s">
        <v>663</v>
      </c>
    </row>
    <row r="523" spans="1:40" x14ac:dyDescent="0.25">
      <c r="A523" s="4">
        <v>45643</v>
      </c>
      <c r="B523" s="6" t="s">
        <v>660</v>
      </c>
      <c r="C523" t="str">
        <f>_xlfn.XLOOKUP(Table3[[#This Row],[station]],station_waterbody_county!A:A, station_waterbody_county!B:B)</f>
        <v>Boat Harbour</v>
      </c>
      <c r="D523" t="str">
        <f>_xlfn.XLOOKUP(Table3[[#This Row],[station]],station_waterbody_county!A:A, station_waterbody_county!C:C)</f>
        <v>Pictou</v>
      </c>
      <c r="E523" s="6"/>
      <c r="F523" s="6" t="s">
        <v>310</v>
      </c>
      <c r="G523" s="4">
        <v>45459</v>
      </c>
      <c r="H523" s="5"/>
      <c r="I523" s="4">
        <v>45618</v>
      </c>
      <c r="J523" s="5"/>
      <c r="K523" s="10">
        <v>45.673656000000001</v>
      </c>
      <c r="L523" s="10">
        <v>-62.637242000000001</v>
      </c>
      <c r="O523" s="6"/>
      <c r="S523" s="6" t="s">
        <v>240</v>
      </c>
      <c r="T523" s="11">
        <v>671392</v>
      </c>
      <c r="U523" s="7">
        <v>0.3</v>
      </c>
      <c r="V523" s="6" t="s">
        <v>618</v>
      </c>
      <c r="W523" s="7"/>
      <c r="X523" s="6" t="s">
        <v>241</v>
      </c>
      <c r="Y523" s="7"/>
      <c r="AA523" s="6"/>
      <c r="AE523" s="6"/>
      <c r="AH523" s="7"/>
      <c r="AI523" s="6"/>
      <c r="AJ523" s="6" t="s">
        <v>238</v>
      </c>
      <c r="AK523" s="6" t="s">
        <v>241</v>
      </c>
      <c r="AL523" s="6" t="s">
        <v>662</v>
      </c>
      <c r="AM523" s="6" t="s">
        <v>662</v>
      </c>
      <c r="AN523" s="6" t="s">
        <v>663</v>
      </c>
    </row>
    <row r="524" spans="1:40" hidden="1" x14ac:dyDescent="0.25">
      <c r="A524" s="4">
        <v>45798</v>
      </c>
      <c r="B524" s="6" t="s">
        <v>195</v>
      </c>
      <c r="C524" t="str">
        <f>_xlfn.XLOOKUP(Table3[[#This Row],[station]],station_waterbody_county!A:A, station_waterbody_county!B:B)</f>
        <v>Strait of Canso</v>
      </c>
      <c r="D524" t="str">
        <f>_xlfn.XLOOKUP(Table3[[#This Row],[station]],station_waterbody_county!A:A, station_waterbody_county!C:C)</f>
        <v>Guysborough</v>
      </c>
      <c r="E524" s="6"/>
      <c r="F524" s="6" t="s">
        <v>34</v>
      </c>
      <c r="G524" s="12">
        <v>45792</v>
      </c>
      <c r="H524" s="5">
        <v>0.48194444444444445</v>
      </c>
      <c r="I524" s="4"/>
      <c r="J524" s="5"/>
      <c r="K524" s="10"/>
      <c r="O524" s="6" t="s">
        <v>1270</v>
      </c>
      <c r="P524" s="6" t="s">
        <v>1271</v>
      </c>
      <c r="S524" s="6" t="s">
        <v>239</v>
      </c>
      <c r="T524" s="11">
        <v>22278845</v>
      </c>
      <c r="U524" s="7">
        <v>4</v>
      </c>
      <c r="V524" s="6" t="s">
        <v>36</v>
      </c>
      <c r="W524" s="7">
        <v>13.7</v>
      </c>
      <c r="X524" s="6" t="s">
        <v>35</v>
      </c>
      <c r="Y524" s="7">
        <v>1.2</v>
      </c>
      <c r="Z524" s="7">
        <v>0.5</v>
      </c>
      <c r="AA524" s="6" t="s">
        <v>243</v>
      </c>
      <c r="AB524" s="6" t="s">
        <v>38</v>
      </c>
      <c r="AD524" s="6" t="s">
        <v>39</v>
      </c>
      <c r="AE524" s="6" t="s">
        <v>40</v>
      </c>
      <c r="AG524" s="6" t="s">
        <v>37</v>
      </c>
      <c r="AH524" s="7">
        <v>60</v>
      </c>
      <c r="AI524" s="6" t="s">
        <v>40</v>
      </c>
      <c r="AJ524" s="6" t="s">
        <v>238</v>
      </c>
      <c r="AL524" s="6" t="s">
        <v>41</v>
      </c>
      <c r="AN524" s="6" t="s">
        <v>1277</v>
      </c>
    </row>
    <row r="525" spans="1:40" hidden="1" x14ac:dyDescent="0.25">
      <c r="A525" s="4">
        <v>45798</v>
      </c>
      <c r="B525" s="6" t="s">
        <v>195</v>
      </c>
      <c r="C525" t="str">
        <f>_xlfn.XLOOKUP(Table3[[#This Row],[station]],station_waterbody_county!A:A, station_waterbody_county!B:B)</f>
        <v>Strait of Canso</v>
      </c>
      <c r="D525" t="str">
        <f>_xlfn.XLOOKUP(Table3[[#This Row],[station]],station_waterbody_county!A:A, station_waterbody_county!C:C)</f>
        <v>Guysborough</v>
      </c>
      <c r="E525" s="6"/>
      <c r="F525" s="6" t="s">
        <v>34</v>
      </c>
      <c r="G525" s="12">
        <v>45792</v>
      </c>
      <c r="H525" s="5">
        <v>0.48194444444444445</v>
      </c>
      <c r="I525" s="4"/>
      <c r="J525" s="5"/>
      <c r="K525" s="10"/>
      <c r="O525" s="6" t="s">
        <v>1270</v>
      </c>
      <c r="P525" s="6" t="s">
        <v>1271</v>
      </c>
      <c r="S525" s="6" t="s">
        <v>42</v>
      </c>
      <c r="T525" s="11">
        <v>548041</v>
      </c>
      <c r="U525" s="7">
        <v>10</v>
      </c>
      <c r="V525" s="6" t="s">
        <v>36</v>
      </c>
      <c r="W525" s="7">
        <v>13.7</v>
      </c>
      <c r="X525" s="6" t="s">
        <v>35</v>
      </c>
      <c r="Y525" s="7">
        <v>1.2</v>
      </c>
      <c r="Z525" s="7">
        <v>0.5</v>
      </c>
      <c r="AA525" s="6" t="s">
        <v>243</v>
      </c>
      <c r="AB525" s="6" t="s">
        <v>38</v>
      </c>
      <c r="AD525" s="6" t="s">
        <v>39</v>
      </c>
      <c r="AE525" s="6" t="s">
        <v>40</v>
      </c>
      <c r="AG525" s="6" t="s">
        <v>37</v>
      </c>
      <c r="AH525" s="7">
        <v>60</v>
      </c>
      <c r="AI525" s="6" t="s">
        <v>40</v>
      </c>
      <c r="AJ525" s="6" t="s">
        <v>238</v>
      </c>
      <c r="AL525" s="6" t="s">
        <v>41</v>
      </c>
      <c r="AN525" s="6" t="s">
        <v>1277</v>
      </c>
    </row>
    <row r="526" spans="1:40" hidden="1" x14ac:dyDescent="0.25">
      <c r="A526" s="4">
        <v>45798</v>
      </c>
      <c r="B526" s="6" t="s">
        <v>195</v>
      </c>
      <c r="C526" t="str">
        <f>_xlfn.XLOOKUP(Table3[[#This Row],[station]],station_waterbody_county!A:A, station_waterbody_county!B:B)</f>
        <v>Strait of Canso</v>
      </c>
      <c r="D526" t="str">
        <f>_xlfn.XLOOKUP(Table3[[#This Row],[station]],station_waterbody_county!A:A, station_waterbody_county!C:C)</f>
        <v>Guysborough</v>
      </c>
      <c r="E526" s="6"/>
      <c r="F526" s="6" t="s">
        <v>34</v>
      </c>
      <c r="G526" s="12">
        <v>45792</v>
      </c>
      <c r="H526" s="5">
        <v>0.48194444444444445</v>
      </c>
      <c r="I526" s="4"/>
      <c r="J526" s="5"/>
      <c r="K526" s="10"/>
      <c r="O526" s="6" t="s">
        <v>1270</v>
      </c>
      <c r="P526" s="6" t="s">
        <v>1271</v>
      </c>
      <c r="S526" s="6" t="s">
        <v>239</v>
      </c>
      <c r="T526" s="11">
        <v>21927294</v>
      </c>
      <c r="U526" s="7">
        <v>10</v>
      </c>
      <c r="V526" s="6" t="s">
        <v>36</v>
      </c>
      <c r="W526" s="7">
        <v>13.7</v>
      </c>
      <c r="X526" s="6" t="s">
        <v>35</v>
      </c>
      <c r="Y526" s="7">
        <v>1.2</v>
      </c>
      <c r="Z526" s="7">
        <v>0.5</v>
      </c>
      <c r="AA526" s="6" t="s">
        <v>243</v>
      </c>
      <c r="AB526" s="6" t="s">
        <v>38</v>
      </c>
      <c r="AD526" s="6" t="s">
        <v>39</v>
      </c>
      <c r="AE526" s="6" t="s">
        <v>40</v>
      </c>
      <c r="AG526" s="6" t="s">
        <v>37</v>
      </c>
      <c r="AH526" s="7">
        <v>60</v>
      </c>
      <c r="AI526" s="6" t="s">
        <v>40</v>
      </c>
      <c r="AJ526" s="6" t="s">
        <v>238</v>
      </c>
      <c r="AL526" s="6" t="s">
        <v>41</v>
      </c>
      <c r="AN526" s="6" t="s">
        <v>1277</v>
      </c>
    </row>
    <row r="527" spans="1:40" x14ac:dyDescent="0.25">
      <c r="A527" s="4">
        <v>45681</v>
      </c>
      <c r="B527" s="6" t="s">
        <v>664</v>
      </c>
      <c r="C527" t="str">
        <f>_xlfn.XLOOKUP(Table3[[#This Row],[station]],station_waterbody_county!A:A, station_waterbody_county!B:B)</f>
        <v>Michaud Cove</v>
      </c>
      <c r="D527" t="str">
        <f>_xlfn.XLOOKUP(Table3[[#This Row],[station]],station_waterbody_county!A:A, station_waterbody_county!C:C)</f>
        <v>Richmond</v>
      </c>
      <c r="E527" s="6"/>
      <c r="F527" s="6" t="s">
        <v>34</v>
      </c>
      <c r="G527" s="4">
        <v>45567</v>
      </c>
      <c r="H527" s="5">
        <v>0.6166666666666667</v>
      </c>
      <c r="I527" s="4"/>
      <c r="J527" s="5"/>
      <c r="K527" s="10">
        <v>45.566183000000002</v>
      </c>
      <c r="L527" s="10">
        <v>-60.667299999999997</v>
      </c>
      <c r="O527" s="6" t="s">
        <v>666</v>
      </c>
      <c r="P527" s="6" t="s">
        <v>667</v>
      </c>
      <c r="S527" s="6" t="s">
        <v>253</v>
      </c>
      <c r="T527" s="11">
        <v>687255</v>
      </c>
      <c r="U527" s="7">
        <v>2</v>
      </c>
      <c r="V527" s="6" t="s">
        <v>36</v>
      </c>
      <c r="W527" s="7">
        <v>32</v>
      </c>
      <c r="X527" s="6" t="s">
        <v>35</v>
      </c>
      <c r="Y527" s="7">
        <v>0</v>
      </c>
      <c r="Z527" s="7">
        <v>1</v>
      </c>
      <c r="AA527" s="6" t="s">
        <v>314</v>
      </c>
      <c r="AB527" s="6" t="s">
        <v>38</v>
      </c>
      <c r="AD527" s="6" t="s">
        <v>39</v>
      </c>
      <c r="AE527" s="6"/>
      <c r="AG527" s="6" t="s">
        <v>37</v>
      </c>
      <c r="AH527" s="7">
        <v>60</v>
      </c>
      <c r="AI527" s="6" t="s">
        <v>40</v>
      </c>
      <c r="AJ527" s="6" t="s">
        <v>238</v>
      </c>
      <c r="AK527" s="6" t="s">
        <v>35</v>
      </c>
      <c r="AL527" s="6" t="s">
        <v>668</v>
      </c>
    </row>
    <row r="528" spans="1:40" x14ac:dyDescent="0.25">
      <c r="A528" s="4">
        <v>45681</v>
      </c>
      <c r="B528" s="6" t="s">
        <v>664</v>
      </c>
      <c r="C528" t="str">
        <f>_xlfn.XLOOKUP(Table3[[#This Row],[station]],station_waterbody_county!A:A, station_waterbody_county!B:B)</f>
        <v>Michaud Cove</v>
      </c>
      <c r="D528" t="str">
        <f>_xlfn.XLOOKUP(Table3[[#This Row],[station]],station_waterbody_county!A:A, station_waterbody_county!C:C)</f>
        <v>Richmond</v>
      </c>
      <c r="E528" s="6"/>
      <c r="F528" s="6" t="s">
        <v>34</v>
      </c>
      <c r="G528" s="4">
        <v>45567</v>
      </c>
      <c r="H528" s="5">
        <v>0.6166666666666667</v>
      </c>
      <c r="I528" s="4"/>
      <c r="J528" s="5"/>
      <c r="K528" s="10">
        <v>45.566183000000002</v>
      </c>
      <c r="L528" s="10">
        <v>-60.667299999999997</v>
      </c>
      <c r="O528" s="6" t="s">
        <v>666</v>
      </c>
      <c r="P528" s="6" t="s">
        <v>667</v>
      </c>
      <c r="S528" s="6" t="s">
        <v>240</v>
      </c>
      <c r="T528" s="11">
        <v>670380</v>
      </c>
      <c r="U528" s="7">
        <v>5</v>
      </c>
      <c r="V528" s="6" t="s">
        <v>36</v>
      </c>
      <c r="W528" s="7">
        <v>32</v>
      </c>
      <c r="X528" s="6" t="s">
        <v>35</v>
      </c>
      <c r="Y528" s="7">
        <v>0</v>
      </c>
      <c r="Z528" s="7">
        <v>1</v>
      </c>
      <c r="AA528" s="6" t="s">
        <v>314</v>
      </c>
      <c r="AB528" s="6" t="s">
        <v>38</v>
      </c>
      <c r="AD528" s="6" t="s">
        <v>39</v>
      </c>
      <c r="AE528" s="6"/>
      <c r="AG528" s="6" t="s">
        <v>37</v>
      </c>
      <c r="AH528" s="7">
        <v>60</v>
      </c>
      <c r="AI528" s="6" t="s">
        <v>40</v>
      </c>
      <c r="AJ528" s="6" t="s">
        <v>238</v>
      </c>
      <c r="AK528" s="6" t="s">
        <v>35</v>
      </c>
      <c r="AL528" s="6" t="s">
        <v>668</v>
      </c>
    </row>
    <row r="529" spans="1:40" x14ac:dyDescent="0.25">
      <c r="A529" s="4">
        <v>45681</v>
      </c>
      <c r="B529" s="6" t="s">
        <v>664</v>
      </c>
      <c r="C529" t="str">
        <f>_xlfn.XLOOKUP(Table3[[#This Row],[station]],station_waterbody_county!A:A, station_waterbody_county!B:B)</f>
        <v>Michaud Cove</v>
      </c>
      <c r="D529" t="str">
        <f>_xlfn.XLOOKUP(Table3[[#This Row],[station]],station_waterbody_county!A:A, station_waterbody_county!C:C)</f>
        <v>Richmond</v>
      </c>
      <c r="E529" s="6"/>
      <c r="F529" s="6" t="s">
        <v>34</v>
      </c>
      <c r="G529" s="4">
        <v>45567</v>
      </c>
      <c r="H529" s="5">
        <v>0.6166666666666667</v>
      </c>
      <c r="I529" s="4"/>
      <c r="J529" s="5"/>
      <c r="K529" s="10">
        <v>45.566183000000002</v>
      </c>
      <c r="L529" s="10">
        <v>-60.667299999999997</v>
      </c>
      <c r="O529" s="6" t="s">
        <v>666</v>
      </c>
      <c r="P529" s="6" t="s">
        <v>667</v>
      </c>
      <c r="S529" s="6" t="s">
        <v>239</v>
      </c>
      <c r="T529" s="11">
        <v>21434539</v>
      </c>
      <c r="U529" s="7">
        <v>10</v>
      </c>
      <c r="V529" s="6" t="s">
        <v>36</v>
      </c>
      <c r="W529" s="7">
        <v>32</v>
      </c>
      <c r="X529" s="6" t="s">
        <v>35</v>
      </c>
      <c r="Y529" s="7">
        <v>0</v>
      </c>
      <c r="Z529" s="7">
        <v>1</v>
      </c>
      <c r="AA529" s="6" t="s">
        <v>314</v>
      </c>
      <c r="AB529" s="6" t="s">
        <v>38</v>
      </c>
      <c r="AD529" s="6" t="s">
        <v>39</v>
      </c>
      <c r="AE529" s="6"/>
      <c r="AG529" s="6" t="s">
        <v>37</v>
      </c>
      <c r="AH529" s="7">
        <v>60</v>
      </c>
      <c r="AI529" s="6" t="s">
        <v>40</v>
      </c>
      <c r="AJ529" s="6" t="s">
        <v>238</v>
      </c>
      <c r="AK529" s="6" t="s">
        <v>35</v>
      </c>
      <c r="AL529" s="6" t="s">
        <v>668</v>
      </c>
    </row>
    <row r="530" spans="1:40" x14ac:dyDescent="0.25">
      <c r="A530" s="4">
        <v>45681</v>
      </c>
      <c r="B530" s="6" t="s">
        <v>664</v>
      </c>
      <c r="C530" t="str">
        <f>_xlfn.XLOOKUP(Table3[[#This Row],[station]],station_waterbody_county!A:A, station_waterbody_county!B:B)</f>
        <v>Michaud Cove</v>
      </c>
      <c r="D530" t="str">
        <f>_xlfn.XLOOKUP(Table3[[#This Row],[station]],station_waterbody_county!A:A, station_waterbody_county!C:C)</f>
        <v>Richmond</v>
      </c>
      <c r="E530" s="6"/>
      <c r="F530" s="6" t="s">
        <v>34</v>
      </c>
      <c r="G530" s="4">
        <v>45567</v>
      </c>
      <c r="H530" s="5">
        <v>0.6166666666666667</v>
      </c>
      <c r="I530" s="4"/>
      <c r="J530" s="5"/>
      <c r="K530" s="10">
        <v>45.566183000000002</v>
      </c>
      <c r="L530" s="10">
        <v>-60.667299999999997</v>
      </c>
      <c r="O530" s="6" t="s">
        <v>666</v>
      </c>
      <c r="P530" s="6" t="s">
        <v>667</v>
      </c>
      <c r="S530" s="6" t="s">
        <v>239</v>
      </c>
      <c r="T530" s="11">
        <v>21650151</v>
      </c>
      <c r="U530" s="7">
        <v>20</v>
      </c>
      <c r="V530" s="6" t="s">
        <v>36</v>
      </c>
      <c r="W530" s="7">
        <v>32</v>
      </c>
      <c r="X530" s="6" t="s">
        <v>35</v>
      </c>
      <c r="Y530" s="7">
        <v>0</v>
      </c>
      <c r="Z530" s="7">
        <v>1</v>
      </c>
      <c r="AA530" s="6" t="s">
        <v>314</v>
      </c>
      <c r="AB530" s="6" t="s">
        <v>38</v>
      </c>
      <c r="AD530" s="6" t="s">
        <v>39</v>
      </c>
      <c r="AE530" s="6"/>
      <c r="AG530" s="6" t="s">
        <v>37</v>
      </c>
      <c r="AH530" s="7">
        <v>60</v>
      </c>
      <c r="AI530" s="6" t="s">
        <v>40</v>
      </c>
      <c r="AJ530" s="6" t="s">
        <v>238</v>
      </c>
      <c r="AK530" s="6" t="s">
        <v>35</v>
      </c>
      <c r="AL530" s="6" t="s">
        <v>668</v>
      </c>
    </row>
    <row r="531" spans="1:40" x14ac:dyDescent="0.25">
      <c r="A531" s="4">
        <v>45681</v>
      </c>
      <c r="B531" s="6" t="s">
        <v>664</v>
      </c>
      <c r="C531" t="str">
        <f>_xlfn.XLOOKUP(Table3[[#This Row],[station]],station_waterbody_county!A:A, station_waterbody_county!B:B)</f>
        <v>Michaud Cove</v>
      </c>
      <c r="D531" t="str">
        <f>_xlfn.XLOOKUP(Table3[[#This Row],[station]],station_waterbody_county!A:A, station_waterbody_county!C:C)</f>
        <v>Richmond</v>
      </c>
      <c r="E531" s="6"/>
      <c r="F531" s="6" t="s">
        <v>34</v>
      </c>
      <c r="G531" s="4">
        <v>45567</v>
      </c>
      <c r="H531" s="5">
        <v>0.6166666666666667</v>
      </c>
      <c r="I531" s="4"/>
      <c r="J531" s="5"/>
      <c r="K531" s="10">
        <v>45.566183000000002</v>
      </c>
      <c r="L531" s="10">
        <v>-60.667299999999997</v>
      </c>
      <c r="O531" s="6" t="s">
        <v>666</v>
      </c>
      <c r="P531" s="6" t="s">
        <v>667</v>
      </c>
      <c r="S531" s="6" t="s">
        <v>42</v>
      </c>
      <c r="T531" s="11">
        <v>548597</v>
      </c>
      <c r="U531" s="7">
        <v>29</v>
      </c>
      <c r="V531" s="6" t="s">
        <v>36</v>
      </c>
      <c r="W531" s="7">
        <v>32</v>
      </c>
      <c r="X531" s="6" t="s">
        <v>35</v>
      </c>
      <c r="Y531" s="7">
        <v>0</v>
      </c>
      <c r="Z531" s="7">
        <v>1</v>
      </c>
      <c r="AA531" s="6" t="s">
        <v>314</v>
      </c>
      <c r="AB531" s="6" t="s">
        <v>38</v>
      </c>
      <c r="AD531" s="6" t="s">
        <v>39</v>
      </c>
      <c r="AE531" s="6"/>
      <c r="AG531" s="6" t="s">
        <v>37</v>
      </c>
      <c r="AH531" s="7">
        <v>60</v>
      </c>
      <c r="AI531" s="6" t="s">
        <v>40</v>
      </c>
      <c r="AJ531" s="6" t="s">
        <v>238</v>
      </c>
      <c r="AK531" s="6" t="s">
        <v>35</v>
      </c>
      <c r="AL531" s="6" t="s">
        <v>668</v>
      </c>
    </row>
    <row r="532" spans="1:40" x14ac:dyDescent="0.25">
      <c r="A532" s="4">
        <v>45884</v>
      </c>
      <c r="B532" s="6" t="s">
        <v>197</v>
      </c>
      <c r="C532" t="str">
        <f>_xlfn.XLOOKUP(Table3[[#This Row],[station]],station_waterbody_county!A:A, station_waterbody_county!B:B)</f>
        <v>Lobster Bay</v>
      </c>
      <c r="D532" t="str">
        <f>_xlfn.XLOOKUP(Table3[[#This Row],[station]],station_waterbody_county!A:A, station_waterbody_county!C:C)</f>
        <v>Yarmouth</v>
      </c>
      <c r="E532" s="6"/>
      <c r="F532" s="6" t="s">
        <v>310</v>
      </c>
      <c r="G532" s="4">
        <v>45511</v>
      </c>
      <c r="H532" s="5">
        <v>0.47083333333333333</v>
      </c>
      <c r="I532" s="4">
        <v>45869</v>
      </c>
      <c r="J532" s="5">
        <v>0.73750000000000004</v>
      </c>
      <c r="K532" s="10"/>
      <c r="O532" s="6" t="s">
        <v>451</v>
      </c>
      <c r="P532" s="6" t="s">
        <v>452</v>
      </c>
      <c r="Q532" s="6" t="s">
        <v>1390</v>
      </c>
      <c r="R532" s="6" t="s">
        <v>1391</v>
      </c>
      <c r="S532" s="6" t="s">
        <v>253</v>
      </c>
      <c r="T532" s="11">
        <v>686255</v>
      </c>
      <c r="U532" s="7">
        <v>2</v>
      </c>
      <c r="V532" s="6" t="s">
        <v>36</v>
      </c>
      <c r="W532" s="7">
        <v>13.7</v>
      </c>
      <c r="X532" s="6" t="s">
        <v>35</v>
      </c>
      <c r="Y532" s="7">
        <v>1.2</v>
      </c>
      <c r="Z532" s="7">
        <v>0.5</v>
      </c>
      <c r="AA532" s="6" t="s">
        <v>243</v>
      </c>
      <c r="AB532" s="6" t="s">
        <v>39</v>
      </c>
      <c r="AC532" s="6" t="s">
        <v>39</v>
      </c>
      <c r="AD532" s="6" t="s">
        <v>39</v>
      </c>
      <c r="AE532" s="6"/>
      <c r="AG532" s="6" t="s">
        <v>37</v>
      </c>
      <c r="AH532" s="7">
        <v>60</v>
      </c>
      <c r="AI532" s="6" t="s">
        <v>40</v>
      </c>
      <c r="AJ532" s="6" t="s">
        <v>238</v>
      </c>
      <c r="AK532" s="6" t="s">
        <v>35</v>
      </c>
      <c r="AL532" s="6" t="s">
        <v>41</v>
      </c>
      <c r="AM532" s="6" t="s">
        <v>41</v>
      </c>
      <c r="AN532" s="6" t="s">
        <v>1389</v>
      </c>
    </row>
    <row r="533" spans="1:40" x14ac:dyDescent="0.25">
      <c r="A533" s="4">
        <v>45884</v>
      </c>
      <c r="B533" s="6" t="s">
        <v>197</v>
      </c>
      <c r="C533" t="str">
        <f>_xlfn.XLOOKUP(Table3[[#This Row],[station]],station_waterbody_county!A:A, station_waterbody_county!B:B)</f>
        <v>Lobster Bay</v>
      </c>
      <c r="D533" t="str">
        <f>_xlfn.XLOOKUP(Table3[[#This Row],[station]],station_waterbody_county!A:A, station_waterbody_county!C:C)</f>
        <v>Yarmouth</v>
      </c>
      <c r="E533" s="6"/>
      <c r="F533" s="6" t="s">
        <v>310</v>
      </c>
      <c r="G533" s="4">
        <v>45511</v>
      </c>
      <c r="H533" s="5">
        <v>0.47083333333333333</v>
      </c>
      <c r="I533" s="4">
        <v>45869</v>
      </c>
      <c r="J533" s="5">
        <v>0.73750000000000004</v>
      </c>
      <c r="K533" s="10"/>
      <c r="O533" s="6" t="s">
        <v>451</v>
      </c>
      <c r="P533" s="6" t="s">
        <v>452</v>
      </c>
      <c r="Q533" s="6" t="s">
        <v>1390</v>
      </c>
      <c r="R533" s="6" t="s">
        <v>1391</v>
      </c>
      <c r="S533" s="6" t="s">
        <v>240</v>
      </c>
      <c r="T533" s="11">
        <v>670350</v>
      </c>
      <c r="U533" s="7">
        <v>5</v>
      </c>
      <c r="V533" s="6" t="s">
        <v>36</v>
      </c>
      <c r="W533" s="7">
        <v>13.7</v>
      </c>
      <c r="X533" s="6" t="s">
        <v>35</v>
      </c>
      <c r="Y533" s="7">
        <v>1.2</v>
      </c>
      <c r="Z533" s="7">
        <v>0.5</v>
      </c>
      <c r="AA533" s="6" t="s">
        <v>243</v>
      </c>
      <c r="AB533" s="6" t="s">
        <v>39</v>
      </c>
      <c r="AC533" s="6" t="s">
        <v>39</v>
      </c>
      <c r="AD533" s="6" t="s">
        <v>39</v>
      </c>
      <c r="AE533" s="6"/>
      <c r="AG533" s="6" t="s">
        <v>37</v>
      </c>
      <c r="AH533" s="7">
        <v>60</v>
      </c>
      <c r="AI533" s="6" t="s">
        <v>40</v>
      </c>
      <c r="AJ533" s="6" t="s">
        <v>238</v>
      </c>
      <c r="AK533" s="6" t="s">
        <v>35</v>
      </c>
      <c r="AL533" s="6" t="s">
        <v>41</v>
      </c>
      <c r="AM533" s="6" t="s">
        <v>41</v>
      </c>
      <c r="AN533" s="6" t="s">
        <v>1389</v>
      </c>
    </row>
    <row r="534" spans="1:40" x14ac:dyDescent="0.25">
      <c r="A534" s="4">
        <v>45884</v>
      </c>
      <c r="B534" s="6" t="s">
        <v>197</v>
      </c>
      <c r="C534" t="str">
        <f>_xlfn.XLOOKUP(Table3[[#This Row],[station]],station_waterbody_county!A:A, station_waterbody_county!B:B)</f>
        <v>Lobster Bay</v>
      </c>
      <c r="D534" t="str">
        <f>_xlfn.XLOOKUP(Table3[[#This Row],[station]],station_waterbody_county!A:A, station_waterbody_county!C:C)</f>
        <v>Yarmouth</v>
      </c>
      <c r="E534" s="6"/>
      <c r="F534" s="6" t="s">
        <v>310</v>
      </c>
      <c r="G534" s="4">
        <v>45511</v>
      </c>
      <c r="H534" s="5">
        <v>0.47083333333333333</v>
      </c>
      <c r="I534" s="4">
        <v>45869</v>
      </c>
      <c r="J534" s="5">
        <v>0.73750000000000004</v>
      </c>
      <c r="K534" s="10"/>
      <c r="O534" s="6" t="s">
        <v>451</v>
      </c>
      <c r="P534" s="6" t="s">
        <v>452</v>
      </c>
      <c r="Q534" s="6" t="s">
        <v>1390</v>
      </c>
      <c r="R534" s="6" t="s">
        <v>1391</v>
      </c>
      <c r="S534" s="6" t="s">
        <v>42</v>
      </c>
      <c r="T534" s="11">
        <v>547088</v>
      </c>
      <c r="U534" s="7">
        <v>8</v>
      </c>
      <c r="V534" s="6" t="s">
        <v>36</v>
      </c>
      <c r="W534" s="7">
        <v>13.7</v>
      </c>
      <c r="X534" s="6" t="s">
        <v>35</v>
      </c>
      <c r="Y534" s="7">
        <v>1.2</v>
      </c>
      <c r="Z534" s="7">
        <v>0.5</v>
      </c>
      <c r="AA534" s="6" t="s">
        <v>243</v>
      </c>
      <c r="AB534" s="6" t="s">
        <v>39</v>
      </c>
      <c r="AC534" s="6" t="s">
        <v>39</v>
      </c>
      <c r="AD534" s="6" t="s">
        <v>39</v>
      </c>
      <c r="AE534" s="6"/>
      <c r="AG534" s="6" t="s">
        <v>37</v>
      </c>
      <c r="AH534" s="7">
        <v>60</v>
      </c>
      <c r="AI534" s="6" t="s">
        <v>40</v>
      </c>
      <c r="AJ534" s="6" t="s">
        <v>238</v>
      </c>
      <c r="AK534" s="6" t="s">
        <v>35</v>
      </c>
      <c r="AL534" s="6" t="s">
        <v>41</v>
      </c>
      <c r="AM534" s="6" t="s">
        <v>41</v>
      </c>
      <c r="AN534" s="6" t="s">
        <v>1389</v>
      </c>
    </row>
    <row r="535" spans="1:40" hidden="1" x14ac:dyDescent="0.25">
      <c r="A535" s="12">
        <v>45678</v>
      </c>
      <c r="B535" s="6" t="s">
        <v>197</v>
      </c>
      <c r="C535" t="str">
        <f>_xlfn.XLOOKUP(Table3[[#This Row],[station]],station_waterbody_county!A:A, station_waterbody_county!B:B)</f>
        <v>Lobster Bay</v>
      </c>
      <c r="D535" t="str">
        <f>_xlfn.XLOOKUP(Table3[[#This Row],[station]],station_waterbody_county!A:A, station_waterbody_county!C:C)</f>
        <v>Yarmouth</v>
      </c>
      <c r="E535" s="6"/>
      <c r="F535" s="6" t="s">
        <v>310</v>
      </c>
      <c r="G535" s="12">
        <v>45140</v>
      </c>
      <c r="H535" s="5"/>
      <c r="I535" s="4">
        <v>45511</v>
      </c>
      <c r="J535" s="5">
        <v>0.45624999999999999</v>
      </c>
      <c r="K535" s="10">
        <v>43.682231155929401</v>
      </c>
      <c r="L535" s="10">
        <v>-65.836203046207302</v>
      </c>
      <c r="O535" s="6"/>
      <c r="Q535" s="6" t="s">
        <v>449</v>
      </c>
      <c r="R535" s="6" t="s">
        <v>450</v>
      </c>
      <c r="S535" s="6" t="s">
        <v>253</v>
      </c>
      <c r="T535" s="11">
        <v>680360</v>
      </c>
      <c r="U535" s="7">
        <v>2</v>
      </c>
      <c r="V535" s="6" t="s">
        <v>36</v>
      </c>
      <c r="W535" s="7">
        <v>12.8</v>
      </c>
      <c r="X535" s="6" t="s">
        <v>35</v>
      </c>
      <c r="Y535" s="7"/>
      <c r="Z535" s="7">
        <v>1.8</v>
      </c>
      <c r="AA535" s="6"/>
      <c r="AB535" s="6" t="s">
        <v>39</v>
      </c>
      <c r="AC535" s="6" t="s">
        <v>39</v>
      </c>
      <c r="AD535" s="6" t="s">
        <v>39</v>
      </c>
      <c r="AE535" s="6"/>
      <c r="AH535" s="7"/>
      <c r="AI535" s="6" t="s">
        <v>40</v>
      </c>
      <c r="AJ535" s="6" t="s">
        <v>238</v>
      </c>
      <c r="AL535" s="6" t="s">
        <v>269</v>
      </c>
      <c r="AM535" s="6" t="s">
        <v>41</v>
      </c>
    </row>
    <row r="536" spans="1:40" hidden="1" x14ac:dyDescent="0.25">
      <c r="A536" s="12">
        <v>45678</v>
      </c>
      <c r="B536" s="6" t="s">
        <v>197</v>
      </c>
      <c r="C536" t="str">
        <f>_xlfn.XLOOKUP(Table3[[#This Row],[station]],station_waterbody_county!A:A, station_waterbody_county!B:B)</f>
        <v>Lobster Bay</v>
      </c>
      <c r="D536" t="str">
        <f>_xlfn.XLOOKUP(Table3[[#This Row],[station]],station_waterbody_county!A:A, station_waterbody_county!C:C)</f>
        <v>Yarmouth</v>
      </c>
      <c r="E536" s="6"/>
      <c r="F536" s="6" t="s">
        <v>310</v>
      </c>
      <c r="G536" s="12">
        <v>45140</v>
      </c>
      <c r="H536" s="5"/>
      <c r="I536" s="4">
        <v>45511</v>
      </c>
      <c r="J536" s="5">
        <v>0.45624999999999999</v>
      </c>
      <c r="K536" s="10">
        <v>43.682231155929401</v>
      </c>
      <c r="L536" s="10">
        <v>-65.836203046207302</v>
      </c>
      <c r="O536" s="6"/>
      <c r="Q536" s="6" t="s">
        <v>449</v>
      </c>
      <c r="R536" s="6" t="s">
        <v>450</v>
      </c>
      <c r="S536" s="6" t="s">
        <v>240</v>
      </c>
      <c r="T536" s="11">
        <v>671331</v>
      </c>
      <c r="U536" s="7">
        <v>5</v>
      </c>
      <c r="V536" s="6" t="s">
        <v>36</v>
      </c>
      <c r="W536" s="7">
        <v>12.8</v>
      </c>
      <c r="X536" s="6" t="s">
        <v>35</v>
      </c>
      <c r="Y536" s="7"/>
      <c r="Z536" s="7">
        <v>1.8</v>
      </c>
      <c r="AA536" s="6"/>
      <c r="AB536" s="6" t="s">
        <v>39</v>
      </c>
      <c r="AC536" s="6" t="s">
        <v>39</v>
      </c>
      <c r="AD536" s="6" t="s">
        <v>39</v>
      </c>
      <c r="AE536" s="6"/>
      <c r="AH536" s="7"/>
      <c r="AI536" s="6" t="s">
        <v>40</v>
      </c>
      <c r="AJ536" s="6" t="s">
        <v>238</v>
      </c>
      <c r="AL536" s="6" t="s">
        <v>269</v>
      </c>
      <c r="AM536" s="6" t="s">
        <v>41</v>
      </c>
    </row>
    <row r="537" spans="1:40" hidden="1" x14ac:dyDescent="0.25">
      <c r="A537" s="12">
        <v>45678</v>
      </c>
      <c r="B537" s="6" t="s">
        <v>197</v>
      </c>
      <c r="C537" t="str">
        <f>_xlfn.XLOOKUP(Table3[[#This Row],[station]],station_waterbody_county!A:A, station_waterbody_county!B:B)</f>
        <v>Lobster Bay</v>
      </c>
      <c r="D537" t="str">
        <f>_xlfn.XLOOKUP(Table3[[#This Row],[station]],station_waterbody_county!A:A, station_waterbody_county!C:C)</f>
        <v>Yarmouth</v>
      </c>
      <c r="E537" s="6"/>
      <c r="F537" s="6" t="s">
        <v>310</v>
      </c>
      <c r="G537" s="12">
        <v>45140</v>
      </c>
      <c r="H537" s="5"/>
      <c r="I537" s="4">
        <v>45511</v>
      </c>
      <c r="J537" s="5">
        <v>0.45624999999999999</v>
      </c>
      <c r="K537" s="10">
        <v>43.682231155929401</v>
      </c>
      <c r="L537" s="10">
        <v>-65.836203046207302</v>
      </c>
      <c r="O537" s="6"/>
      <c r="Q537" s="6" t="s">
        <v>449</v>
      </c>
      <c r="R537" s="6" t="s">
        <v>450</v>
      </c>
      <c r="S537" s="6" t="s">
        <v>42</v>
      </c>
      <c r="T537" s="11">
        <v>548597</v>
      </c>
      <c r="U537" s="7">
        <v>8</v>
      </c>
      <c r="V537" s="6" t="s">
        <v>36</v>
      </c>
      <c r="W537" s="7">
        <v>12.8</v>
      </c>
      <c r="X537" s="6" t="s">
        <v>35</v>
      </c>
      <c r="Y537" s="7"/>
      <c r="Z537" s="7">
        <v>1.8</v>
      </c>
      <c r="AA537" s="6"/>
      <c r="AB537" s="6" t="s">
        <v>39</v>
      </c>
      <c r="AC537" s="6" t="s">
        <v>39</v>
      </c>
      <c r="AD537" s="6" t="s">
        <v>39</v>
      </c>
      <c r="AE537" s="6"/>
      <c r="AH537" s="7"/>
      <c r="AI537" s="6" t="s">
        <v>40</v>
      </c>
      <c r="AJ537" s="6" t="s">
        <v>238</v>
      </c>
      <c r="AL537" s="6" t="s">
        <v>269</v>
      </c>
      <c r="AM537" s="6" t="s">
        <v>41</v>
      </c>
    </row>
    <row r="538" spans="1:40" hidden="1" x14ac:dyDescent="0.25">
      <c r="A538" s="4">
        <v>45884</v>
      </c>
      <c r="B538" s="6" t="s">
        <v>197</v>
      </c>
      <c r="C538" s="6" t="str">
        <f>_xlfn.XLOOKUP(Table3[[#This Row],[station]],station_waterbody_county!A:A, station_waterbody_county!B:B)</f>
        <v>Lobster Bay</v>
      </c>
      <c r="D538" s="3" t="str">
        <f>_xlfn.XLOOKUP(Table3[[#This Row],[station]],station_waterbody_county!A:A, station_waterbody_county!C:C)</f>
        <v>Yarmouth</v>
      </c>
      <c r="E538" s="6"/>
      <c r="F538" s="6" t="s">
        <v>34</v>
      </c>
      <c r="G538" s="12">
        <v>45869</v>
      </c>
      <c r="H538" s="5">
        <v>0.74861111111111112</v>
      </c>
      <c r="I538" s="4"/>
      <c r="J538" s="5"/>
      <c r="K538" s="10"/>
      <c r="O538" s="6" t="s">
        <v>1387</v>
      </c>
      <c r="P538" s="6" t="s">
        <v>1388</v>
      </c>
      <c r="S538" s="6" t="s">
        <v>253</v>
      </c>
      <c r="T538" s="11">
        <v>680324</v>
      </c>
      <c r="U538" s="7">
        <v>2</v>
      </c>
      <c r="V538" s="6" t="s">
        <v>36</v>
      </c>
      <c r="W538" s="7">
        <v>18.7</v>
      </c>
      <c r="X538" s="6" t="s">
        <v>35</v>
      </c>
      <c r="Y538" s="7">
        <v>3</v>
      </c>
      <c r="Z538" s="7">
        <v>2</v>
      </c>
      <c r="AA538" s="6" t="s">
        <v>243</v>
      </c>
      <c r="AB538" s="6" t="s">
        <v>39</v>
      </c>
      <c r="AC538" s="6" t="s">
        <v>39</v>
      </c>
      <c r="AD538" s="6" t="s">
        <v>39</v>
      </c>
      <c r="AE538" s="6" t="s">
        <v>40</v>
      </c>
      <c r="AG538" s="6" t="s">
        <v>37</v>
      </c>
      <c r="AH538" s="7">
        <v>60</v>
      </c>
      <c r="AI538" s="6" t="s">
        <v>40</v>
      </c>
      <c r="AJ538" s="6" t="s">
        <v>238</v>
      </c>
      <c r="AL538" s="6" t="s">
        <v>41</v>
      </c>
    </row>
    <row r="539" spans="1:40" hidden="1" x14ac:dyDescent="0.25">
      <c r="A539" s="4">
        <v>45884</v>
      </c>
      <c r="B539" s="6" t="s">
        <v>197</v>
      </c>
      <c r="C539" s="6" t="str">
        <f>_xlfn.XLOOKUP(Table3[[#This Row],[station]],station_waterbody_county!A:A, station_waterbody_county!B:B)</f>
        <v>Lobster Bay</v>
      </c>
      <c r="D539" s="3" t="str">
        <f>_xlfn.XLOOKUP(Table3[[#This Row],[station]],station_waterbody_county!A:A, station_waterbody_county!C:C)</f>
        <v>Yarmouth</v>
      </c>
      <c r="E539" s="6"/>
      <c r="F539" s="6" t="s">
        <v>34</v>
      </c>
      <c r="G539" s="12">
        <v>45869</v>
      </c>
      <c r="H539" s="5">
        <v>0.74861111111111112</v>
      </c>
      <c r="I539" s="4"/>
      <c r="J539" s="5"/>
      <c r="K539" s="10"/>
      <c r="O539" s="6" t="s">
        <v>1387</v>
      </c>
      <c r="P539" s="6" t="s">
        <v>1388</v>
      </c>
      <c r="S539" s="6" t="s">
        <v>240</v>
      </c>
      <c r="T539" s="11">
        <v>671188</v>
      </c>
      <c r="U539" s="7">
        <v>5</v>
      </c>
      <c r="V539" s="6" t="s">
        <v>36</v>
      </c>
      <c r="W539" s="7">
        <v>18.7</v>
      </c>
      <c r="X539" s="6" t="s">
        <v>35</v>
      </c>
      <c r="Y539" s="7">
        <v>3</v>
      </c>
      <c r="Z539" s="7">
        <v>2</v>
      </c>
      <c r="AA539" s="6" t="s">
        <v>243</v>
      </c>
      <c r="AB539" s="6" t="s">
        <v>39</v>
      </c>
      <c r="AC539" s="6" t="s">
        <v>39</v>
      </c>
      <c r="AD539" s="6" t="s">
        <v>39</v>
      </c>
      <c r="AE539" s="6" t="s">
        <v>40</v>
      </c>
      <c r="AG539" s="6" t="s">
        <v>37</v>
      </c>
      <c r="AH539" s="7">
        <v>60</v>
      </c>
      <c r="AI539" s="6" t="s">
        <v>40</v>
      </c>
      <c r="AJ539" s="6" t="s">
        <v>238</v>
      </c>
      <c r="AL539" s="6" t="s">
        <v>41</v>
      </c>
    </row>
    <row r="540" spans="1:40" hidden="1" x14ac:dyDescent="0.25">
      <c r="A540" s="4">
        <v>45884</v>
      </c>
      <c r="B540" s="6" t="s">
        <v>197</v>
      </c>
      <c r="C540" s="6" t="str">
        <f>_xlfn.XLOOKUP(Table3[[#This Row],[station]],station_waterbody_county!A:A, station_waterbody_county!B:B)</f>
        <v>Lobster Bay</v>
      </c>
      <c r="D540" s="3" t="str">
        <f>_xlfn.XLOOKUP(Table3[[#This Row],[station]],station_waterbody_county!A:A, station_waterbody_county!C:C)</f>
        <v>Yarmouth</v>
      </c>
      <c r="E540" s="6"/>
      <c r="F540" s="6" t="s">
        <v>34</v>
      </c>
      <c r="G540" s="12">
        <v>45869</v>
      </c>
      <c r="H540" s="5">
        <v>0.74861111111111112</v>
      </c>
      <c r="I540" s="4"/>
      <c r="J540" s="5"/>
      <c r="K540" s="10"/>
      <c r="O540" s="6" t="s">
        <v>1387</v>
      </c>
      <c r="P540" s="6" t="s">
        <v>1388</v>
      </c>
      <c r="S540" s="6" t="s">
        <v>42</v>
      </c>
      <c r="T540" s="11">
        <v>548570</v>
      </c>
      <c r="U540" s="7">
        <v>8</v>
      </c>
      <c r="V540" s="6" t="s">
        <v>36</v>
      </c>
      <c r="W540" s="7">
        <v>18.7</v>
      </c>
      <c r="X540" s="6" t="s">
        <v>35</v>
      </c>
      <c r="Y540" s="7">
        <v>3</v>
      </c>
      <c r="Z540" s="7">
        <v>2</v>
      </c>
      <c r="AA540" s="6" t="s">
        <v>243</v>
      </c>
      <c r="AB540" s="6" t="s">
        <v>39</v>
      </c>
      <c r="AC540" s="6" t="s">
        <v>39</v>
      </c>
      <c r="AD540" s="6" t="s">
        <v>39</v>
      </c>
      <c r="AE540" s="6" t="s">
        <v>40</v>
      </c>
      <c r="AG540" s="6" t="s">
        <v>37</v>
      </c>
      <c r="AH540" s="7">
        <v>60</v>
      </c>
      <c r="AI540" s="6" t="s">
        <v>40</v>
      </c>
      <c r="AJ540" s="6" t="s">
        <v>238</v>
      </c>
      <c r="AL540" s="6" t="s">
        <v>41</v>
      </c>
    </row>
    <row r="541" spans="1:40" hidden="1" x14ac:dyDescent="0.25">
      <c r="A541" s="4">
        <v>45884</v>
      </c>
      <c r="B541" s="6" t="s">
        <v>197</v>
      </c>
      <c r="C541" s="6" t="str">
        <f>_xlfn.XLOOKUP(Table3[[#This Row],[station]],station_waterbody_county!A:A, station_waterbody_county!B:B)</f>
        <v>Lobster Bay</v>
      </c>
      <c r="D541" s="3" t="str">
        <f>_xlfn.XLOOKUP(Table3[[#This Row],[station]],station_waterbody_county!A:A, station_waterbody_county!C:C)</f>
        <v>Yarmouth</v>
      </c>
      <c r="E541" s="6"/>
      <c r="F541" s="6" t="s">
        <v>34</v>
      </c>
      <c r="G541" s="12">
        <v>45869</v>
      </c>
      <c r="H541" s="5">
        <v>0.74861111111111112</v>
      </c>
      <c r="I541" s="4"/>
      <c r="J541" s="5"/>
      <c r="K541" s="10"/>
      <c r="O541" s="6" t="s">
        <v>1387</v>
      </c>
      <c r="P541" s="6" t="s">
        <v>1388</v>
      </c>
      <c r="S541" s="6" t="s">
        <v>239</v>
      </c>
      <c r="T541" s="11">
        <v>22311485</v>
      </c>
      <c r="U541" s="7">
        <v>8</v>
      </c>
      <c r="V541" s="6" t="s">
        <v>36</v>
      </c>
      <c r="W541" s="7">
        <v>18.7</v>
      </c>
      <c r="X541" s="6" t="s">
        <v>35</v>
      </c>
      <c r="Y541" s="7">
        <v>3</v>
      </c>
      <c r="Z541" s="7">
        <v>2</v>
      </c>
      <c r="AA541" s="6" t="s">
        <v>243</v>
      </c>
      <c r="AB541" s="6" t="s">
        <v>39</v>
      </c>
      <c r="AC541" s="6" t="s">
        <v>39</v>
      </c>
      <c r="AD541" s="6" t="s">
        <v>39</v>
      </c>
      <c r="AE541" s="6" t="s">
        <v>40</v>
      </c>
      <c r="AG541" s="6" t="s">
        <v>37</v>
      </c>
      <c r="AH541" s="7">
        <v>60</v>
      </c>
      <c r="AI541" s="6" t="s">
        <v>40</v>
      </c>
      <c r="AJ541" s="6" t="s">
        <v>238</v>
      </c>
      <c r="AL541" s="6" t="s">
        <v>41</v>
      </c>
    </row>
    <row r="542" spans="1:40" x14ac:dyDescent="0.25">
      <c r="A542" s="4">
        <v>45707</v>
      </c>
      <c r="B542" s="6" t="s">
        <v>199</v>
      </c>
      <c r="C542" t="str">
        <f>_xlfn.XLOOKUP(Table3[[#This Row],[station]],station_waterbody_county!A:A, station_waterbody_county!B:B)</f>
        <v>French Channel</v>
      </c>
      <c r="D542" t="str">
        <f>_xlfn.XLOOKUP(Table3[[#This Row],[station]],station_waterbody_county!A:A, station_waterbody_county!C:C)</f>
        <v>Pictou</v>
      </c>
      <c r="E542" s="6" t="s">
        <v>746</v>
      </c>
      <c r="F542" s="6" t="s">
        <v>310</v>
      </c>
      <c r="G542" s="4">
        <v>45548</v>
      </c>
      <c r="H542" s="5"/>
      <c r="I542" s="4">
        <v>45670</v>
      </c>
      <c r="J542" s="5"/>
      <c r="K542" s="10">
        <v>45.660476000000003</v>
      </c>
      <c r="L542" s="10">
        <v>-62.410896999999999</v>
      </c>
      <c r="O542" s="6"/>
      <c r="S542" s="6" t="s">
        <v>253</v>
      </c>
      <c r="T542" s="11">
        <v>686013</v>
      </c>
      <c r="U542" s="7">
        <v>1</v>
      </c>
      <c r="V542" s="6" t="s">
        <v>743</v>
      </c>
      <c r="W542" s="7"/>
      <c r="X542" s="6" t="s">
        <v>241</v>
      </c>
      <c r="Y542" s="7"/>
      <c r="AA542" s="6"/>
      <c r="AE542" s="6"/>
      <c r="AH542" s="7"/>
      <c r="AI542" s="6"/>
      <c r="AJ542" s="6" t="s">
        <v>238</v>
      </c>
      <c r="AK542" s="6" t="s">
        <v>241</v>
      </c>
      <c r="AL542" s="6" t="s">
        <v>662</v>
      </c>
      <c r="AM542" s="6" t="s">
        <v>662</v>
      </c>
      <c r="AN542" s="6" t="s">
        <v>744</v>
      </c>
    </row>
    <row r="543" spans="1:40" x14ac:dyDescent="0.25">
      <c r="A543" s="4">
        <v>45707</v>
      </c>
      <c r="B543" s="6" t="s">
        <v>199</v>
      </c>
      <c r="C543" t="str">
        <f>_xlfn.XLOOKUP(Table3[[#This Row],[station]],station_waterbody_county!A:A, station_waterbody_county!B:B)</f>
        <v>French Channel</v>
      </c>
      <c r="D543" t="str">
        <f>_xlfn.XLOOKUP(Table3[[#This Row],[station]],station_waterbody_county!A:A, station_waterbody_county!C:C)</f>
        <v>Pictou</v>
      </c>
      <c r="E543" s="6" t="s">
        <v>746</v>
      </c>
      <c r="F543" s="6" t="s">
        <v>310</v>
      </c>
      <c r="G543" s="4">
        <v>45548</v>
      </c>
      <c r="H543" s="5"/>
      <c r="I543" s="4">
        <v>45670</v>
      </c>
      <c r="J543" s="5"/>
      <c r="K543" s="10">
        <v>45.660476000000003</v>
      </c>
      <c r="L543" s="10">
        <v>-62.410896999999999</v>
      </c>
      <c r="O543" s="6"/>
      <c r="S543" s="6" t="s">
        <v>661</v>
      </c>
      <c r="T543" s="11">
        <v>687039</v>
      </c>
      <c r="U543" s="7">
        <v>1</v>
      </c>
      <c r="V543" s="6" t="s">
        <v>743</v>
      </c>
      <c r="W543" s="7"/>
      <c r="X543" s="6" t="s">
        <v>241</v>
      </c>
      <c r="Y543" s="7"/>
      <c r="AA543" s="6"/>
      <c r="AE543" s="6"/>
      <c r="AH543" s="7"/>
      <c r="AI543" s="6"/>
      <c r="AJ543" s="6" t="s">
        <v>238</v>
      </c>
      <c r="AK543" s="6" t="s">
        <v>241</v>
      </c>
      <c r="AL543" s="6" t="s">
        <v>662</v>
      </c>
      <c r="AM543" s="6" t="s">
        <v>662</v>
      </c>
      <c r="AN543" s="6" t="s">
        <v>744</v>
      </c>
    </row>
    <row r="544" spans="1:40" x14ac:dyDescent="0.25">
      <c r="A544" s="4">
        <v>45707</v>
      </c>
      <c r="B544" s="6" t="s">
        <v>199</v>
      </c>
      <c r="C544" t="str">
        <f>_xlfn.XLOOKUP(Table3[[#This Row],[station]],station_waterbody_county!A:A, station_waterbody_county!B:B)</f>
        <v>French Channel</v>
      </c>
      <c r="D544" t="str">
        <f>_xlfn.XLOOKUP(Table3[[#This Row],[station]],station_waterbody_county!A:A, station_waterbody_county!C:C)</f>
        <v>Pictou</v>
      </c>
      <c r="E544" s="6" t="s">
        <v>746</v>
      </c>
      <c r="F544" s="6" t="s">
        <v>310</v>
      </c>
      <c r="G544" s="4">
        <v>45548</v>
      </c>
      <c r="H544" s="5"/>
      <c r="I544" s="4">
        <v>45670</v>
      </c>
      <c r="J544" s="5"/>
      <c r="K544" s="10">
        <v>45.660476000000003</v>
      </c>
      <c r="L544" s="10">
        <v>-62.410896999999999</v>
      </c>
      <c r="O544" s="6"/>
      <c r="S544" s="6" t="s">
        <v>240</v>
      </c>
      <c r="T544" s="11">
        <v>671009</v>
      </c>
      <c r="U544" s="7">
        <v>1</v>
      </c>
      <c r="V544" s="6" t="s">
        <v>743</v>
      </c>
      <c r="W544" s="7"/>
      <c r="X544" s="6" t="s">
        <v>241</v>
      </c>
      <c r="Y544" s="7"/>
      <c r="AA544" s="6"/>
      <c r="AE544" s="6"/>
      <c r="AH544" s="7"/>
      <c r="AI544" s="6"/>
      <c r="AJ544" s="6" t="s">
        <v>238</v>
      </c>
      <c r="AK544" s="6" t="s">
        <v>241</v>
      </c>
      <c r="AL544" s="6" t="s">
        <v>662</v>
      </c>
      <c r="AM544" s="6" t="s">
        <v>662</v>
      </c>
      <c r="AN544" s="6" t="s">
        <v>744</v>
      </c>
    </row>
    <row r="545" spans="1:40" x14ac:dyDescent="0.25">
      <c r="A545" s="4">
        <v>45596</v>
      </c>
      <c r="B545" s="6" t="s">
        <v>201</v>
      </c>
      <c r="C545" t="str">
        <f>_xlfn.XLOOKUP(Table3[[#This Row],[station]],station_waterbody_county!A:A, station_waterbody_county!B:B)</f>
        <v>Chedabucto Bay</v>
      </c>
      <c r="D545" t="str">
        <f>_xlfn.XLOOKUP(Table3[[#This Row],[station]],station_waterbody_county!A:A, station_waterbody_county!C:C)</f>
        <v>Guysborough</v>
      </c>
      <c r="E545" s="6"/>
      <c r="F545" s="6" t="s">
        <v>310</v>
      </c>
      <c r="G545" s="4">
        <v>45476</v>
      </c>
      <c r="H545" s="5">
        <v>0.47986111111111113</v>
      </c>
      <c r="I545" s="4">
        <v>45582</v>
      </c>
      <c r="J545" s="5">
        <v>0.48472222222222222</v>
      </c>
      <c r="K545" s="10"/>
      <c r="O545" s="6" t="s">
        <v>414</v>
      </c>
      <c r="P545" s="6" t="s">
        <v>416</v>
      </c>
      <c r="Q545" s="6" t="s">
        <v>414</v>
      </c>
      <c r="R545" s="6" t="s">
        <v>416</v>
      </c>
      <c r="S545" s="6" t="s">
        <v>239</v>
      </c>
      <c r="T545" s="11">
        <v>21465745</v>
      </c>
      <c r="U545" s="7">
        <v>2</v>
      </c>
      <c r="V545" s="6" t="s">
        <v>36</v>
      </c>
      <c r="W545" s="7">
        <v>23.7</v>
      </c>
      <c r="X545" s="6" t="s">
        <v>35</v>
      </c>
      <c r="Y545" s="7">
        <v>1.3</v>
      </c>
      <c r="Z545" s="7">
        <v>0.5</v>
      </c>
      <c r="AA545" s="6" t="s">
        <v>251</v>
      </c>
      <c r="AB545" s="6" t="s">
        <v>38</v>
      </c>
      <c r="AD545" s="6" t="s">
        <v>39</v>
      </c>
      <c r="AE545" s="6"/>
      <c r="AG545" s="6" t="s">
        <v>37</v>
      </c>
      <c r="AH545" s="7">
        <v>60</v>
      </c>
      <c r="AI545" s="6" t="s">
        <v>40</v>
      </c>
      <c r="AJ545" s="6" t="s">
        <v>238</v>
      </c>
      <c r="AK545" s="6" t="s">
        <v>35</v>
      </c>
      <c r="AL545" s="6" t="s">
        <v>41</v>
      </c>
      <c r="AM545" s="6" t="s">
        <v>41</v>
      </c>
    </row>
    <row r="546" spans="1:40" x14ac:dyDescent="0.25">
      <c r="A546" s="4">
        <v>45596</v>
      </c>
      <c r="B546" s="6" t="s">
        <v>201</v>
      </c>
      <c r="C546" t="str">
        <f>_xlfn.XLOOKUP(Table3[[#This Row],[station]],station_waterbody_county!A:A, station_waterbody_county!B:B)</f>
        <v>Chedabucto Bay</v>
      </c>
      <c r="D546" t="str">
        <f>_xlfn.XLOOKUP(Table3[[#This Row],[station]],station_waterbody_county!A:A, station_waterbody_county!C:C)</f>
        <v>Guysborough</v>
      </c>
      <c r="E546" s="6"/>
      <c r="F546" s="6" t="s">
        <v>310</v>
      </c>
      <c r="G546" s="4">
        <v>45476</v>
      </c>
      <c r="H546" s="5">
        <v>0.47986111111111113</v>
      </c>
      <c r="I546" s="4">
        <v>45582</v>
      </c>
      <c r="J546" s="5">
        <v>0.48472222222222222</v>
      </c>
      <c r="K546" s="10"/>
      <c r="O546" s="6" t="s">
        <v>414</v>
      </c>
      <c r="P546" s="6" t="s">
        <v>416</v>
      </c>
      <c r="Q546" s="6" t="s">
        <v>414</v>
      </c>
      <c r="R546" s="6" t="s">
        <v>416</v>
      </c>
      <c r="S546" s="6" t="s">
        <v>240</v>
      </c>
      <c r="T546" s="11">
        <v>671017</v>
      </c>
      <c r="U546" s="7">
        <v>5</v>
      </c>
      <c r="V546" s="6" t="s">
        <v>36</v>
      </c>
      <c r="W546" s="7">
        <v>23.7</v>
      </c>
      <c r="X546" s="6" t="s">
        <v>35</v>
      </c>
      <c r="Y546" s="7">
        <v>1.3</v>
      </c>
      <c r="Z546" s="7">
        <v>0.5</v>
      </c>
      <c r="AA546" s="6" t="s">
        <v>251</v>
      </c>
      <c r="AB546" s="6" t="s">
        <v>38</v>
      </c>
      <c r="AD546" s="6" t="s">
        <v>39</v>
      </c>
      <c r="AE546" s="6"/>
      <c r="AG546" s="6" t="s">
        <v>37</v>
      </c>
      <c r="AH546" s="7">
        <v>60</v>
      </c>
      <c r="AI546" s="6" t="s">
        <v>40</v>
      </c>
      <c r="AJ546" s="6" t="s">
        <v>238</v>
      </c>
      <c r="AK546" s="6" t="s">
        <v>35</v>
      </c>
      <c r="AL546" s="6" t="s">
        <v>41</v>
      </c>
      <c r="AM546" s="6" t="s">
        <v>41</v>
      </c>
    </row>
    <row r="547" spans="1:40" x14ac:dyDescent="0.25">
      <c r="A547" s="4">
        <v>45596</v>
      </c>
      <c r="B547" s="6" t="s">
        <v>201</v>
      </c>
      <c r="C547" t="str">
        <f>_xlfn.XLOOKUP(Table3[[#This Row],[station]],station_waterbody_county!A:A, station_waterbody_county!B:B)</f>
        <v>Chedabucto Bay</v>
      </c>
      <c r="D547" t="str">
        <f>_xlfn.XLOOKUP(Table3[[#This Row],[station]],station_waterbody_county!A:A, station_waterbody_county!C:C)</f>
        <v>Guysborough</v>
      </c>
      <c r="E547" s="6"/>
      <c r="F547" s="6" t="s">
        <v>310</v>
      </c>
      <c r="G547" s="4">
        <v>45476</v>
      </c>
      <c r="H547" s="5">
        <v>0.47986111111111113</v>
      </c>
      <c r="I547" s="4">
        <v>45582</v>
      </c>
      <c r="J547" s="5">
        <v>0.48472222222222222</v>
      </c>
      <c r="K547" s="10"/>
      <c r="O547" s="6" t="s">
        <v>414</v>
      </c>
      <c r="P547" s="6" t="s">
        <v>416</v>
      </c>
      <c r="Q547" s="6" t="s">
        <v>414</v>
      </c>
      <c r="R547" s="6" t="s">
        <v>416</v>
      </c>
      <c r="S547" s="6" t="s">
        <v>239</v>
      </c>
      <c r="T547" s="11">
        <v>10817501</v>
      </c>
      <c r="U547" s="7">
        <v>10</v>
      </c>
      <c r="V547" s="6" t="s">
        <v>36</v>
      </c>
      <c r="W547" s="7">
        <v>23.7</v>
      </c>
      <c r="X547" s="6" t="s">
        <v>35</v>
      </c>
      <c r="Y547" s="7">
        <v>1.3</v>
      </c>
      <c r="Z547" s="7">
        <v>0.5</v>
      </c>
      <c r="AA547" s="6" t="s">
        <v>251</v>
      </c>
      <c r="AB547" s="6" t="s">
        <v>38</v>
      </c>
      <c r="AD547" s="6" t="s">
        <v>39</v>
      </c>
      <c r="AE547" s="6"/>
      <c r="AG547" s="6" t="s">
        <v>37</v>
      </c>
      <c r="AH547" s="7">
        <v>60</v>
      </c>
      <c r="AI547" s="6" t="s">
        <v>40</v>
      </c>
      <c r="AJ547" s="6" t="s">
        <v>238</v>
      </c>
      <c r="AK547" s="6" t="s">
        <v>35</v>
      </c>
      <c r="AL547" s="6" t="s">
        <v>41</v>
      </c>
      <c r="AM547" s="6" t="s">
        <v>41</v>
      </c>
    </row>
    <row r="548" spans="1:40" x14ac:dyDescent="0.25">
      <c r="A548" s="4">
        <v>45596</v>
      </c>
      <c r="B548" s="6" t="s">
        <v>201</v>
      </c>
      <c r="C548" t="str">
        <f>_xlfn.XLOOKUP(Table3[[#This Row],[station]],station_waterbody_county!A:A, station_waterbody_county!B:B)</f>
        <v>Chedabucto Bay</v>
      </c>
      <c r="D548" t="str">
        <f>_xlfn.XLOOKUP(Table3[[#This Row],[station]],station_waterbody_county!A:A, station_waterbody_county!C:C)</f>
        <v>Guysborough</v>
      </c>
      <c r="E548" s="6"/>
      <c r="F548" s="6" t="s">
        <v>310</v>
      </c>
      <c r="G548" s="4">
        <v>45476</v>
      </c>
      <c r="H548" s="5">
        <v>0.47986111111111113</v>
      </c>
      <c r="I548" s="4">
        <v>45582</v>
      </c>
      <c r="J548" s="5">
        <v>0.48472222222222222</v>
      </c>
      <c r="K548" s="10"/>
      <c r="O548" s="6" t="s">
        <v>414</v>
      </c>
      <c r="P548" s="6" t="s">
        <v>416</v>
      </c>
      <c r="Q548" s="6" t="s">
        <v>414</v>
      </c>
      <c r="R548" s="6" t="s">
        <v>416</v>
      </c>
      <c r="S548" s="6" t="s">
        <v>239</v>
      </c>
      <c r="T548" s="11">
        <v>20291423</v>
      </c>
      <c r="U548" s="7">
        <v>15</v>
      </c>
      <c r="V548" s="6" t="s">
        <v>36</v>
      </c>
      <c r="W548" s="7">
        <v>23.7</v>
      </c>
      <c r="X548" s="6" t="s">
        <v>35</v>
      </c>
      <c r="Y548" s="7">
        <v>1.3</v>
      </c>
      <c r="Z548" s="7">
        <v>0.5</v>
      </c>
      <c r="AA548" s="6" t="s">
        <v>251</v>
      </c>
      <c r="AB548" s="6" t="s">
        <v>38</v>
      </c>
      <c r="AD548" s="6" t="s">
        <v>39</v>
      </c>
      <c r="AE548" s="6"/>
      <c r="AG548" s="6" t="s">
        <v>37</v>
      </c>
      <c r="AH548" s="7">
        <v>60</v>
      </c>
      <c r="AI548" s="6" t="s">
        <v>40</v>
      </c>
      <c r="AJ548" s="6" t="s">
        <v>238</v>
      </c>
      <c r="AK548" s="6" t="s">
        <v>35</v>
      </c>
      <c r="AL548" s="6" t="s">
        <v>41</v>
      </c>
      <c r="AM548" s="6" t="s">
        <v>41</v>
      </c>
    </row>
    <row r="549" spans="1:40" x14ac:dyDescent="0.25">
      <c r="A549" s="4">
        <v>45596</v>
      </c>
      <c r="B549" s="6" t="s">
        <v>201</v>
      </c>
      <c r="C549" t="str">
        <f>_xlfn.XLOOKUP(Table3[[#This Row],[station]],station_waterbody_county!A:A, station_waterbody_county!B:B)</f>
        <v>Chedabucto Bay</v>
      </c>
      <c r="D549" t="str">
        <f>_xlfn.XLOOKUP(Table3[[#This Row],[station]],station_waterbody_county!A:A, station_waterbody_county!C:C)</f>
        <v>Guysborough</v>
      </c>
      <c r="E549" s="6"/>
      <c r="F549" s="6" t="s">
        <v>310</v>
      </c>
      <c r="G549" s="4">
        <v>45476</v>
      </c>
      <c r="H549" s="5">
        <v>0.47986111111111113</v>
      </c>
      <c r="I549" s="4">
        <v>45582</v>
      </c>
      <c r="J549" s="5">
        <v>0.48472222222222222</v>
      </c>
      <c r="K549" s="10"/>
      <c r="O549" s="6" t="s">
        <v>414</v>
      </c>
      <c r="P549" s="6" t="s">
        <v>416</v>
      </c>
      <c r="Q549" s="6" t="s">
        <v>414</v>
      </c>
      <c r="R549" s="6" t="s">
        <v>416</v>
      </c>
      <c r="S549" s="6" t="s">
        <v>239</v>
      </c>
      <c r="T549" s="11">
        <v>21927301</v>
      </c>
      <c r="U549" s="7">
        <v>20</v>
      </c>
      <c r="V549" s="6" t="s">
        <v>36</v>
      </c>
      <c r="W549" s="7">
        <v>23.7</v>
      </c>
      <c r="X549" s="6" t="s">
        <v>35</v>
      </c>
      <c r="Y549" s="7">
        <v>1.3</v>
      </c>
      <c r="Z549" s="7">
        <v>0.5</v>
      </c>
      <c r="AA549" s="6" t="s">
        <v>251</v>
      </c>
      <c r="AB549" s="6" t="s">
        <v>38</v>
      </c>
      <c r="AD549" s="6" t="s">
        <v>39</v>
      </c>
      <c r="AE549" s="6"/>
      <c r="AG549" s="6" t="s">
        <v>37</v>
      </c>
      <c r="AH549" s="7">
        <v>60</v>
      </c>
      <c r="AI549" s="6" t="s">
        <v>40</v>
      </c>
      <c r="AJ549" s="6" t="s">
        <v>238</v>
      </c>
      <c r="AK549" s="6" t="s">
        <v>35</v>
      </c>
      <c r="AL549" s="6" t="s">
        <v>41</v>
      </c>
      <c r="AM549" s="6" t="s">
        <v>41</v>
      </c>
    </row>
    <row r="550" spans="1:40" x14ac:dyDescent="0.25">
      <c r="A550" s="4">
        <v>45596</v>
      </c>
      <c r="B550" s="6" t="s">
        <v>201</v>
      </c>
      <c r="C550" t="str">
        <f>_xlfn.XLOOKUP(Table3[[#This Row],[station]],station_waterbody_county!A:A, station_waterbody_county!B:B)</f>
        <v>Chedabucto Bay</v>
      </c>
      <c r="D550" t="str">
        <f>_xlfn.XLOOKUP(Table3[[#This Row],[station]],station_waterbody_county!A:A, station_waterbody_county!C:C)</f>
        <v>Guysborough</v>
      </c>
      <c r="E550" s="6"/>
      <c r="F550" s="6" t="s">
        <v>310</v>
      </c>
      <c r="G550" s="4">
        <v>45476</v>
      </c>
      <c r="H550" s="5">
        <v>0.47986111111111113</v>
      </c>
      <c r="I550" s="4">
        <v>45582</v>
      </c>
      <c r="J550" s="5">
        <v>0.48472222222222222</v>
      </c>
      <c r="K550" s="10"/>
      <c r="O550" s="6" t="s">
        <v>414</v>
      </c>
      <c r="P550" s="6" t="s">
        <v>416</v>
      </c>
      <c r="Q550" s="6" t="s">
        <v>414</v>
      </c>
      <c r="R550" s="6" t="s">
        <v>416</v>
      </c>
      <c r="S550" s="6" t="s">
        <v>42</v>
      </c>
      <c r="T550" s="11">
        <v>548041</v>
      </c>
      <c r="U550" s="7">
        <v>25</v>
      </c>
      <c r="V550" s="6" t="s">
        <v>36</v>
      </c>
      <c r="W550" s="7">
        <v>23.7</v>
      </c>
      <c r="X550" s="6" t="s">
        <v>35</v>
      </c>
      <c r="Y550" s="7">
        <v>1.3</v>
      </c>
      <c r="Z550" s="7">
        <v>0.5</v>
      </c>
      <c r="AA550" s="6" t="s">
        <v>251</v>
      </c>
      <c r="AB550" s="6" t="s">
        <v>38</v>
      </c>
      <c r="AD550" s="6" t="s">
        <v>39</v>
      </c>
      <c r="AE550" s="6"/>
      <c r="AG550" s="6" t="s">
        <v>37</v>
      </c>
      <c r="AH550" s="7">
        <v>60</v>
      </c>
      <c r="AI550" s="6" t="s">
        <v>40</v>
      </c>
      <c r="AJ550" s="6" t="s">
        <v>238</v>
      </c>
      <c r="AK550" s="6" t="s">
        <v>35</v>
      </c>
      <c r="AL550" s="6" t="s">
        <v>41</v>
      </c>
      <c r="AM550" s="6" t="s">
        <v>41</v>
      </c>
    </row>
    <row r="551" spans="1:40" hidden="1" x14ac:dyDescent="0.25">
      <c r="A551" s="12">
        <v>45677</v>
      </c>
      <c r="B551" s="6" t="s">
        <v>201</v>
      </c>
      <c r="C551" t="str">
        <f>_xlfn.XLOOKUP(Table3[[#This Row],[station]],station_waterbody_county!A:A, station_waterbody_county!B:B)</f>
        <v>Chedabucto Bay</v>
      </c>
      <c r="D551" t="str">
        <f>_xlfn.XLOOKUP(Table3[[#This Row],[station]],station_waterbody_county!A:A, station_waterbody_county!C:C)</f>
        <v>Guysborough</v>
      </c>
      <c r="E551" s="6"/>
      <c r="F551" s="6" t="s">
        <v>310</v>
      </c>
      <c r="G551" s="12">
        <v>45112</v>
      </c>
      <c r="H551" s="5"/>
      <c r="I551" s="4">
        <v>45476</v>
      </c>
      <c r="J551" s="5">
        <v>0.4513888888888889</v>
      </c>
      <c r="K551" s="10">
        <v>45.352684000000004</v>
      </c>
      <c r="L551" s="10">
        <v>-61.286906999999999</v>
      </c>
      <c r="O551" s="6"/>
      <c r="Q551" s="6" t="s">
        <v>414</v>
      </c>
      <c r="R551" s="6" t="s">
        <v>415</v>
      </c>
      <c r="S551" s="6" t="s">
        <v>239</v>
      </c>
      <c r="T551" s="11">
        <v>21082887</v>
      </c>
      <c r="U551" s="7">
        <v>2</v>
      </c>
      <c r="V551" s="6" t="s">
        <v>36</v>
      </c>
      <c r="W551" s="7">
        <v>28</v>
      </c>
      <c r="X551" s="6" t="s">
        <v>35</v>
      </c>
      <c r="Y551" s="7">
        <v>0.7</v>
      </c>
      <c r="Z551" s="7">
        <v>1.7</v>
      </c>
      <c r="AA551" s="6" t="s">
        <v>251</v>
      </c>
      <c r="AB551" s="6" t="s">
        <v>38</v>
      </c>
      <c r="AD551" s="6" t="s">
        <v>39</v>
      </c>
      <c r="AE551" s="6"/>
      <c r="AG551" s="6" t="s">
        <v>260</v>
      </c>
      <c r="AH551" s="7"/>
      <c r="AI551" s="6" t="s">
        <v>40</v>
      </c>
      <c r="AJ551" s="6" t="s">
        <v>238</v>
      </c>
      <c r="AK551" s="6" t="s">
        <v>35</v>
      </c>
      <c r="AL551" s="6" t="s">
        <v>275</v>
      </c>
      <c r="AM551" s="6" t="s">
        <v>41</v>
      </c>
      <c r="AN551" s="6" t="s">
        <v>265</v>
      </c>
    </row>
    <row r="552" spans="1:40" hidden="1" x14ac:dyDescent="0.25">
      <c r="A552" s="12">
        <v>45677</v>
      </c>
      <c r="B552" s="6" t="s">
        <v>201</v>
      </c>
      <c r="C552" t="str">
        <f>_xlfn.XLOOKUP(Table3[[#This Row],[station]],station_waterbody_county!A:A, station_waterbody_county!B:B)</f>
        <v>Chedabucto Bay</v>
      </c>
      <c r="D552" t="str">
        <f>_xlfn.XLOOKUP(Table3[[#This Row],[station]],station_waterbody_county!A:A, station_waterbody_county!C:C)</f>
        <v>Guysborough</v>
      </c>
      <c r="E552" s="6"/>
      <c r="F552" s="6" t="s">
        <v>310</v>
      </c>
      <c r="G552" s="12">
        <v>45112</v>
      </c>
      <c r="H552" s="5"/>
      <c r="I552" s="4">
        <v>45476</v>
      </c>
      <c r="J552" s="5">
        <v>0.4513888888888889</v>
      </c>
      <c r="K552" s="10">
        <v>45.352684000000004</v>
      </c>
      <c r="L552" s="10">
        <v>-61.286906999999999</v>
      </c>
      <c r="O552" s="6"/>
      <c r="Q552" s="6" t="s">
        <v>414</v>
      </c>
      <c r="R552" s="6" t="s">
        <v>415</v>
      </c>
      <c r="S552" s="6" t="s">
        <v>240</v>
      </c>
      <c r="T552" s="11">
        <v>671318</v>
      </c>
      <c r="U552" s="7">
        <v>5</v>
      </c>
      <c r="V552" s="6" t="s">
        <v>36</v>
      </c>
      <c r="W552" s="7">
        <v>28</v>
      </c>
      <c r="X552" s="6" t="s">
        <v>35</v>
      </c>
      <c r="Y552" s="7">
        <v>0.7</v>
      </c>
      <c r="Z552" s="7">
        <v>1.7</v>
      </c>
      <c r="AA552" s="6" t="s">
        <v>251</v>
      </c>
      <c r="AB552" s="6" t="s">
        <v>38</v>
      </c>
      <c r="AD552" s="6" t="s">
        <v>39</v>
      </c>
      <c r="AE552" s="6"/>
      <c r="AG552" s="6" t="s">
        <v>260</v>
      </c>
      <c r="AH552" s="7"/>
      <c r="AI552" s="6" t="s">
        <v>40</v>
      </c>
      <c r="AJ552" s="6" t="s">
        <v>238</v>
      </c>
      <c r="AK552" s="6" t="s">
        <v>35</v>
      </c>
      <c r="AL552" s="6" t="s">
        <v>275</v>
      </c>
      <c r="AM552" s="6" t="s">
        <v>41</v>
      </c>
      <c r="AN552" s="6" t="s">
        <v>265</v>
      </c>
    </row>
    <row r="553" spans="1:40" hidden="1" x14ac:dyDescent="0.25">
      <c r="A553" s="12">
        <v>45677</v>
      </c>
      <c r="B553" s="6" t="s">
        <v>201</v>
      </c>
      <c r="C553" t="str">
        <f>_xlfn.XLOOKUP(Table3[[#This Row],[station]],station_waterbody_county!A:A, station_waterbody_county!B:B)</f>
        <v>Chedabucto Bay</v>
      </c>
      <c r="D553" t="str">
        <f>_xlfn.XLOOKUP(Table3[[#This Row],[station]],station_waterbody_county!A:A, station_waterbody_county!C:C)</f>
        <v>Guysborough</v>
      </c>
      <c r="E553" s="6"/>
      <c r="F553" s="6" t="s">
        <v>310</v>
      </c>
      <c r="G553" s="12">
        <v>45112</v>
      </c>
      <c r="H553" s="5"/>
      <c r="I553" s="4">
        <v>45476</v>
      </c>
      <c r="J553" s="5">
        <v>0.4513888888888889</v>
      </c>
      <c r="K553" s="10">
        <v>45.352684000000004</v>
      </c>
      <c r="L553" s="10">
        <v>-61.286906999999999</v>
      </c>
      <c r="O553" s="6"/>
      <c r="Q553" s="6" t="s">
        <v>414</v>
      </c>
      <c r="R553" s="6" t="s">
        <v>415</v>
      </c>
      <c r="S553" s="6" t="s">
        <v>239</v>
      </c>
      <c r="T553" s="11">
        <v>20330415</v>
      </c>
      <c r="U553" s="7">
        <v>10</v>
      </c>
      <c r="V553" s="6" t="s">
        <v>36</v>
      </c>
      <c r="W553" s="7">
        <v>28</v>
      </c>
      <c r="X553" s="6" t="s">
        <v>35</v>
      </c>
      <c r="Y553" s="7">
        <v>0.7</v>
      </c>
      <c r="Z553" s="7">
        <v>1.7</v>
      </c>
      <c r="AA553" s="6" t="s">
        <v>251</v>
      </c>
      <c r="AB553" s="6" t="s">
        <v>38</v>
      </c>
      <c r="AD553" s="6" t="s">
        <v>39</v>
      </c>
      <c r="AE553" s="6"/>
      <c r="AG553" s="6" t="s">
        <v>260</v>
      </c>
      <c r="AH553" s="7"/>
      <c r="AI553" s="6" t="s">
        <v>40</v>
      </c>
      <c r="AJ553" s="6" t="s">
        <v>238</v>
      </c>
      <c r="AK553" s="6" t="s">
        <v>35</v>
      </c>
      <c r="AL553" s="6" t="s">
        <v>275</v>
      </c>
      <c r="AM553" s="6" t="s">
        <v>41</v>
      </c>
      <c r="AN553" s="6" t="s">
        <v>265</v>
      </c>
    </row>
    <row r="554" spans="1:40" hidden="1" x14ac:dyDescent="0.25">
      <c r="A554" s="12">
        <v>45677</v>
      </c>
      <c r="B554" s="6" t="s">
        <v>201</v>
      </c>
      <c r="C554" t="str">
        <f>_xlfn.XLOOKUP(Table3[[#This Row],[station]],station_waterbody_county!A:A, station_waterbody_county!B:B)</f>
        <v>Chedabucto Bay</v>
      </c>
      <c r="D554" t="str">
        <f>_xlfn.XLOOKUP(Table3[[#This Row],[station]],station_waterbody_county!A:A, station_waterbody_county!C:C)</f>
        <v>Guysborough</v>
      </c>
      <c r="E554" s="6"/>
      <c r="F554" s="6" t="s">
        <v>310</v>
      </c>
      <c r="G554" s="12">
        <v>45112</v>
      </c>
      <c r="H554" s="5"/>
      <c r="I554" s="4">
        <v>45476</v>
      </c>
      <c r="J554" s="5">
        <v>0.4513888888888889</v>
      </c>
      <c r="K554" s="10">
        <v>45.352684000000004</v>
      </c>
      <c r="L554" s="10">
        <v>-61.286906999999999</v>
      </c>
      <c r="O554" s="6"/>
      <c r="Q554" s="6" t="s">
        <v>414</v>
      </c>
      <c r="R554" s="6" t="s">
        <v>415</v>
      </c>
      <c r="S554" s="6" t="s">
        <v>239</v>
      </c>
      <c r="T554" s="11">
        <v>20495235</v>
      </c>
      <c r="U554" s="7">
        <v>15</v>
      </c>
      <c r="V554" s="6" t="s">
        <v>36</v>
      </c>
      <c r="W554" s="7">
        <v>28</v>
      </c>
      <c r="X554" s="6" t="s">
        <v>35</v>
      </c>
      <c r="Y554" s="7">
        <v>0.7</v>
      </c>
      <c r="Z554" s="7">
        <v>1.7</v>
      </c>
      <c r="AA554" s="6" t="s">
        <v>251</v>
      </c>
      <c r="AB554" s="6" t="s">
        <v>38</v>
      </c>
      <c r="AD554" s="6" t="s">
        <v>39</v>
      </c>
      <c r="AE554" s="6"/>
      <c r="AG554" s="6" t="s">
        <v>260</v>
      </c>
      <c r="AH554" s="7"/>
      <c r="AI554" s="6" t="s">
        <v>40</v>
      </c>
      <c r="AJ554" s="6" t="s">
        <v>238</v>
      </c>
      <c r="AK554" s="6" t="s">
        <v>35</v>
      </c>
      <c r="AL554" s="6" t="s">
        <v>275</v>
      </c>
      <c r="AM554" s="6" t="s">
        <v>41</v>
      </c>
      <c r="AN554" s="6" t="s">
        <v>265</v>
      </c>
    </row>
    <row r="555" spans="1:40" hidden="1" x14ac:dyDescent="0.25">
      <c r="A555" s="12">
        <v>45677</v>
      </c>
      <c r="B555" s="6" t="s">
        <v>201</v>
      </c>
      <c r="C555" t="str">
        <f>_xlfn.XLOOKUP(Table3[[#This Row],[station]],station_waterbody_county!A:A, station_waterbody_county!B:B)</f>
        <v>Chedabucto Bay</v>
      </c>
      <c r="D555" t="str">
        <f>_xlfn.XLOOKUP(Table3[[#This Row],[station]],station_waterbody_county!A:A, station_waterbody_county!C:C)</f>
        <v>Guysborough</v>
      </c>
      <c r="E555" s="6"/>
      <c r="F555" s="6" t="s">
        <v>310</v>
      </c>
      <c r="G555" s="12">
        <v>45112</v>
      </c>
      <c r="H555" s="5"/>
      <c r="I555" s="4">
        <v>45476</v>
      </c>
      <c r="J555" s="5">
        <v>0.4513888888888889</v>
      </c>
      <c r="K555" s="10">
        <v>45.352684000000004</v>
      </c>
      <c r="L555" s="10">
        <v>-61.286906999999999</v>
      </c>
      <c r="O555" s="6"/>
      <c r="Q555" s="6" t="s">
        <v>414</v>
      </c>
      <c r="R555" s="6" t="s">
        <v>415</v>
      </c>
      <c r="S555" s="6" t="s">
        <v>239</v>
      </c>
      <c r="T555" s="11">
        <v>20922072</v>
      </c>
      <c r="U555" s="7">
        <v>20</v>
      </c>
      <c r="V555" s="6" t="s">
        <v>36</v>
      </c>
      <c r="W555" s="7">
        <v>28</v>
      </c>
      <c r="X555" s="6" t="s">
        <v>35</v>
      </c>
      <c r="Y555" s="7">
        <v>0.7</v>
      </c>
      <c r="Z555" s="7">
        <v>1.7</v>
      </c>
      <c r="AA555" s="6" t="s">
        <v>251</v>
      </c>
      <c r="AB555" s="6" t="s">
        <v>38</v>
      </c>
      <c r="AD555" s="6" t="s">
        <v>39</v>
      </c>
      <c r="AE555" s="6"/>
      <c r="AG555" s="6" t="s">
        <v>260</v>
      </c>
      <c r="AH555" s="7"/>
      <c r="AI555" s="6" t="s">
        <v>40</v>
      </c>
      <c r="AJ555" s="6" t="s">
        <v>238</v>
      </c>
      <c r="AK555" s="6" t="s">
        <v>35</v>
      </c>
      <c r="AL555" s="6" t="s">
        <v>275</v>
      </c>
      <c r="AM555" s="6" t="s">
        <v>41</v>
      </c>
      <c r="AN555" s="6" t="s">
        <v>265</v>
      </c>
    </row>
    <row r="556" spans="1:40" hidden="1" x14ac:dyDescent="0.25">
      <c r="A556" s="12">
        <v>45677</v>
      </c>
      <c r="B556" s="6" t="s">
        <v>201</v>
      </c>
      <c r="C556" t="str">
        <f>_xlfn.XLOOKUP(Table3[[#This Row],[station]],station_waterbody_county!A:A, station_waterbody_county!B:B)</f>
        <v>Chedabucto Bay</v>
      </c>
      <c r="D556" t="str">
        <f>_xlfn.XLOOKUP(Table3[[#This Row],[station]],station_waterbody_county!A:A, station_waterbody_county!C:C)</f>
        <v>Guysborough</v>
      </c>
      <c r="E556" s="6"/>
      <c r="F556" s="6" t="s">
        <v>310</v>
      </c>
      <c r="G556" s="12">
        <v>45112</v>
      </c>
      <c r="H556" s="5"/>
      <c r="I556" s="4">
        <v>45476</v>
      </c>
      <c r="J556" s="5">
        <v>0.4513888888888889</v>
      </c>
      <c r="K556" s="10">
        <v>45.352684000000004</v>
      </c>
      <c r="L556" s="10">
        <v>-61.286906999999999</v>
      </c>
      <c r="O556" s="6"/>
      <c r="Q556" s="6" t="s">
        <v>414</v>
      </c>
      <c r="R556" s="6" t="s">
        <v>415</v>
      </c>
      <c r="S556" s="6" t="s">
        <v>42</v>
      </c>
      <c r="T556" s="11">
        <v>547088</v>
      </c>
      <c r="U556" s="7">
        <v>25</v>
      </c>
      <c r="V556" s="6" t="s">
        <v>36</v>
      </c>
      <c r="W556" s="7">
        <v>28</v>
      </c>
      <c r="X556" s="6" t="s">
        <v>35</v>
      </c>
      <c r="Y556" s="7">
        <v>0.7</v>
      </c>
      <c r="Z556" s="7">
        <v>1.7</v>
      </c>
      <c r="AA556" s="6" t="s">
        <v>251</v>
      </c>
      <c r="AB556" s="6" t="s">
        <v>38</v>
      </c>
      <c r="AD556" s="6" t="s">
        <v>39</v>
      </c>
      <c r="AE556" s="6"/>
      <c r="AG556" s="6" t="s">
        <v>260</v>
      </c>
      <c r="AH556" s="7"/>
      <c r="AI556" s="6" t="s">
        <v>40</v>
      </c>
      <c r="AJ556" s="6" t="s">
        <v>238</v>
      </c>
      <c r="AK556" s="6" t="s">
        <v>35</v>
      </c>
      <c r="AL556" s="6" t="s">
        <v>275</v>
      </c>
      <c r="AM556" s="6" t="s">
        <v>41</v>
      </c>
      <c r="AN556" s="6" t="s">
        <v>265</v>
      </c>
    </row>
    <row r="557" spans="1:40" x14ac:dyDescent="0.25">
      <c r="A557" s="4">
        <v>45798</v>
      </c>
      <c r="B557" s="15" t="s">
        <v>201</v>
      </c>
      <c r="C557" t="str">
        <f>_xlfn.XLOOKUP(Table3[[#This Row],[station]],station_waterbody_county!A:A, station_waterbody_county!B:B)</f>
        <v>Chedabucto Bay</v>
      </c>
      <c r="D557" t="str">
        <f>_xlfn.XLOOKUP(Table3[[#This Row],[station]],station_waterbody_county!A:A, station_waterbody_county!C:C)</f>
        <v>Guysborough</v>
      </c>
      <c r="E557" s="6"/>
      <c r="F557" s="6" t="s">
        <v>310</v>
      </c>
      <c r="G557" s="4">
        <v>45582</v>
      </c>
      <c r="H557" s="5">
        <v>0.50277777777777777</v>
      </c>
      <c r="I557" s="4">
        <v>45791</v>
      </c>
      <c r="J557" s="5">
        <v>0.59166666666666667</v>
      </c>
      <c r="K557" s="10"/>
      <c r="O557" s="6" t="s">
        <v>495</v>
      </c>
      <c r="P557" s="6" t="s">
        <v>496</v>
      </c>
      <c r="Q557" s="6" t="s">
        <v>1263</v>
      </c>
      <c r="R557" s="6" t="s">
        <v>1264</v>
      </c>
      <c r="S557" s="6" t="s">
        <v>239</v>
      </c>
      <c r="T557" s="11">
        <v>20495219</v>
      </c>
      <c r="U557" s="7">
        <v>2</v>
      </c>
      <c r="V557" s="6" t="s">
        <v>36</v>
      </c>
      <c r="W557" s="7">
        <v>23.7</v>
      </c>
      <c r="X557" s="6" t="s">
        <v>35</v>
      </c>
      <c r="Y557" s="7">
        <v>1.7</v>
      </c>
      <c r="Z557" s="7">
        <v>1.5</v>
      </c>
      <c r="AA557" s="6" t="s">
        <v>370</v>
      </c>
      <c r="AB557" s="6" t="s">
        <v>38</v>
      </c>
      <c r="AD557" s="6" t="s">
        <v>39</v>
      </c>
      <c r="AE557" s="6"/>
      <c r="AG557" s="6" t="s">
        <v>37</v>
      </c>
      <c r="AH557" s="7">
        <v>60</v>
      </c>
      <c r="AI557" s="6" t="s">
        <v>40</v>
      </c>
      <c r="AJ557" s="6" t="s">
        <v>238</v>
      </c>
      <c r="AK557" s="6" t="s">
        <v>35</v>
      </c>
      <c r="AL557" s="6" t="s">
        <v>41</v>
      </c>
      <c r="AM557" s="6" t="s">
        <v>41</v>
      </c>
    </row>
    <row r="558" spans="1:40" x14ac:dyDescent="0.25">
      <c r="A558" s="4">
        <v>45798</v>
      </c>
      <c r="B558" s="6" t="s">
        <v>201</v>
      </c>
      <c r="C558" t="str">
        <f>_xlfn.XLOOKUP(Table3[[#This Row],[station]],station_waterbody_county!A:A, station_waterbody_county!B:B)</f>
        <v>Chedabucto Bay</v>
      </c>
      <c r="D558" t="str">
        <f>_xlfn.XLOOKUP(Table3[[#This Row],[station]],station_waterbody_county!A:A, station_waterbody_county!C:C)</f>
        <v>Guysborough</v>
      </c>
      <c r="E558" s="6"/>
      <c r="F558" s="6" t="s">
        <v>310</v>
      </c>
      <c r="G558" s="4">
        <v>45582</v>
      </c>
      <c r="H558" s="5">
        <v>0.50277777777777777</v>
      </c>
      <c r="I558" s="4">
        <v>45791</v>
      </c>
      <c r="J558" s="5">
        <v>0.59166666666666667</v>
      </c>
      <c r="K558" s="10"/>
      <c r="O558" s="6" t="s">
        <v>495</v>
      </c>
      <c r="P558" s="6" t="s">
        <v>496</v>
      </c>
      <c r="Q558" s="6" t="s">
        <v>1263</v>
      </c>
      <c r="R558" s="6" t="s">
        <v>1264</v>
      </c>
      <c r="S558" s="6" t="s">
        <v>240</v>
      </c>
      <c r="T558" s="11">
        <v>670370</v>
      </c>
      <c r="U558" s="7">
        <v>5</v>
      </c>
      <c r="V558" s="6" t="s">
        <v>36</v>
      </c>
      <c r="W558" s="7">
        <v>23.7</v>
      </c>
      <c r="X558" s="6" t="s">
        <v>35</v>
      </c>
      <c r="Y558" s="7">
        <v>1.7</v>
      </c>
      <c r="Z558" s="7">
        <v>1.5</v>
      </c>
      <c r="AA558" s="6" t="s">
        <v>370</v>
      </c>
      <c r="AB558" s="6" t="s">
        <v>38</v>
      </c>
      <c r="AD558" s="6" t="s">
        <v>39</v>
      </c>
      <c r="AE558" s="6"/>
      <c r="AG558" s="6" t="s">
        <v>37</v>
      </c>
      <c r="AH558" s="7">
        <v>60</v>
      </c>
      <c r="AI558" s="6" t="s">
        <v>40</v>
      </c>
      <c r="AJ558" s="6" t="s">
        <v>238</v>
      </c>
      <c r="AK558" s="6" t="s">
        <v>35</v>
      </c>
      <c r="AL558" s="6" t="s">
        <v>41</v>
      </c>
      <c r="AM558" s="6" t="s">
        <v>41</v>
      </c>
    </row>
    <row r="559" spans="1:40" x14ac:dyDescent="0.25">
      <c r="A559" s="4">
        <v>45798</v>
      </c>
      <c r="B559" s="15" t="s">
        <v>201</v>
      </c>
      <c r="C559" t="str">
        <f>_xlfn.XLOOKUP(Table3[[#This Row],[station]],station_waterbody_county!A:A, station_waterbody_county!B:B)</f>
        <v>Chedabucto Bay</v>
      </c>
      <c r="D559" t="str">
        <f>_xlfn.XLOOKUP(Table3[[#This Row],[station]],station_waterbody_county!A:A, station_waterbody_county!C:C)</f>
        <v>Guysborough</v>
      </c>
      <c r="E559" s="6"/>
      <c r="F559" s="6" t="s">
        <v>310</v>
      </c>
      <c r="G559" s="4">
        <v>45582</v>
      </c>
      <c r="H559" s="5">
        <v>0.50277777777777777</v>
      </c>
      <c r="I559" s="4">
        <v>45791</v>
      </c>
      <c r="J559" s="5">
        <v>0.59166666666666667</v>
      </c>
      <c r="K559" s="10"/>
      <c r="O559" s="6" t="s">
        <v>495</v>
      </c>
      <c r="P559" s="6" t="s">
        <v>496</v>
      </c>
      <c r="Q559" s="6" t="s">
        <v>1263</v>
      </c>
      <c r="R559" s="6" t="s">
        <v>1264</v>
      </c>
      <c r="S559" s="6" t="s">
        <v>239</v>
      </c>
      <c r="T559" s="11">
        <v>21650148</v>
      </c>
      <c r="U559" s="7">
        <v>10</v>
      </c>
      <c r="V559" s="6" t="s">
        <v>36</v>
      </c>
      <c r="W559" s="7">
        <v>23.7</v>
      </c>
      <c r="X559" s="6" t="s">
        <v>35</v>
      </c>
      <c r="Y559" s="7">
        <v>1.7</v>
      </c>
      <c r="Z559" s="7">
        <v>1.5</v>
      </c>
      <c r="AA559" s="6" t="s">
        <v>370</v>
      </c>
      <c r="AB559" s="6" t="s">
        <v>38</v>
      </c>
      <c r="AD559" s="6" t="s">
        <v>39</v>
      </c>
      <c r="AE559" s="6"/>
      <c r="AG559" s="6" t="s">
        <v>37</v>
      </c>
      <c r="AH559" s="7">
        <v>60</v>
      </c>
      <c r="AI559" s="6" t="s">
        <v>40</v>
      </c>
      <c r="AJ559" s="6" t="s">
        <v>238</v>
      </c>
      <c r="AK559" s="6" t="s">
        <v>35</v>
      </c>
      <c r="AL559" s="6" t="s">
        <v>41</v>
      </c>
      <c r="AM559" s="6" t="s">
        <v>41</v>
      </c>
    </row>
    <row r="560" spans="1:40" x14ac:dyDescent="0.25">
      <c r="A560" s="4">
        <v>45798</v>
      </c>
      <c r="B560" s="6" t="s">
        <v>201</v>
      </c>
      <c r="C560" t="str">
        <f>_xlfn.XLOOKUP(Table3[[#This Row],[station]],station_waterbody_county!A:A, station_waterbody_county!B:B)</f>
        <v>Chedabucto Bay</v>
      </c>
      <c r="D560" t="str">
        <f>_xlfn.XLOOKUP(Table3[[#This Row],[station]],station_waterbody_county!A:A, station_waterbody_county!C:C)</f>
        <v>Guysborough</v>
      </c>
      <c r="E560" s="6"/>
      <c r="F560" s="6" t="s">
        <v>310</v>
      </c>
      <c r="G560" s="4">
        <v>45582</v>
      </c>
      <c r="H560" s="5">
        <v>0.50277777777777777</v>
      </c>
      <c r="I560" s="4">
        <v>45791</v>
      </c>
      <c r="J560" s="5">
        <v>0.59166666666666667</v>
      </c>
      <c r="K560" s="10"/>
      <c r="O560" s="6" t="s">
        <v>495</v>
      </c>
      <c r="P560" s="6" t="s">
        <v>496</v>
      </c>
      <c r="Q560" s="6" t="s">
        <v>1263</v>
      </c>
      <c r="R560" s="6" t="s">
        <v>1264</v>
      </c>
      <c r="S560" s="6" t="s">
        <v>239</v>
      </c>
      <c r="T560" s="11">
        <v>21082887</v>
      </c>
      <c r="U560" s="7">
        <v>15</v>
      </c>
      <c r="V560" s="6" t="s">
        <v>36</v>
      </c>
      <c r="W560" s="7">
        <v>23.7</v>
      </c>
      <c r="X560" s="6" t="s">
        <v>35</v>
      </c>
      <c r="Y560" s="7">
        <v>1.7</v>
      </c>
      <c r="Z560" s="7">
        <v>1.5</v>
      </c>
      <c r="AA560" s="6" t="s">
        <v>370</v>
      </c>
      <c r="AB560" s="6" t="s">
        <v>38</v>
      </c>
      <c r="AD560" s="6" t="s">
        <v>39</v>
      </c>
      <c r="AE560" s="6"/>
      <c r="AG560" s="6" t="s">
        <v>37</v>
      </c>
      <c r="AH560" s="7">
        <v>60</v>
      </c>
      <c r="AI560" s="6" t="s">
        <v>40</v>
      </c>
      <c r="AJ560" s="6" t="s">
        <v>238</v>
      </c>
      <c r="AK560" s="6" t="s">
        <v>35</v>
      </c>
      <c r="AL560" s="6" t="s">
        <v>41</v>
      </c>
      <c r="AM560" s="6" t="s">
        <v>41</v>
      </c>
    </row>
    <row r="561" spans="1:39" x14ac:dyDescent="0.25">
      <c r="A561" s="4">
        <v>45798</v>
      </c>
      <c r="B561" s="15" t="s">
        <v>201</v>
      </c>
      <c r="C561" t="str">
        <f>_xlfn.XLOOKUP(Table3[[#This Row],[station]],station_waterbody_county!A:A, station_waterbody_county!B:B)</f>
        <v>Chedabucto Bay</v>
      </c>
      <c r="D561" t="str">
        <f>_xlfn.XLOOKUP(Table3[[#This Row],[station]],station_waterbody_county!A:A, station_waterbody_county!C:C)</f>
        <v>Guysborough</v>
      </c>
      <c r="E561" s="6"/>
      <c r="F561" s="6" t="s">
        <v>310</v>
      </c>
      <c r="G561" s="4">
        <v>45582</v>
      </c>
      <c r="H561" s="5">
        <v>0.50277777777777777</v>
      </c>
      <c r="I561" s="4">
        <v>45791</v>
      </c>
      <c r="J561" s="5">
        <v>0.59166666666666667</v>
      </c>
      <c r="K561" s="10"/>
      <c r="O561" s="6" t="s">
        <v>495</v>
      </c>
      <c r="P561" s="6" t="s">
        <v>496</v>
      </c>
      <c r="Q561" s="6" t="s">
        <v>1263</v>
      </c>
      <c r="R561" s="6" t="s">
        <v>1264</v>
      </c>
      <c r="S561" s="6" t="s">
        <v>239</v>
      </c>
      <c r="T561" s="11">
        <v>21152407</v>
      </c>
      <c r="U561" s="7">
        <v>20</v>
      </c>
      <c r="V561" s="6" t="s">
        <v>36</v>
      </c>
      <c r="W561" s="7">
        <v>23.7</v>
      </c>
      <c r="X561" s="6" t="s">
        <v>35</v>
      </c>
      <c r="Y561" s="7">
        <v>1.7</v>
      </c>
      <c r="Z561" s="7">
        <v>1.5</v>
      </c>
      <c r="AA561" s="6" t="s">
        <v>370</v>
      </c>
      <c r="AB561" s="6" t="s">
        <v>38</v>
      </c>
      <c r="AD561" s="6" t="s">
        <v>39</v>
      </c>
      <c r="AE561" s="6"/>
      <c r="AG561" s="6" t="s">
        <v>37</v>
      </c>
      <c r="AH561" s="7">
        <v>60</v>
      </c>
      <c r="AI561" s="6" t="s">
        <v>40</v>
      </c>
      <c r="AJ561" s="6" t="s">
        <v>238</v>
      </c>
      <c r="AK561" s="6" t="s">
        <v>35</v>
      </c>
      <c r="AL561" s="6" t="s">
        <v>41</v>
      </c>
      <c r="AM561" s="6" t="s">
        <v>41</v>
      </c>
    </row>
    <row r="562" spans="1:39" x14ac:dyDescent="0.25">
      <c r="A562" s="4">
        <v>45798</v>
      </c>
      <c r="B562" s="6" t="s">
        <v>201</v>
      </c>
      <c r="C562" t="str">
        <f>_xlfn.XLOOKUP(Table3[[#This Row],[station]],station_waterbody_county!A:A, station_waterbody_county!B:B)</f>
        <v>Chedabucto Bay</v>
      </c>
      <c r="D562" t="str">
        <f>_xlfn.XLOOKUP(Table3[[#This Row],[station]],station_waterbody_county!A:A, station_waterbody_county!C:C)</f>
        <v>Guysborough</v>
      </c>
      <c r="E562" s="6"/>
      <c r="F562" s="6" t="s">
        <v>310</v>
      </c>
      <c r="G562" s="4">
        <v>45582</v>
      </c>
      <c r="H562" s="5">
        <v>0.50277777777777777</v>
      </c>
      <c r="I562" s="4">
        <v>45791</v>
      </c>
      <c r="J562" s="5">
        <v>0.59166666666666667</v>
      </c>
      <c r="K562" s="10"/>
      <c r="O562" s="6" t="s">
        <v>495</v>
      </c>
      <c r="P562" s="6" t="s">
        <v>496</v>
      </c>
      <c r="Q562" s="6" t="s">
        <v>1263</v>
      </c>
      <c r="R562" s="6" t="s">
        <v>1264</v>
      </c>
      <c r="S562" s="6" t="s">
        <v>42</v>
      </c>
      <c r="T562" s="11">
        <v>548586</v>
      </c>
      <c r="U562" s="7">
        <v>25</v>
      </c>
      <c r="V562" s="6" t="s">
        <v>36</v>
      </c>
      <c r="W562" s="7">
        <v>23.7</v>
      </c>
      <c r="X562" s="6" t="s">
        <v>35</v>
      </c>
      <c r="Y562" s="7">
        <v>1.7</v>
      </c>
      <c r="Z562" s="7">
        <v>1.5</v>
      </c>
      <c r="AA562" s="6" t="s">
        <v>370</v>
      </c>
      <c r="AB562" s="6" t="s">
        <v>38</v>
      </c>
      <c r="AD562" s="6" t="s">
        <v>39</v>
      </c>
      <c r="AE562" s="6"/>
      <c r="AG562" s="6" t="s">
        <v>37</v>
      </c>
      <c r="AH562" s="7">
        <v>60</v>
      </c>
      <c r="AI562" s="6" t="s">
        <v>40</v>
      </c>
      <c r="AJ562" s="6" t="s">
        <v>238</v>
      </c>
      <c r="AK562" s="6" t="s">
        <v>35</v>
      </c>
      <c r="AL562" s="6" t="s">
        <v>41</v>
      </c>
      <c r="AM562" s="6" t="s">
        <v>41</v>
      </c>
    </row>
    <row r="563" spans="1:39" x14ac:dyDescent="0.25">
      <c r="A563" s="4">
        <v>45798</v>
      </c>
      <c r="B563" s="15" t="s">
        <v>201</v>
      </c>
      <c r="C563" t="str">
        <f>_xlfn.XLOOKUP(Table3[[#This Row],[station]],station_waterbody_county!A:A, station_waterbody_county!B:B)</f>
        <v>Chedabucto Bay</v>
      </c>
      <c r="D563" t="str">
        <f>_xlfn.XLOOKUP(Table3[[#This Row],[station]],station_waterbody_county!A:A, station_waterbody_county!C:C)</f>
        <v>Guysborough</v>
      </c>
      <c r="E563" s="6"/>
      <c r="F563" s="6" t="s">
        <v>310</v>
      </c>
      <c r="G563" s="4">
        <v>45582</v>
      </c>
      <c r="H563" s="5">
        <v>0.50277777777777777</v>
      </c>
      <c r="I563" s="4">
        <v>45791</v>
      </c>
      <c r="J563" s="5">
        <v>0.59166666666666667</v>
      </c>
      <c r="K563" s="10"/>
      <c r="O563" s="6" t="s">
        <v>495</v>
      </c>
      <c r="P563" s="6" t="s">
        <v>496</v>
      </c>
      <c r="Q563" s="6" t="s">
        <v>1263</v>
      </c>
      <c r="R563" s="6" t="s">
        <v>1264</v>
      </c>
      <c r="S563" s="6" t="s">
        <v>239</v>
      </c>
      <c r="T563" s="11">
        <v>21981718</v>
      </c>
      <c r="U563" s="7">
        <v>25</v>
      </c>
      <c r="V563" s="6" t="s">
        <v>36</v>
      </c>
      <c r="W563" s="7">
        <v>23.7</v>
      </c>
      <c r="X563" s="6" t="s">
        <v>35</v>
      </c>
      <c r="Y563" s="7">
        <v>1.7</v>
      </c>
      <c r="Z563" s="7">
        <v>1.5</v>
      </c>
      <c r="AA563" s="6" t="s">
        <v>370</v>
      </c>
      <c r="AB563" s="6" t="s">
        <v>38</v>
      </c>
      <c r="AD563" s="6" t="s">
        <v>39</v>
      </c>
      <c r="AE563" s="6"/>
      <c r="AG563" s="6" t="s">
        <v>37</v>
      </c>
      <c r="AH563" s="7">
        <v>60</v>
      </c>
      <c r="AI563" s="6" t="s">
        <v>40</v>
      </c>
      <c r="AJ563" s="6" t="s">
        <v>238</v>
      </c>
      <c r="AK563" s="6" t="s">
        <v>35</v>
      </c>
      <c r="AL563" s="6" t="s">
        <v>41</v>
      </c>
      <c r="AM563" s="6" t="s">
        <v>41</v>
      </c>
    </row>
    <row r="564" spans="1:39" hidden="1" x14ac:dyDescent="0.25">
      <c r="A564" s="4">
        <v>45798</v>
      </c>
      <c r="B564" s="6" t="s">
        <v>201</v>
      </c>
      <c r="C564" t="str">
        <f>_xlfn.XLOOKUP(Table3[[#This Row],[station]],station_waterbody_county!A:A, station_waterbody_county!B:B)</f>
        <v>Chedabucto Bay</v>
      </c>
      <c r="D564" t="str">
        <f>_xlfn.XLOOKUP(Table3[[#This Row],[station]],station_waterbody_county!A:A, station_waterbody_county!C:C)</f>
        <v>Guysborough</v>
      </c>
      <c r="E564" s="6"/>
      <c r="F564" s="6" t="s">
        <v>34</v>
      </c>
      <c r="G564" s="12">
        <v>45791</v>
      </c>
      <c r="H564" s="5">
        <v>0.60902777777777772</v>
      </c>
      <c r="I564" s="4"/>
      <c r="J564" s="5"/>
      <c r="K564" s="10"/>
      <c r="O564" s="6" t="s">
        <v>1265</v>
      </c>
      <c r="P564" s="6" t="s">
        <v>1266</v>
      </c>
      <c r="S564" s="6" t="s">
        <v>239</v>
      </c>
      <c r="T564" s="11">
        <v>22224435</v>
      </c>
      <c r="U564" s="7">
        <v>2</v>
      </c>
      <c r="V564" s="6" t="s">
        <v>36</v>
      </c>
      <c r="W564" s="7">
        <v>30.5</v>
      </c>
      <c r="X564" s="6" t="s">
        <v>35</v>
      </c>
      <c r="Y564" s="7">
        <v>1.3</v>
      </c>
      <c r="Z564" s="7">
        <v>1.5</v>
      </c>
      <c r="AA564" s="6" t="s">
        <v>251</v>
      </c>
      <c r="AB564" s="6" t="s">
        <v>38</v>
      </c>
      <c r="AD564" s="6" t="s">
        <v>39</v>
      </c>
      <c r="AE564" s="6" t="s">
        <v>40</v>
      </c>
      <c r="AG564" s="6" t="s">
        <v>37</v>
      </c>
      <c r="AH564" s="7">
        <v>60</v>
      </c>
      <c r="AI564" s="6" t="s">
        <v>40</v>
      </c>
      <c r="AJ564" s="6" t="s">
        <v>238</v>
      </c>
      <c r="AL564" s="6" t="s">
        <v>41</v>
      </c>
    </row>
    <row r="565" spans="1:39" hidden="1" x14ac:dyDescent="0.25">
      <c r="A565" s="4">
        <v>45798</v>
      </c>
      <c r="B565" s="6" t="s">
        <v>201</v>
      </c>
      <c r="C565" t="str">
        <f>_xlfn.XLOOKUP(Table3[[#This Row],[station]],station_waterbody_county!A:A, station_waterbody_county!B:B)</f>
        <v>Chedabucto Bay</v>
      </c>
      <c r="D565" t="str">
        <f>_xlfn.XLOOKUP(Table3[[#This Row],[station]],station_waterbody_county!A:A, station_waterbody_county!C:C)</f>
        <v>Guysborough</v>
      </c>
      <c r="E565" s="6"/>
      <c r="F565" s="6" t="s">
        <v>34</v>
      </c>
      <c r="G565" s="12">
        <v>45791</v>
      </c>
      <c r="H565" s="5">
        <v>0.60902777777777772</v>
      </c>
      <c r="I565" s="4"/>
      <c r="J565" s="5"/>
      <c r="K565" s="10"/>
      <c r="O565" s="6" t="s">
        <v>1265</v>
      </c>
      <c r="P565" s="6" t="s">
        <v>1266</v>
      </c>
      <c r="S565" s="6" t="s">
        <v>239</v>
      </c>
      <c r="T565" s="11">
        <v>22278834</v>
      </c>
      <c r="U565" s="7">
        <v>5</v>
      </c>
      <c r="V565" s="6" t="s">
        <v>36</v>
      </c>
      <c r="W565" s="7">
        <v>30.5</v>
      </c>
      <c r="X565" s="6" t="s">
        <v>35</v>
      </c>
      <c r="Y565" s="7">
        <v>1.3</v>
      </c>
      <c r="Z565" s="7">
        <v>1.5</v>
      </c>
      <c r="AA565" s="6" t="s">
        <v>251</v>
      </c>
      <c r="AB565" s="6" t="s">
        <v>38</v>
      </c>
      <c r="AD565" s="6" t="s">
        <v>39</v>
      </c>
      <c r="AE565" s="6" t="s">
        <v>40</v>
      </c>
      <c r="AG565" s="6" t="s">
        <v>37</v>
      </c>
      <c r="AH565" s="7">
        <v>60</v>
      </c>
      <c r="AI565" s="6" t="s">
        <v>40</v>
      </c>
      <c r="AJ565" s="6" t="s">
        <v>238</v>
      </c>
      <c r="AL565" s="6" t="s">
        <v>41</v>
      </c>
    </row>
    <row r="566" spans="1:39" hidden="1" x14ac:dyDescent="0.25">
      <c r="A566" s="4">
        <v>45798</v>
      </c>
      <c r="B566" s="6" t="s">
        <v>201</v>
      </c>
      <c r="C566" t="str">
        <f>_xlfn.XLOOKUP(Table3[[#This Row],[station]],station_waterbody_county!A:A, station_waterbody_county!B:B)</f>
        <v>Chedabucto Bay</v>
      </c>
      <c r="D566" t="str">
        <f>_xlfn.XLOOKUP(Table3[[#This Row],[station]],station_waterbody_county!A:A, station_waterbody_county!C:C)</f>
        <v>Guysborough</v>
      </c>
      <c r="E566" s="6"/>
      <c r="F566" s="6" t="s">
        <v>34</v>
      </c>
      <c r="G566" s="12">
        <v>45791</v>
      </c>
      <c r="H566" s="5">
        <v>0.60902777777777772</v>
      </c>
      <c r="I566" s="4"/>
      <c r="J566" s="5"/>
      <c r="K566" s="10"/>
      <c r="O566" s="6" t="s">
        <v>1265</v>
      </c>
      <c r="P566" s="6" t="s">
        <v>1266</v>
      </c>
      <c r="S566" s="6" t="s">
        <v>239</v>
      </c>
      <c r="T566" s="11">
        <v>20687286</v>
      </c>
      <c r="U566" s="7">
        <v>10</v>
      </c>
      <c r="V566" s="6" t="s">
        <v>36</v>
      </c>
      <c r="W566" s="7">
        <v>30.5</v>
      </c>
      <c r="X566" s="6" t="s">
        <v>35</v>
      </c>
      <c r="Y566" s="7">
        <v>1.3</v>
      </c>
      <c r="Z566" s="7">
        <v>1.5</v>
      </c>
      <c r="AA566" s="6" t="s">
        <v>251</v>
      </c>
      <c r="AB566" s="6" t="s">
        <v>38</v>
      </c>
      <c r="AD566" s="6" t="s">
        <v>39</v>
      </c>
      <c r="AE566" s="6" t="s">
        <v>40</v>
      </c>
      <c r="AG566" s="6" t="s">
        <v>37</v>
      </c>
      <c r="AH566" s="7">
        <v>60</v>
      </c>
      <c r="AI566" s="6" t="s">
        <v>40</v>
      </c>
      <c r="AJ566" s="6" t="s">
        <v>238</v>
      </c>
      <c r="AL566" s="6" t="s">
        <v>41</v>
      </c>
    </row>
    <row r="567" spans="1:39" hidden="1" x14ac:dyDescent="0.25">
      <c r="A567" s="4">
        <v>45798</v>
      </c>
      <c r="B567" s="6" t="s">
        <v>201</v>
      </c>
      <c r="C567" t="str">
        <f>_xlfn.XLOOKUP(Table3[[#This Row],[station]],station_waterbody_county!A:A, station_waterbody_county!B:B)</f>
        <v>Chedabucto Bay</v>
      </c>
      <c r="D567" t="str">
        <f>_xlfn.XLOOKUP(Table3[[#This Row],[station]],station_waterbody_county!A:A, station_waterbody_county!C:C)</f>
        <v>Guysborough</v>
      </c>
      <c r="E567" s="6"/>
      <c r="F567" s="6" t="s">
        <v>34</v>
      </c>
      <c r="G567" s="12">
        <v>45791</v>
      </c>
      <c r="H567" s="5">
        <v>0.60902777777777772</v>
      </c>
      <c r="I567" s="4"/>
      <c r="J567" s="5"/>
      <c r="K567" s="10"/>
      <c r="O567" s="6" t="s">
        <v>1265</v>
      </c>
      <c r="P567" s="6" t="s">
        <v>1266</v>
      </c>
      <c r="S567" s="6" t="s">
        <v>239</v>
      </c>
      <c r="T567" s="11">
        <v>22278846</v>
      </c>
      <c r="U567" s="7">
        <v>15</v>
      </c>
      <c r="V567" s="6" t="s">
        <v>36</v>
      </c>
      <c r="W567" s="7">
        <v>30.5</v>
      </c>
      <c r="X567" s="6" t="s">
        <v>35</v>
      </c>
      <c r="Y567" s="7">
        <v>1.3</v>
      </c>
      <c r="Z567" s="7">
        <v>1.5</v>
      </c>
      <c r="AA567" s="6" t="s">
        <v>251</v>
      </c>
      <c r="AB567" s="6" t="s">
        <v>38</v>
      </c>
      <c r="AD567" s="6" t="s">
        <v>39</v>
      </c>
      <c r="AE567" s="6" t="s">
        <v>40</v>
      </c>
      <c r="AG567" s="6" t="s">
        <v>37</v>
      </c>
      <c r="AH567" s="7">
        <v>60</v>
      </c>
      <c r="AI567" s="6" t="s">
        <v>40</v>
      </c>
      <c r="AJ567" s="6" t="s">
        <v>238</v>
      </c>
      <c r="AL567" s="6" t="s">
        <v>41</v>
      </c>
    </row>
    <row r="568" spans="1:39" hidden="1" x14ac:dyDescent="0.25">
      <c r="A568" s="4">
        <v>45798</v>
      </c>
      <c r="B568" s="6" t="s">
        <v>201</v>
      </c>
      <c r="C568" t="str">
        <f>_xlfn.XLOOKUP(Table3[[#This Row],[station]],station_waterbody_county!A:A, station_waterbody_county!B:B)</f>
        <v>Chedabucto Bay</v>
      </c>
      <c r="D568" t="str">
        <f>_xlfn.XLOOKUP(Table3[[#This Row],[station]],station_waterbody_county!A:A, station_waterbody_county!C:C)</f>
        <v>Guysborough</v>
      </c>
      <c r="E568" s="6"/>
      <c r="F568" s="6" t="s">
        <v>34</v>
      </c>
      <c r="G568" s="12">
        <v>45791</v>
      </c>
      <c r="H568" s="5">
        <v>0.60902777777777772</v>
      </c>
      <c r="I568" s="4"/>
      <c r="J568" s="5"/>
      <c r="K568" s="10"/>
      <c r="O568" s="6" t="s">
        <v>1265</v>
      </c>
      <c r="P568" s="6" t="s">
        <v>1266</v>
      </c>
      <c r="S568" s="6" t="s">
        <v>239</v>
      </c>
      <c r="T568" s="11">
        <v>22278869</v>
      </c>
      <c r="U568" s="7">
        <v>20</v>
      </c>
      <c r="V568" s="6" t="s">
        <v>36</v>
      </c>
      <c r="W568" s="7">
        <v>30.5</v>
      </c>
      <c r="X568" s="6" t="s">
        <v>35</v>
      </c>
      <c r="Y568" s="7">
        <v>1.3</v>
      </c>
      <c r="Z568" s="7">
        <v>1.5</v>
      </c>
      <c r="AA568" s="6" t="s">
        <v>251</v>
      </c>
      <c r="AB568" s="6" t="s">
        <v>38</v>
      </c>
      <c r="AD568" s="6" t="s">
        <v>39</v>
      </c>
      <c r="AE568" s="6" t="s">
        <v>40</v>
      </c>
      <c r="AG568" s="6" t="s">
        <v>37</v>
      </c>
      <c r="AH568" s="7">
        <v>60</v>
      </c>
      <c r="AI568" s="6" t="s">
        <v>40</v>
      </c>
      <c r="AJ568" s="6" t="s">
        <v>238</v>
      </c>
      <c r="AL568" s="6" t="s">
        <v>41</v>
      </c>
    </row>
    <row r="569" spans="1:39" hidden="1" x14ac:dyDescent="0.25">
      <c r="A569" s="4">
        <v>45798</v>
      </c>
      <c r="B569" s="6" t="s">
        <v>201</v>
      </c>
      <c r="C569" t="str">
        <f>_xlfn.XLOOKUP(Table3[[#This Row],[station]],station_waterbody_county!A:A, station_waterbody_county!B:B)</f>
        <v>Chedabucto Bay</v>
      </c>
      <c r="D569" t="str">
        <f>_xlfn.XLOOKUP(Table3[[#This Row],[station]],station_waterbody_county!A:A, station_waterbody_county!C:C)</f>
        <v>Guysborough</v>
      </c>
      <c r="E569" s="6"/>
      <c r="F569" s="6" t="s">
        <v>34</v>
      </c>
      <c r="G569" s="12">
        <v>45791</v>
      </c>
      <c r="H569" s="5">
        <v>0.60902777777777772</v>
      </c>
      <c r="I569" s="4"/>
      <c r="J569" s="5"/>
      <c r="K569" s="10"/>
      <c r="O569" s="6" t="s">
        <v>1265</v>
      </c>
      <c r="P569" s="6" t="s">
        <v>1266</v>
      </c>
      <c r="S569" s="6" t="s">
        <v>42</v>
      </c>
      <c r="T569" s="11">
        <v>548574</v>
      </c>
      <c r="U569" s="7">
        <v>25</v>
      </c>
      <c r="V569" s="6" t="s">
        <v>36</v>
      </c>
      <c r="W569" s="7">
        <v>30.5</v>
      </c>
      <c r="X569" s="6" t="s">
        <v>35</v>
      </c>
      <c r="Y569" s="7">
        <v>1.3</v>
      </c>
      <c r="Z569" s="7">
        <v>1.5</v>
      </c>
      <c r="AA569" s="6" t="s">
        <v>251</v>
      </c>
      <c r="AB569" s="6" t="s">
        <v>38</v>
      </c>
      <c r="AD569" s="6" t="s">
        <v>39</v>
      </c>
      <c r="AE569" s="6" t="s">
        <v>40</v>
      </c>
      <c r="AG569" s="6" t="s">
        <v>37</v>
      </c>
      <c r="AH569" s="7">
        <v>60</v>
      </c>
      <c r="AI569" s="6" t="s">
        <v>40</v>
      </c>
      <c r="AJ569" s="6" t="s">
        <v>238</v>
      </c>
      <c r="AL569" s="6" t="s">
        <v>41</v>
      </c>
    </row>
    <row r="570" spans="1:39" hidden="1" x14ac:dyDescent="0.25">
      <c r="A570" s="4">
        <v>45798</v>
      </c>
      <c r="B570" s="6" t="s">
        <v>201</v>
      </c>
      <c r="C570" t="str">
        <f>_xlfn.XLOOKUP(Table3[[#This Row],[station]],station_waterbody_county!A:A, station_waterbody_county!B:B)</f>
        <v>Chedabucto Bay</v>
      </c>
      <c r="D570" t="str">
        <f>_xlfn.XLOOKUP(Table3[[#This Row],[station]],station_waterbody_county!A:A, station_waterbody_county!C:C)</f>
        <v>Guysborough</v>
      </c>
      <c r="E570" s="6"/>
      <c r="F570" s="6" t="s">
        <v>34</v>
      </c>
      <c r="G570" s="12">
        <v>45791</v>
      </c>
      <c r="H570" s="5">
        <v>0.60902777777777772</v>
      </c>
      <c r="I570" s="4"/>
      <c r="J570" s="5"/>
      <c r="K570" s="10"/>
      <c r="O570" s="6" t="s">
        <v>1265</v>
      </c>
      <c r="P570" s="6" t="s">
        <v>1266</v>
      </c>
      <c r="S570" s="6" t="s">
        <v>239</v>
      </c>
      <c r="T570" s="11">
        <v>22200683</v>
      </c>
      <c r="U570" s="7">
        <v>25</v>
      </c>
      <c r="V570" s="6" t="s">
        <v>36</v>
      </c>
      <c r="W570" s="7">
        <v>30.5</v>
      </c>
      <c r="X570" s="6" t="s">
        <v>35</v>
      </c>
      <c r="Y570" s="7">
        <v>1.3</v>
      </c>
      <c r="Z570" s="7">
        <v>1.5</v>
      </c>
      <c r="AA570" s="6" t="s">
        <v>251</v>
      </c>
      <c r="AB570" s="6" t="s">
        <v>38</v>
      </c>
      <c r="AD570" s="6" t="s">
        <v>39</v>
      </c>
      <c r="AE570" s="6" t="s">
        <v>40</v>
      </c>
      <c r="AG570" s="6" t="s">
        <v>37</v>
      </c>
      <c r="AH570" s="7">
        <v>60</v>
      </c>
      <c r="AI570" s="6" t="s">
        <v>40</v>
      </c>
      <c r="AJ570" s="6" t="s">
        <v>238</v>
      </c>
      <c r="AL570" s="6" t="s">
        <v>41</v>
      </c>
    </row>
    <row r="571" spans="1:39" x14ac:dyDescent="0.25">
      <c r="A571" s="4">
        <v>45681</v>
      </c>
      <c r="B571" s="6" t="s">
        <v>677</v>
      </c>
      <c r="C571" t="str">
        <f>_xlfn.XLOOKUP(Table3[[#This Row],[station]],station_waterbody_county!A:A, station_waterbody_county!B:B)</f>
        <v>Northumberland Strait</v>
      </c>
      <c r="D571" t="str">
        <f>_xlfn.XLOOKUP(Table3[[#This Row],[station]],station_waterbody_county!A:A, station_waterbody_county!C:C)</f>
        <v>Inverness</v>
      </c>
      <c r="E571" s="6"/>
      <c r="F571" s="6" t="s">
        <v>34</v>
      </c>
      <c r="G571" s="4">
        <v>45569</v>
      </c>
      <c r="H571" s="5">
        <v>0.43611111111111112</v>
      </c>
      <c r="I571" s="4"/>
      <c r="J571" s="5"/>
      <c r="K571" s="10">
        <v>46.092483000000001</v>
      </c>
      <c r="L571" s="10">
        <v>-61.505282999999999</v>
      </c>
      <c r="O571" s="6" t="s">
        <v>679</v>
      </c>
      <c r="P571" s="6" t="s">
        <v>680</v>
      </c>
      <c r="S571" s="6" t="s">
        <v>239</v>
      </c>
      <c r="T571" s="11">
        <v>21927300</v>
      </c>
      <c r="U571" s="7">
        <v>2</v>
      </c>
      <c r="V571" s="6" t="s">
        <v>36</v>
      </c>
      <c r="W571" s="7">
        <v>25</v>
      </c>
      <c r="X571" s="6" t="s">
        <v>35</v>
      </c>
      <c r="Y571" s="7">
        <v>1</v>
      </c>
      <c r="Z571" s="7">
        <v>2</v>
      </c>
      <c r="AA571" s="6" t="s">
        <v>370</v>
      </c>
      <c r="AB571" s="6" t="s">
        <v>38</v>
      </c>
      <c r="AD571" s="6" t="s">
        <v>39</v>
      </c>
      <c r="AE571" s="6"/>
      <c r="AG571" s="6" t="s">
        <v>37</v>
      </c>
      <c r="AH571" s="7">
        <v>60</v>
      </c>
      <c r="AI571" s="6" t="s">
        <v>40</v>
      </c>
      <c r="AJ571" s="6" t="s">
        <v>238</v>
      </c>
      <c r="AK571" s="6" t="s">
        <v>35</v>
      </c>
      <c r="AL571" s="6" t="s">
        <v>668</v>
      </c>
    </row>
    <row r="572" spans="1:39" x14ac:dyDescent="0.25">
      <c r="A572" s="4">
        <v>45681</v>
      </c>
      <c r="B572" s="6" t="s">
        <v>677</v>
      </c>
      <c r="C572" t="str">
        <f>_xlfn.XLOOKUP(Table3[[#This Row],[station]],station_waterbody_county!A:A, station_waterbody_county!B:B)</f>
        <v>Northumberland Strait</v>
      </c>
      <c r="D572" t="str">
        <f>_xlfn.XLOOKUP(Table3[[#This Row],[station]],station_waterbody_county!A:A, station_waterbody_county!C:C)</f>
        <v>Inverness</v>
      </c>
      <c r="E572" s="6"/>
      <c r="F572" s="6" t="s">
        <v>34</v>
      </c>
      <c r="G572" s="4">
        <v>45569</v>
      </c>
      <c r="H572" s="5">
        <v>0.43611111111111112</v>
      </c>
      <c r="I572" s="4"/>
      <c r="J572" s="5"/>
      <c r="K572" s="10">
        <v>46.092483000000001</v>
      </c>
      <c r="L572" s="10">
        <v>-61.505282999999999</v>
      </c>
      <c r="O572" s="6" t="s">
        <v>679</v>
      </c>
      <c r="P572" s="6" t="s">
        <v>680</v>
      </c>
      <c r="S572" s="6" t="s">
        <v>240</v>
      </c>
      <c r="T572" s="11">
        <v>670379</v>
      </c>
      <c r="U572" s="7">
        <v>5</v>
      </c>
      <c r="V572" s="6" t="s">
        <v>36</v>
      </c>
      <c r="W572" s="7">
        <v>25</v>
      </c>
      <c r="X572" s="6" t="s">
        <v>35</v>
      </c>
      <c r="Y572" s="7">
        <v>1</v>
      </c>
      <c r="Z572" s="7">
        <v>2</v>
      </c>
      <c r="AA572" s="6" t="s">
        <v>370</v>
      </c>
      <c r="AB572" s="6" t="s">
        <v>38</v>
      </c>
      <c r="AD572" s="6" t="s">
        <v>39</v>
      </c>
      <c r="AE572" s="6"/>
      <c r="AG572" s="6" t="s">
        <v>37</v>
      </c>
      <c r="AH572" s="7">
        <v>60</v>
      </c>
      <c r="AI572" s="6" t="s">
        <v>40</v>
      </c>
      <c r="AJ572" s="6" t="s">
        <v>238</v>
      </c>
      <c r="AK572" s="6" t="s">
        <v>35</v>
      </c>
      <c r="AL572" s="6" t="s">
        <v>668</v>
      </c>
    </row>
    <row r="573" spans="1:39" x14ac:dyDescent="0.25">
      <c r="A573" s="4">
        <v>45681</v>
      </c>
      <c r="B573" s="6" t="s">
        <v>677</v>
      </c>
      <c r="C573" t="str">
        <f>_xlfn.XLOOKUP(Table3[[#This Row],[station]],station_waterbody_county!A:A, station_waterbody_county!B:B)</f>
        <v>Northumberland Strait</v>
      </c>
      <c r="D573" t="str">
        <f>_xlfn.XLOOKUP(Table3[[#This Row],[station]],station_waterbody_county!A:A, station_waterbody_county!C:C)</f>
        <v>Inverness</v>
      </c>
      <c r="E573" s="6"/>
      <c r="F573" s="6" t="s">
        <v>34</v>
      </c>
      <c r="G573" s="4">
        <v>45569</v>
      </c>
      <c r="H573" s="5">
        <v>0.43611111111111112</v>
      </c>
      <c r="I573" s="4"/>
      <c r="J573" s="5"/>
      <c r="K573" s="10">
        <v>46.092483000000001</v>
      </c>
      <c r="L573" s="10">
        <v>-61.505282999999999</v>
      </c>
      <c r="O573" s="6" t="s">
        <v>679</v>
      </c>
      <c r="P573" s="6" t="s">
        <v>680</v>
      </c>
      <c r="S573" s="6" t="s">
        <v>239</v>
      </c>
      <c r="T573" s="11">
        <v>20330412</v>
      </c>
      <c r="U573" s="7">
        <v>10</v>
      </c>
      <c r="V573" s="6" t="s">
        <v>36</v>
      </c>
      <c r="W573" s="7">
        <v>25</v>
      </c>
      <c r="X573" s="6" t="s">
        <v>35</v>
      </c>
      <c r="Y573" s="7">
        <v>1</v>
      </c>
      <c r="Z573" s="7">
        <v>2</v>
      </c>
      <c r="AA573" s="6" t="s">
        <v>370</v>
      </c>
      <c r="AB573" s="6" t="s">
        <v>38</v>
      </c>
      <c r="AD573" s="6" t="s">
        <v>39</v>
      </c>
      <c r="AE573" s="6"/>
      <c r="AG573" s="6" t="s">
        <v>37</v>
      </c>
      <c r="AH573" s="7">
        <v>60</v>
      </c>
      <c r="AI573" s="6" t="s">
        <v>40</v>
      </c>
      <c r="AJ573" s="6" t="s">
        <v>238</v>
      </c>
      <c r="AK573" s="6" t="s">
        <v>35</v>
      </c>
      <c r="AL573" s="6" t="s">
        <v>668</v>
      </c>
    </row>
    <row r="574" spans="1:39" x14ac:dyDescent="0.25">
      <c r="A574" s="4">
        <v>45681</v>
      </c>
      <c r="B574" s="6" t="s">
        <v>677</v>
      </c>
      <c r="C574" t="str">
        <f>_xlfn.XLOOKUP(Table3[[#This Row],[station]],station_waterbody_county!A:A, station_waterbody_county!B:B)</f>
        <v>Northumberland Strait</v>
      </c>
      <c r="D574" t="str">
        <f>_xlfn.XLOOKUP(Table3[[#This Row],[station]],station_waterbody_county!A:A, station_waterbody_county!C:C)</f>
        <v>Inverness</v>
      </c>
      <c r="E574" s="6"/>
      <c r="F574" s="6" t="s">
        <v>34</v>
      </c>
      <c r="G574" s="4">
        <v>45569</v>
      </c>
      <c r="H574" s="5">
        <v>0.43611111111111112</v>
      </c>
      <c r="I574" s="4"/>
      <c r="J574" s="5"/>
      <c r="K574" s="10">
        <v>46.092483000000001</v>
      </c>
      <c r="L574" s="10">
        <v>-61.505282999999999</v>
      </c>
      <c r="O574" s="6" t="s">
        <v>679</v>
      </c>
      <c r="P574" s="6" t="s">
        <v>680</v>
      </c>
      <c r="S574" s="6" t="s">
        <v>239</v>
      </c>
      <c r="T574" s="11">
        <v>21414888</v>
      </c>
      <c r="U574" s="7">
        <v>15</v>
      </c>
      <c r="V574" s="6" t="s">
        <v>36</v>
      </c>
      <c r="W574" s="7">
        <v>25</v>
      </c>
      <c r="X574" s="6" t="s">
        <v>35</v>
      </c>
      <c r="Y574" s="7">
        <v>1</v>
      </c>
      <c r="Z574" s="7">
        <v>2</v>
      </c>
      <c r="AA574" s="6" t="s">
        <v>370</v>
      </c>
      <c r="AB574" s="6" t="s">
        <v>38</v>
      </c>
      <c r="AD574" s="6" t="s">
        <v>39</v>
      </c>
      <c r="AE574" s="6"/>
      <c r="AG574" s="6" t="s">
        <v>37</v>
      </c>
      <c r="AH574" s="7">
        <v>60</v>
      </c>
      <c r="AI574" s="6" t="s">
        <v>40</v>
      </c>
      <c r="AJ574" s="6" t="s">
        <v>238</v>
      </c>
      <c r="AK574" s="6" t="s">
        <v>35</v>
      </c>
      <c r="AL574" s="6" t="s">
        <v>668</v>
      </c>
    </row>
    <row r="575" spans="1:39" x14ac:dyDescent="0.25">
      <c r="A575" s="4">
        <v>45681</v>
      </c>
      <c r="B575" s="6" t="s">
        <v>677</v>
      </c>
      <c r="C575" t="str">
        <f>_xlfn.XLOOKUP(Table3[[#This Row],[station]],station_waterbody_county!A:A, station_waterbody_county!B:B)</f>
        <v>Northumberland Strait</v>
      </c>
      <c r="D575" t="str">
        <f>_xlfn.XLOOKUP(Table3[[#This Row],[station]],station_waterbody_county!A:A, station_waterbody_county!C:C)</f>
        <v>Inverness</v>
      </c>
      <c r="E575" s="6"/>
      <c r="F575" s="6" t="s">
        <v>34</v>
      </c>
      <c r="G575" s="4">
        <v>45569</v>
      </c>
      <c r="H575" s="5">
        <v>0.43611111111111112</v>
      </c>
      <c r="I575" s="4"/>
      <c r="J575" s="5"/>
      <c r="K575" s="10">
        <v>46.092483000000001</v>
      </c>
      <c r="L575" s="10">
        <v>-61.505282999999999</v>
      </c>
      <c r="O575" s="6" t="s">
        <v>679</v>
      </c>
      <c r="P575" s="6" t="s">
        <v>680</v>
      </c>
      <c r="S575" s="6" t="s">
        <v>42</v>
      </c>
      <c r="T575" s="11">
        <v>548568</v>
      </c>
      <c r="U575" s="7">
        <v>20</v>
      </c>
      <c r="V575" s="6" t="s">
        <v>36</v>
      </c>
      <c r="W575" s="7">
        <v>25</v>
      </c>
      <c r="X575" s="6" t="s">
        <v>35</v>
      </c>
      <c r="Y575" s="7">
        <v>1</v>
      </c>
      <c r="Z575" s="7">
        <v>2</v>
      </c>
      <c r="AA575" s="6" t="s">
        <v>370</v>
      </c>
      <c r="AB575" s="6" t="s">
        <v>38</v>
      </c>
      <c r="AD575" s="6" t="s">
        <v>39</v>
      </c>
      <c r="AE575" s="6"/>
      <c r="AG575" s="6" t="s">
        <v>37</v>
      </c>
      <c r="AH575" s="7">
        <v>60</v>
      </c>
      <c r="AI575" s="6" t="s">
        <v>40</v>
      </c>
      <c r="AJ575" s="6" t="s">
        <v>238</v>
      </c>
      <c r="AK575" s="6" t="s">
        <v>35</v>
      </c>
      <c r="AL575" s="6" t="s">
        <v>668</v>
      </c>
    </row>
    <row r="576" spans="1:39" hidden="1" x14ac:dyDescent="0.25">
      <c r="A576" s="12">
        <v>45455</v>
      </c>
      <c r="B576" s="6" t="s">
        <v>206</v>
      </c>
      <c r="C576" t="str">
        <f>_xlfn.XLOOKUP(Table3[[#This Row],[station]],station_waterbody_county!A:A, station_waterbody_county!B:B)</f>
        <v>St. Marys Bay</v>
      </c>
      <c r="D576" t="str">
        <f>_xlfn.XLOOKUP(Table3[[#This Row],[station]],station_waterbody_county!A:A, station_waterbody_county!C:C)</f>
        <v>Digby</v>
      </c>
      <c r="E576" s="6"/>
      <c r="F576" s="6" t="s">
        <v>310</v>
      </c>
      <c r="G576" s="12">
        <v>45212</v>
      </c>
      <c r="H576" s="5"/>
      <c r="I576" s="4">
        <v>45447</v>
      </c>
      <c r="J576" s="5">
        <v>0.4909722222222222</v>
      </c>
      <c r="K576" s="10">
        <v>44.485619</v>
      </c>
      <c r="L576" s="10">
        <v>-66.059735000000003</v>
      </c>
      <c r="O576" s="6"/>
      <c r="Q576" s="6" t="s">
        <v>373</v>
      </c>
      <c r="R576" s="6" t="s">
        <v>374</v>
      </c>
      <c r="S576" s="6" t="s">
        <v>239</v>
      </c>
      <c r="T576" s="11">
        <v>21043067</v>
      </c>
      <c r="U576" s="7">
        <v>2</v>
      </c>
      <c r="V576" s="6" t="s">
        <v>36</v>
      </c>
      <c r="W576" s="7">
        <v>23.8</v>
      </c>
      <c r="X576" s="6" t="s">
        <v>35</v>
      </c>
      <c r="Y576" s="7">
        <v>4.9000000000000004</v>
      </c>
      <c r="Z576" s="7">
        <v>2</v>
      </c>
      <c r="AA576" s="6"/>
      <c r="AE576" s="6"/>
      <c r="AG576" s="6" t="s">
        <v>256</v>
      </c>
      <c r="AH576" s="7"/>
      <c r="AI576" s="6" t="s">
        <v>40</v>
      </c>
      <c r="AJ576" s="6" t="s">
        <v>238</v>
      </c>
      <c r="AK576" s="6" t="s">
        <v>35</v>
      </c>
      <c r="AL576" s="6" t="s">
        <v>268</v>
      </c>
      <c r="AM576" s="6" t="s">
        <v>41</v>
      </c>
    </row>
    <row r="577" spans="1:40" hidden="1" x14ac:dyDescent="0.25">
      <c r="A577" s="12">
        <v>45455</v>
      </c>
      <c r="B577" s="6" t="s">
        <v>206</v>
      </c>
      <c r="C577" t="str">
        <f>_xlfn.XLOOKUP(Table3[[#This Row],[station]],station_waterbody_county!A:A, station_waterbody_county!B:B)</f>
        <v>St. Marys Bay</v>
      </c>
      <c r="D577" t="str">
        <f>_xlfn.XLOOKUP(Table3[[#This Row],[station]],station_waterbody_county!A:A, station_waterbody_county!C:C)</f>
        <v>Digby</v>
      </c>
      <c r="E577" s="6"/>
      <c r="F577" s="6" t="s">
        <v>310</v>
      </c>
      <c r="G577" s="12">
        <v>45212</v>
      </c>
      <c r="H577" s="5"/>
      <c r="I577" s="4">
        <v>45447</v>
      </c>
      <c r="J577" s="5">
        <v>0.4909722222222222</v>
      </c>
      <c r="K577" s="10">
        <v>44.485619</v>
      </c>
      <c r="L577" s="10">
        <v>-66.059735000000003</v>
      </c>
      <c r="O577" s="6"/>
      <c r="Q577" s="6" t="s">
        <v>373</v>
      </c>
      <c r="R577" s="6" t="s">
        <v>374</v>
      </c>
      <c r="S577" s="6" t="s">
        <v>240</v>
      </c>
      <c r="T577" s="11">
        <v>670287</v>
      </c>
      <c r="U577" s="7">
        <v>5</v>
      </c>
      <c r="V577" s="6" t="s">
        <v>36</v>
      </c>
      <c r="W577" s="7">
        <v>23.8</v>
      </c>
      <c r="X577" s="6" t="s">
        <v>35</v>
      </c>
      <c r="Y577" s="7">
        <v>4.9000000000000004</v>
      </c>
      <c r="Z577" s="7">
        <v>2</v>
      </c>
      <c r="AA577" s="6"/>
      <c r="AE577" s="6"/>
      <c r="AG577" s="6" t="s">
        <v>256</v>
      </c>
      <c r="AH577" s="7"/>
      <c r="AI577" s="6" t="s">
        <v>40</v>
      </c>
      <c r="AJ577" s="6" t="s">
        <v>238</v>
      </c>
      <c r="AK577" s="6" t="s">
        <v>35</v>
      </c>
      <c r="AL577" s="6" t="s">
        <v>268</v>
      </c>
      <c r="AM577" s="6" t="s">
        <v>41</v>
      </c>
    </row>
    <row r="578" spans="1:40" hidden="1" x14ac:dyDescent="0.25">
      <c r="A578" s="12">
        <v>45455</v>
      </c>
      <c r="B578" s="6" t="s">
        <v>206</v>
      </c>
      <c r="C578" t="str">
        <f>_xlfn.XLOOKUP(Table3[[#This Row],[station]],station_waterbody_county!A:A, station_waterbody_county!B:B)</f>
        <v>St. Marys Bay</v>
      </c>
      <c r="D578" t="str">
        <f>_xlfn.XLOOKUP(Table3[[#This Row],[station]],station_waterbody_county!A:A, station_waterbody_county!C:C)</f>
        <v>Digby</v>
      </c>
      <c r="E578" s="6"/>
      <c r="F578" s="6" t="s">
        <v>310</v>
      </c>
      <c r="G578" s="12">
        <v>45212</v>
      </c>
      <c r="H578" s="5"/>
      <c r="I578" s="4">
        <v>45447</v>
      </c>
      <c r="J578" s="5">
        <v>0.4909722222222222</v>
      </c>
      <c r="K578" s="10">
        <v>44.485619</v>
      </c>
      <c r="L578" s="10">
        <v>-66.059735000000003</v>
      </c>
      <c r="O578" s="6"/>
      <c r="Q578" s="6" t="s">
        <v>373</v>
      </c>
      <c r="R578" s="6" t="s">
        <v>374</v>
      </c>
      <c r="S578" s="6" t="s">
        <v>239</v>
      </c>
      <c r="T578" s="11">
        <v>21650143</v>
      </c>
      <c r="U578" s="7">
        <v>10</v>
      </c>
      <c r="V578" s="6" t="s">
        <v>36</v>
      </c>
      <c r="W578" s="7">
        <v>23.8</v>
      </c>
      <c r="X578" s="6" t="s">
        <v>35</v>
      </c>
      <c r="Y578" s="7">
        <v>4.9000000000000004</v>
      </c>
      <c r="Z578" s="7">
        <v>2</v>
      </c>
      <c r="AA578" s="6"/>
      <c r="AE578" s="6"/>
      <c r="AG578" s="6" t="s">
        <v>256</v>
      </c>
      <c r="AH578" s="7"/>
      <c r="AI578" s="6" t="s">
        <v>40</v>
      </c>
      <c r="AJ578" s="6" t="s">
        <v>238</v>
      </c>
      <c r="AK578" s="6" t="s">
        <v>35</v>
      </c>
      <c r="AL578" s="6" t="s">
        <v>268</v>
      </c>
      <c r="AM578" s="6" t="s">
        <v>41</v>
      </c>
    </row>
    <row r="579" spans="1:40" hidden="1" x14ac:dyDescent="0.25">
      <c r="A579" s="12">
        <v>45455</v>
      </c>
      <c r="B579" s="6" t="s">
        <v>206</v>
      </c>
      <c r="C579" t="str">
        <f>_xlfn.XLOOKUP(Table3[[#This Row],[station]],station_waterbody_county!A:A, station_waterbody_county!B:B)</f>
        <v>St. Marys Bay</v>
      </c>
      <c r="D579" t="str">
        <f>_xlfn.XLOOKUP(Table3[[#This Row],[station]],station_waterbody_county!A:A, station_waterbody_county!C:C)</f>
        <v>Digby</v>
      </c>
      <c r="E579" s="6"/>
      <c r="F579" s="6" t="s">
        <v>310</v>
      </c>
      <c r="G579" s="12">
        <v>45212</v>
      </c>
      <c r="H579" s="5"/>
      <c r="I579" s="4">
        <v>45447</v>
      </c>
      <c r="J579" s="5">
        <v>0.4909722222222222</v>
      </c>
      <c r="K579" s="10">
        <v>44.485619</v>
      </c>
      <c r="L579" s="10">
        <v>-66.059735000000003</v>
      </c>
      <c r="O579" s="6"/>
      <c r="Q579" s="6" t="s">
        <v>373</v>
      </c>
      <c r="R579" s="6" t="s">
        <v>374</v>
      </c>
      <c r="S579" s="6" t="s">
        <v>239</v>
      </c>
      <c r="T579" s="11">
        <v>20291449</v>
      </c>
      <c r="U579" s="7">
        <v>15</v>
      </c>
      <c r="V579" s="6" t="s">
        <v>36</v>
      </c>
      <c r="W579" s="7">
        <v>23.8</v>
      </c>
      <c r="X579" s="6" t="s">
        <v>35</v>
      </c>
      <c r="Y579" s="7">
        <v>4.9000000000000004</v>
      </c>
      <c r="Z579" s="7">
        <v>2</v>
      </c>
      <c r="AA579" s="6"/>
      <c r="AE579" s="6"/>
      <c r="AG579" s="6" t="s">
        <v>256</v>
      </c>
      <c r="AH579" s="7"/>
      <c r="AI579" s="6" t="s">
        <v>40</v>
      </c>
      <c r="AJ579" s="6" t="s">
        <v>238</v>
      </c>
      <c r="AK579" s="6" t="s">
        <v>35</v>
      </c>
      <c r="AL579" s="6" t="s">
        <v>268</v>
      </c>
      <c r="AM579" s="6" t="s">
        <v>41</v>
      </c>
    </row>
    <row r="580" spans="1:40" hidden="1" x14ac:dyDescent="0.25">
      <c r="A580" s="12">
        <v>45455</v>
      </c>
      <c r="B580" s="6" t="s">
        <v>206</v>
      </c>
      <c r="C580" t="str">
        <f>_xlfn.XLOOKUP(Table3[[#This Row],[station]],station_waterbody_county!A:A, station_waterbody_county!B:B)</f>
        <v>St. Marys Bay</v>
      </c>
      <c r="D580" t="str">
        <f>_xlfn.XLOOKUP(Table3[[#This Row],[station]],station_waterbody_county!A:A, station_waterbody_county!C:C)</f>
        <v>Digby</v>
      </c>
      <c r="E580" s="6"/>
      <c r="F580" s="6" t="s">
        <v>310</v>
      </c>
      <c r="G580" s="12">
        <v>45212</v>
      </c>
      <c r="H580" s="5"/>
      <c r="I580" s="4">
        <v>45447</v>
      </c>
      <c r="J580" s="5">
        <v>0.4909722222222222</v>
      </c>
      <c r="K580" s="10">
        <v>44.485619</v>
      </c>
      <c r="L580" s="10">
        <v>-66.059735000000003</v>
      </c>
      <c r="O580" s="6"/>
      <c r="Q580" s="6" t="s">
        <v>373</v>
      </c>
      <c r="R580" s="6" t="s">
        <v>374</v>
      </c>
      <c r="S580" s="6" t="s">
        <v>42</v>
      </c>
      <c r="T580" s="11">
        <v>600013</v>
      </c>
      <c r="U580" s="7">
        <v>18</v>
      </c>
      <c r="V580" s="6" t="s">
        <v>36</v>
      </c>
      <c r="W580" s="7">
        <v>23.8</v>
      </c>
      <c r="X580" s="6" t="s">
        <v>35</v>
      </c>
      <c r="Y580" s="7">
        <v>4.9000000000000004</v>
      </c>
      <c r="Z580" s="7">
        <v>2</v>
      </c>
      <c r="AA580" s="6"/>
      <c r="AE580" s="6"/>
      <c r="AG580" s="6" t="s">
        <v>256</v>
      </c>
      <c r="AH580" s="7"/>
      <c r="AI580" s="6" t="s">
        <v>40</v>
      </c>
      <c r="AJ580" s="6" t="s">
        <v>238</v>
      </c>
      <c r="AK580" s="6" t="s">
        <v>35</v>
      </c>
      <c r="AL580" s="6" t="s">
        <v>268</v>
      </c>
      <c r="AM580" s="6" t="s">
        <v>41</v>
      </c>
    </row>
    <row r="581" spans="1:40" x14ac:dyDescent="0.25">
      <c r="A581" s="4">
        <v>45818</v>
      </c>
      <c r="B581" s="6" t="s">
        <v>206</v>
      </c>
      <c r="C581" t="str">
        <f>_xlfn.XLOOKUP(Table3[[#This Row],[station]],station_waterbody_county!A:A, station_waterbody_county!B:B)</f>
        <v>St. Marys Bay</v>
      </c>
      <c r="D581" t="str">
        <f>_xlfn.XLOOKUP(Table3[[#This Row],[station]],station_waterbody_county!A:A, station_waterbody_county!C:C)</f>
        <v>Digby</v>
      </c>
      <c r="E581" s="6"/>
      <c r="F581" s="6" t="s">
        <v>310</v>
      </c>
      <c r="G581" s="4">
        <v>45526</v>
      </c>
      <c r="H581" s="5">
        <v>0.57638888888888884</v>
      </c>
      <c r="I581" s="4">
        <v>45811</v>
      </c>
      <c r="J581" s="5">
        <v>0.59236111111111112</v>
      </c>
      <c r="K581" s="10"/>
      <c r="O581" s="6" t="s">
        <v>457</v>
      </c>
      <c r="P581" s="6" t="s">
        <v>458</v>
      </c>
      <c r="Q581" s="6" t="s">
        <v>1313</v>
      </c>
      <c r="R581" s="6" t="s">
        <v>1314</v>
      </c>
      <c r="S581" s="6" t="s">
        <v>239</v>
      </c>
      <c r="T581" s="11">
        <v>20291479</v>
      </c>
      <c r="U581" s="7">
        <v>2</v>
      </c>
      <c r="V581" s="6" t="s">
        <v>36</v>
      </c>
      <c r="W581" s="7">
        <v>19.8</v>
      </c>
      <c r="X581" s="6" t="s">
        <v>35</v>
      </c>
      <c r="Y581" s="7">
        <v>3.5</v>
      </c>
      <c r="Z581" s="7">
        <v>0.5</v>
      </c>
      <c r="AA581" s="6" t="s">
        <v>243</v>
      </c>
      <c r="AB581" s="6" t="s">
        <v>38</v>
      </c>
      <c r="AD581" s="6" t="s">
        <v>39</v>
      </c>
      <c r="AE581" s="6"/>
      <c r="AG581" s="6" t="s">
        <v>256</v>
      </c>
      <c r="AH581" s="7">
        <v>69</v>
      </c>
      <c r="AI581" s="6" t="s">
        <v>40</v>
      </c>
      <c r="AJ581" s="6" t="s">
        <v>238</v>
      </c>
      <c r="AL581" s="6" t="s">
        <v>41</v>
      </c>
      <c r="AM581" s="6" t="s">
        <v>41</v>
      </c>
      <c r="AN581" s="6" t="s">
        <v>1315</v>
      </c>
    </row>
    <row r="582" spans="1:40" x14ac:dyDescent="0.25">
      <c r="A582" s="4">
        <v>45818</v>
      </c>
      <c r="B582" s="6" t="s">
        <v>206</v>
      </c>
      <c r="C582" t="str">
        <f>_xlfn.XLOOKUP(Table3[[#This Row],[station]],station_waterbody_county!A:A, station_waterbody_county!B:B)</f>
        <v>St. Marys Bay</v>
      </c>
      <c r="D582" t="str">
        <f>_xlfn.XLOOKUP(Table3[[#This Row],[station]],station_waterbody_county!A:A, station_waterbody_county!C:C)</f>
        <v>Digby</v>
      </c>
      <c r="E582" s="6"/>
      <c r="F582" s="6" t="s">
        <v>310</v>
      </c>
      <c r="G582" s="4">
        <v>45526</v>
      </c>
      <c r="H582" s="5">
        <v>0.57638888888888884</v>
      </c>
      <c r="I582" s="4">
        <v>45811</v>
      </c>
      <c r="J582" s="5">
        <v>0.59236111111111112</v>
      </c>
      <c r="K582" s="10"/>
      <c r="O582" s="6" t="s">
        <v>457</v>
      </c>
      <c r="P582" s="6" t="s">
        <v>458</v>
      </c>
      <c r="Q582" s="6" t="s">
        <v>1313</v>
      </c>
      <c r="R582" s="6" t="s">
        <v>1314</v>
      </c>
      <c r="S582" s="6" t="s">
        <v>240</v>
      </c>
      <c r="T582" s="11">
        <v>670362</v>
      </c>
      <c r="U582" s="7">
        <v>5</v>
      </c>
      <c r="V582" s="6" t="s">
        <v>36</v>
      </c>
      <c r="W582" s="7">
        <v>19.8</v>
      </c>
      <c r="X582" s="6" t="s">
        <v>35</v>
      </c>
      <c r="Y582" s="7">
        <v>3.5</v>
      </c>
      <c r="Z582" s="7">
        <v>0.5</v>
      </c>
      <c r="AA582" s="6" t="s">
        <v>243</v>
      </c>
      <c r="AB582" s="6" t="s">
        <v>38</v>
      </c>
      <c r="AD582" s="6" t="s">
        <v>39</v>
      </c>
      <c r="AE582" s="6"/>
      <c r="AG582" s="6" t="s">
        <v>256</v>
      </c>
      <c r="AH582" s="7">
        <v>69</v>
      </c>
      <c r="AI582" s="6" t="s">
        <v>40</v>
      </c>
      <c r="AJ582" s="6" t="s">
        <v>238</v>
      </c>
      <c r="AL582" s="6" t="s">
        <v>41</v>
      </c>
      <c r="AM582" s="6" t="s">
        <v>41</v>
      </c>
    </row>
    <row r="583" spans="1:40" x14ac:dyDescent="0.25">
      <c r="A583" s="4">
        <v>45818</v>
      </c>
      <c r="B583" s="6" t="s">
        <v>206</v>
      </c>
      <c r="C583" t="str">
        <f>_xlfn.XLOOKUP(Table3[[#This Row],[station]],station_waterbody_county!A:A, station_waterbody_county!B:B)</f>
        <v>St. Marys Bay</v>
      </c>
      <c r="D583" t="str">
        <f>_xlfn.XLOOKUP(Table3[[#This Row],[station]],station_waterbody_county!A:A, station_waterbody_county!C:C)</f>
        <v>Digby</v>
      </c>
      <c r="E583" s="6"/>
      <c r="F583" s="6" t="s">
        <v>310</v>
      </c>
      <c r="G583" s="4">
        <v>45526</v>
      </c>
      <c r="H583" s="5">
        <v>0.57638888888888884</v>
      </c>
      <c r="I583" s="4">
        <v>45811</v>
      </c>
      <c r="J583" s="5">
        <v>0.59236111111111112</v>
      </c>
      <c r="K583" s="10"/>
      <c r="O583" s="6" t="s">
        <v>457</v>
      </c>
      <c r="P583" s="6" t="s">
        <v>458</v>
      </c>
      <c r="Q583" s="6" t="s">
        <v>1313</v>
      </c>
      <c r="R583" s="6" t="s">
        <v>1314</v>
      </c>
      <c r="S583" s="6" t="s">
        <v>239</v>
      </c>
      <c r="T583" s="11">
        <v>20495228</v>
      </c>
      <c r="U583" s="7">
        <v>10</v>
      </c>
      <c r="V583" s="6" t="s">
        <v>36</v>
      </c>
      <c r="W583" s="7">
        <v>19.8</v>
      </c>
      <c r="X583" s="6" t="s">
        <v>35</v>
      </c>
      <c r="Y583" s="7">
        <v>3.5</v>
      </c>
      <c r="Z583" s="7">
        <v>0.5</v>
      </c>
      <c r="AA583" s="6" t="s">
        <v>243</v>
      </c>
      <c r="AB583" s="6" t="s">
        <v>38</v>
      </c>
      <c r="AD583" s="6" t="s">
        <v>39</v>
      </c>
      <c r="AE583" s="6"/>
      <c r="AG583" s="6" t="s">
        <v>256</v>
      </c>
      <c r="AH583" s="7">
        <v>69</v>
      </c>
      <c r="AI583" s="6" t="s">
        <v>40</v>
      </c>
      <c r="AJ583" s="6" t="s">
        <v>238</v>
      </c>
      <c r="AL583" s="6" t="s">
        <v>41</v>
      </c>
      <c r="AM583" s="6" t="s">
        <v>41</v>
      </c>
    </row>
    <row r="584" spans="1:40" x14ac:dyDescent="0.25">
      <c r="A584" s="4">
        <v>45818</v>
      </c>
      <c r="B584" s="6" t="s">
        <v>206</v>
      </c>
      <c r="C584" t="str">
        <f>_xlfn.XLOOKUP(Table3[[#This Row],[station]],station_waterbody_county!A:A, station_waterbody_county!B:B)</f>
        <v>St. Marys Bay</v>
      </c>
      <c r="D584" t="str">
        <f>_xlfn.XLOOKUP(Table3[[#This Row],[station]],station_waterbody_county!A:A, station_waterbody_county!C:C)</f>
        <v>Digby</v>
      </c>
      <c r="E584" s="6"/>
      <c r="F584" s="6" t="s">
        <v>310</v>
      </c>
      <c r="G584" s="4">
        <v>45526</v>
      </c>
      <c r="H584" s="5">
        <v>0.57638888888888884</v>
      </c>
      <c r="I584" s="4">
        <v>45811</v>
      </c>
      <c r="J584" s="5">
        <v>0.59236111111111112</v>
      </c>
      <c r="K584" s="10"/>
      <c r="O584" s="6" t="s">
        <v>457</v>
      </c>
      <c r="P584" s="6" t="s">
        <v>458</v>
      </c>
      <c r="Q584" s="6" t="s">
        <v>1313</v>
      </c>
      <c r="R584" s="6" t="s">
        <v>1314</v>
      </c>
      <c r="S584" s="6" t="s">
        <v>239</v>
      </c>
      <c r="T584" s="11">
        <v>21650146</v>
      </c>
      <c r="U584" s="7">
        <v>15</v>
      </c>
      <c r="V584" s="6" t="s">
        <v>36</v>
      </c>
      <c r="W584" s="7">
        <v>19.8</v>
      </c>
      <c r="X584" s="6" t="s">
        <v>35</v>
      </c>
      <c r="Y584" s="7">
        <v>3.5</v>
      </c>
      <c r="Z584" s="7">
        <v>0.5</v>
      </c>
      <c r="AA584" s="6" t="s">
        <v>243</v>
      </c>
      <c r="AB584" s="6" t="s">
        <v>38</v>
      </c>
      <c r="AD584" s="6" t="s">
        <v>39</v>
      </c>
      <c r="AE584" s="6"/>
      <c r="AG584" s="6" t="s">
        <v>256</v>
      </c>
      <c r="AH584" s="7">
        <v>69</v>
      </c>
      <c r="AI584" s="6" t="s">
        <v>40</v>
      </c>
      <c r="AJ584" s="6" t="s">
        <v>238</v>
      </c>
      <c r="AL584" s="6" t="s">
        <v>41</v>
      </c>
      <c r="AM584" s="6" t="s">
        <v>41</v>
      </c>
    </row>
    <row r="585" spans="1:40" x14ac:dyDescent="0.25">
      <c r="A585" s="4">
        <v>45818</v>
      </c>
      <c r="B585" s="6" t="s">
        <v>206</v>
      </c>
      <c r="C585" t="str">
        <f>_xlfn.XLOOKUP(Table3[[#This Row],[station]],station_waterbody_county!A:A, station_waterbody_county!B:B)</f>
        <v>St. Marys Bay</v>
      </c>
      <c r="D585" t="str">
        <f>_xlfn.XLOOKUP(Table3[[#This Row],[station]],station_waterbody_county!A:A, station_waterbody_county!C:C)</f>
        <v>Digby</v>
      </c>
      <c r="E585" s="6"/>
      <c r="F585" s="6" t="s">
        <v>310</v>
      </c>
      <c r="G585" s="4">
        <v>45526</v>
      </c>
      <c r="H585" s="5">
        <v>0.57638888888888884</v>
      </c>
      <c r="I585" s="4">
        <v>45811</v>
      </c>
      <c r="J585" s="5">
        <v>0.59236111111111112</v>
      </c>
      <c r="K585" s="10"/>
      <c r="O585" s="6" t="s">
        <v>457</v>
      </c>
      <c r="P585" s="6" t="s">
        <v>458</v>
      </c>
      <c r="Q585" s="6" t="s">
        <v>1313</v>
      </c>
      <c r="R585" s="6" t="s">
        <v>1314</v>
      </c>
      <c r="S585" s="6" t="s">
        <v>42</v>
      </c>
      <c r="T585" s="11">
        <v>548588</v>
      </c>
      <c r="U585" s="7">
        <v>18</v>
      </c>
      <c r="V585" s="6" t="s">
        <v>36</v>
      </c>
      <c r="W585" s="7">
        <v>19.8</v>
      </c>
      <c r="X585" s="6" t="s">
        <v>35</v>
      </c>
      <c r="Y585" s="7">
        <v>3.5</v>
      </c>
      <c r="Z585" s="7">
        <v>0.5</v>
      </c>
      <c r="AA585" s="6" t="s">
        <v>243</v>
      </c>
      <c r="AB585" s="6" t="s">
        <v>38</v>
      </c>
      <c r="AD585" s="6" t="s">
        <v>39</v>
      </c>
      <c r="AE585" s="6"/>
      <c r="AG585" s="6" t="s">
        <v>256</v>
      </c>
      <c r="AH585" s="7">
        <v>69</v>
      </c>
      <c r="AI585" s="6" t="s">
        <v>40</v>
      </c>
      <c r="AJ585" s="6" t="s">
        <v>238</v>
      </c>
      <c r="AL585" s="6" t="s">
        <v>41</v>
      </c>
      <c r="AM585" s="6" t="s">
        <v>41</v>
      </c>
    </row>
    <row r="586" spans="1:40" hidden="1" x14ac:dyDescent="0.25">
      <c r="A586" s="4">
        <v>45890</v>
      </c>
      <c r="B586" s="6" t="s">
        <v>206</v>
      </c>
      <c r="C586" s="6" t="str">
        <f>_xlfn.XLOOKUP(Table3[[#This Row],[station]],station_waterbody_county!A:A, station_waterbody_county!B:B)</f>
        <v>St. Marys Bay</v>
      </c>
      <c r="D586" s="3" t="str">
        <f>_xlfn.XLOOKUP(Table3[[#This Row],[station]],station_waterbody_county!A:A, station_waterbody_county!C:C)</f>
        <v>Digby</v>
      </c>
      <c r="E586" s="6"/>
      <c r="F586" s="6" t="s">
        <v>34</v>
      </c>
      <c r="G586" s="12">
        <v>45888</v>
      </c>
      <c r="H586" s="5">
        <v>0.58263888888888893</v>
      </c>
      <c r="I586" s="4"/>
      <c r="J586" s="5"/>
      <c r="K586" s="10"/>
      <c r="O586" s="6" t="s">
        <v>1418</v>
      </c>
      <c r="P586" s="6" t="s">
        <v>1419</v>
      </c>
      <c r="S586" s="6" t="s">
        <v>239</v>
      </c>
      <c r="T586" s="11">
        <v>20900983</v>
      </c>
      <c r="U586" s="7">
        <v>2</v>
      </c>
      <c r="V586" s="6" t="s">
        <v>36</v>
      </c>
      <c r="W586" s="7">
        <v>22.6</v>
      </c>
      <c r="X586" s="6" t="s">
        <v>35</v>
      </c>
      <c r="Y586" s="7">
        <v>3.5</v>
      </c>
      <c r="Z586" s="7">
        <v>0.5</v>
      </c>
      <c r="AA586" s="6" t="s">
        <v>251</v>
      </c>
      <c r="AB586" s="6" t="s">
        <v>1413</v>
      </c>
      <c r="AD586" s="6" t="s">
        <v>39</v>
      </c>
      <c r="AE586" s="6" t="s">
        <v>1244</v>
      </c>
      <c r="AF586" s="11">
        <v>1</v>
      </c>
      <c r="AG586" s="6" t="s">
        <v>37</v>
      </c>
      <c r="AH586" s="7">
        <v>60</v>
      </c>
      <c r="AI586" s="6" t="s">
        <v>40</v>
      </c>
      <c r="AJ586" s="6" t="s">
        <v>238</v>
      </c>
      <c r="AK586" s="6" t="s">
        <v>241</v>
      </c>
      <c r="AL586" s="6" t="s">
        <v>41</v>
      </c>
    </row>
    <row r="587" spans="1:40" hidden="1" x14ac:dyDescent="0.25">
      <c r="A587" s="4">
        <v>45890</v>
      </c>
      <c r="B587" s="6" t="s">
        <v>206</v>
      </c>
      <c r="C587" s="6" t="str">
        <f>_xlfn.XLOOKUP(Table3[[#This Row],[station]],station_waterbody_county!A:A, station_waterbody_county!B:B)</f>
        <v>St. Marys Bay</v>
      </c>
      <c r="D587" s="3" t="str">
        <f>_xlfn.XLOOKUP(Table3[[#This Row],[station]],station_waterbody_county!A:A, station_waterbody_county!C:C)</f>
        <v>Digby</v>
      </c>
      <c r="E587" s="6"/>
      <c r="F587" s="6" t="s">
        <v>34</v>
      </c>
      <c r="G587" s="12">
        <v>45888</v>
      </c>
      <c r="H587" s="5">
        <v>0.58263888888888893</v>
      </c>
      <c r="I587" s="4"/>
      <c r="J587" s="5"/>
      <c r="K587" s="10"/>
      <c r="O587" s="6" t="s">
        <v>1418</v>
      </c>
      <c r="P587" s="6" t="s">
        <v>1419</v>
      </c>
      <c r="S587" s="6" t="s">
        <v>240</v>
      </c>
      <c r="T587" s="11">
        <v>671390</v>
      </c>
      <c r="U587" s="7">
        <v>5</v>
      </c>
      <c r="V587" s="6" t="s">
        <v>36</v>
      </c>
      <c r="W587" s="7">
        <v>22.6</v>
      </c>
      <c r="X587" s="6" t="s">
        <v>35</v>
      </c>
      <c r="Y587" s="7">
        <v>3.5</v>
      </c>
      <c r="Z587" s="7">
        <v>0.5</v>
      </c>
      <c r="AA587" s="6" t="s">
        <v>251</v>
      </c>
      <c r="AB587" s="6" t="s">
        <v>1413</v>
      </c>
      <c r="AD587" s="6" t="s">
        <v>39</v>
      </c>
      <c r="AE587" s="6" t="s">
        <v>1244</v>
      </c>
      <c r="AF587" s="11">
        <v>1</v>
      </c>
      <c r="AG587" s="6" t="s">
        <v>37</v>
      </c>
      <c r="AH587" s="7">
        <v>60</v>
      </c>
      <c r="AI587" s="6" t="s">
        <v>40</v>
      </c>
      <c r="AJ587" s="6" t="s">
        <v>238</v>
      </c>
      <c r="AK587" s="6" t="s">
        <v>241</v>
      </c>
      <c r="AL587" s="6" t="s">
        <v>41</v>
      </c>
    </row>
    <row r="588" spans="1:40" hidden="1" x14ac:dyDescent="0.25">
      <c r="A588" s="4">
        <v>45890</v>
      </c>
      <c r="B588" s="6" t="s">
        <v>206</v>
      </c>
      <c r="C588" s="6" t="str">
        <f>_xlfn.XLOOKUP(Table3[[#This Row],[station]],station_waterbody_county!A:A, station_waterbody_county!B:B)</f>
        <v>St. Marys Bay</v>
      </c>
      <c r="D588" s="3" t="str">
        <f>_xlfn.XLOOKUP(Table3[[#This Row],[station]],station_waterbody_county!A:A, station_waterbody_county!C:C)</f>
        <v>Digby</v>
      </c>
      <c r="E588" s="6"/>
      <c r="F588" s="6" t="s">
        <v>34</v>
      </c>
      <c r="G588" s="12">
        <v>45888</v>
      </c>
      <c r="H588" s="5">
        <v>0.58263888888888893</v>
      </c>
      <c r="I588" s="4"/>
      <c r="J588" s="5"/>
      <c r="K588" s="10"/>
      <c r="O588" s="6" t="s">
        <v>1418</v>
      </c>
      <c r="P588" s="6" t="s">
        <v>1419</v>
      </c>
      <c r="S588" s="6" t="s">
        <v>239</v>
      </c>
      <c r="T588" s="11">
        <v>20495236</v>
      </c>
      <c r="U588" s="7">
        <v>10</v>
      </c>
      <c r="V588" s="6" t="s">
        <v>36</v>
      </c>
      <c r="W588" s="7">
        <v>22.6</v>
      </c>
      <c r="X588" s="6" t="s">
        <v>35</v>
      </c>
      <c r="Y588" s="7">
        <v>3.5</v>
      </c>
      <c r="Z588" s="7">
        <v>0.5</v>
      </c>
      <c r="AA588" s="6" t="s">
        <v>251</v>
      </c>
      <c r="AB588" s="6" t="s">
        <v>1413</v>
      </c>
      <c r="AD588" s="6" t="s">
        <v>39</v>
      </c>
      <c r="AE588" s="6" t="s">
        <v>1244</v>
      </c>
      <c r="AF588" s="11">
        <v>1</v>
      </c>
      <c r="AG588" s="6" t="s">
        <v>37</v>
      </c>
      <c r="AH588" s="7">
        <v>60</v>
      </c>
      <c r="AI588" s="6" t="s">
        <v>40</v>
      </c>
      <c r="AJ588" s="6" t="s">
        <v>238</v>
      </c>
      <c r="AK588" s="6" t="s">
        <v>241</v>
      </c>
      <c r="AL588" s="6" t="s">
        <v>41</v>
      </c>
    </row>
    <row r="589" spans="1:40" hidden="1" x14ac:dyDescent="0.25">
      <c r="A589" s="4">
        <v>45890</v>
      </c>
      <c r="B589" s="6" t="s">
        <v>206</v>
      </c>
      <c r="C589" s="6" t="str">
        <f>_xlfn.XLOOKUP(Table3[[#This Row],[station]],station_waterbody_county!A:A, station_waterbody_county!B:B)</f>
        <v>St. Marys Bay</v>
      </c>
      <c r="D589" s="3" t="str">
        <f>_xlfn.XLOOKUP(Table3[[#This Row],[station]],station_waterbody_county!A:A, station_waterbody_county!C:C)</f>
        <v>Digby</v>
      </c>
      <c r="E589" s="6"/>
      <c r="F589" s="6" t="s">
        <v>34</v>
      </c>
      <c r="G589" s="12">
        <v>45888</v>
      </c>
      <c r="H589" s="5">
        <v>0.58263888888888893</v>
      </c>
      <c r="I589" s="4"/>
      <c r="J589" s="5"/>
      <c r="K589" s="10"/>
      <c r="O589" s="6" t="s">
        <v>1418</v>
      </c>
      <c r="P589" s="6" t="s">
        <v>1419</v>
      </c>
      <c r="S589" s="6" t="s">
        <v>239</v>
      </c>
      <c r="T589" s="11">
        <v>22285933</v>
      </c>
      <c r="U589" s="7">
        <v>15</v>
      </c>
      <c r="V589" s="6" t="s">
        <v>36</v>
      </c>
      <c r="W589" s="7">
        <v>22.6</v>
      </c>
      <c r="X589" s="6" t="s">
        <v>35</v>
      </c>
      <c r="Y589" s="7">
        <v>3.5</v>
      </c>
      <c r="Z589" s="7">
        <v>0.5</v>
      </c>
      <c r="AA589" s="6" t="s">
        <v>251</v>
      </c>
      <c r="AB589" s="6" t="s">
        <v>1413</v>
      </c>
      <c r="AD589" s="6" t="s">
        <v>39</v>
      </c>
      <c r="AE589" s="6" t="s">
        <v>1244</v>
      </c>
      <c r="AF589" s="11">
        <v>1</v>
      </c>
      <c r="AG589" s="6" t="s">
        <v>37</v>
      </c>
      <c r="AH589" s="7">
        <v>60</v>
      </c>
      <c r="AI589" s="6" t="s">
        <v>40</v>
      </c>
      <c r="AJ589" s="6" t="s">
        <v>238</v>
      </c>
      <c r="AK589" s="6" t="s">
        <v>241</v>
      </c>
      <c r="AL589" s="6" t="s">
        <v>41</v>
      </c>
    </row>
    <row r="590" spans="1:40" hidden="1" x14ac:dyDescent="0.25">
      <c r="A590" s="4">
        <v>45890</v>
      </c>
      <c r="B590" s="6" t="s">
        <v>206</v>
      </c>
      <c r="C590" s="6" t="str">
        <f>_xlfn.XLOOKUP(Table3[[#This Row],[station]],station_waterbody_county!A:A, station_waterbody_county!B:B)</f>
        <v>St. Marys Bay</v>
      </c>
      <c r="D590" s="3" t="str">
        <f>_xlfn.XLOOKUP(Table3[[#This Row],[station]],station_waterbody_county!A:A, station_waterbody_county!C:C)</f>
        <v>Digby</v>
      </c>
      <c r="E590" s="6"/>
      <c r="F590" s="6" t="s">
        <v>34</v>
      </c>
      <c r="G590" s="12">
        <v>45888</v>
      </c>
      <c r="H590" s="5">
        <v>0.58263888888888893</v>
      </c>
      <c r="I590" s="4"/>
      <c r="J590" s="5"/>
      <c r="K590" s="10"/>
      <c r="O590" s="6" t="s">
        <v>1418</v>
      </c>
      <c r="P590" s="6" t="s">
        <v>1419</v>
      </c>
      <c r="S590" s="6" t="s">
        <v>42</v>
      </c>
      <c r="T590" s="11">
        <v>548577</v>
      </c>
      <c r="U590" s="7">
        <v>18</v>
      </c>
      <c r="V590" s="6" t="s">
        <v>36</v>
      </c>
      <c r="W590" s="7">
        <v>22.6</v>
      </c>
      <c r="X590" s="6" t="s">
        <v>35</v>
      </c>
      <c r="Y590" s="7">
        <v>3.5</v>
      </c>
      <c r="Z590" s="7">
        <v>0.5</v>
      </c>
      <c r="AA590" s="6" t="s">
        <v>251</v>
      </c>
      <c r="AB590" s="6" t="s">
        <v>1413</v>
      </c>
      <c r="AD590" s="6" t="s">
        <v>39</v>
      </c>
      <c r="AE590" s="6" t="s">
        <v>1244</v>
      </c>
      <c r="AF590" s="11">
        <v>1</v>
      </c>
      <c r="AG590" s="6" t="s">
        <v>37</v>
      </c>
      <c r="AH590" s="7">
        <v>60</v>
      </c>
      <c r="AI590" s="6" t="s">
        <v>40</v>
      </c>
      <c r="AJ590" s="6" t="s">
        <v>238</v>
      </c>
      <c r="AK590" s="6" t="s">
        <v>241</v>
      </c>
      <c r="AL590" s="6" t="s">
        <v>41</v>
      </c>
    </row>
    <row r="591" spans="1:40" hidden="1" x14ac:dyDescent="0.25">
      <c r="A591" s="4">
        <v>45890</v>
      </c>
      <c r="B591" s="6" t="s">
        <v>206</v>
      </c>
      <c r="C591" s="6" t="str">
        <f>_xlfn.XLOOKUP(Table3[[#This Row],[station]],station_waterbody_county!A:A, station_waterbody_county!B:B)</f>
        <v>St. Marys Bay</v>
      </c>
      <c r="D591" s="3" t="str">
        <f>_xlfn.XLOOKUP(Table3[[#This Row],[station]],station_waterbody_county!A:A, station_waterbody_county!C:C)</f>
        <v>Digby</v>
      </c>
      <c r="E591" s="6"/>
      <c r="F591" s="6" t="s">
        <v>34</v>
      </c>
      <c r="G591" s="12">
        <v>45888</v>
      </c>
      <c r="H591" s="5">
        <v>0.58263888888888893</v>
      </c>
      <c r="I591" s="4"/>
      <c r="J591" s="5"/>
      <c r="K591" s="10"/>
      <c r="O591" s="6" t="s">
        <v>1418</v>
      </c>
      <c r="P591" s="6" t="s">
        <v>1419</v>
      </c>
      <c r="S591" s="6" t="s">
        <v>239</v>
      </c>
      <c r="T591" s="11">
        <v>22309989</v>
      </c>
      <c r="U591" s="7">
        <v>18</v>
      </c>
      <c r="V591" s="6" t="s">
        <v>36</v>
      </c>
      <c r="W591" s="7">
        <v>22.6</v>
      </c>
      <c r="X591" s="6" t="s">
        <v>35</v>
      </c>
      <c r="Y591" s="7">
        <v>3.5</v>
      </c>
      <c r="Z591" s="7">
        <v>0.5</v>
      </c>
      <c r="AA591" s="6" t="s">
        <v>251</v>
      </c>
      <c r="AB591" s="6" t="s">
        <v>1413</v>
      </c>
      <c r="AD591" s="6" t="s">
        <v>39</v>
      </c>
      <c r="AE591" s="6" t="s">
        <v>1244</v>
      </c>
      <c r="AF591" s="11">
        <v>1</v>
      </c>
      <c r="AG591" s="6" t="s">
        <v>37</v>
      </c>
      <c r="AH591" s="7">
        <v>60</v>
      </c>
      <c r="AI591" s="6" t="s">
        <v>40</v>
      </c>
      <c r="AJ591" s="6" t="s">
        <v>238</v>
      </c>
      <c r="AK591" s="6" t="s">
        <v>241</v>
      </c>
      <c r="AL591" s="6" t="s">
        <v>41</v>
      </c>
    </row>
    <row r="592" spans="1:40" x14ac:dyDescent="0.25">
      <c r="A592" s="4">
        <v>45944</v>
      </c>
      <c r="B592" s="6" t="s">
        <v>208</v>
      </c>
      <c r="C592" t="str">
        <f>_xlfn.XLOOKUP(Table3[[#This Row],[station]],station_waterbody_county!A:A, station_waterbody_county!B:B)</f>
        <v>Dover Bay</v>
      </c>
      <c r="D592" t="str">
        <f>_xlfn.XLOOKUP(Table3[[#This Row],[station]],station_waterbody_county!A:A, station_waterbody_county!C:C)</f>
        <v>Guysborough</v>
      </c>
      <c r="E592" s="6"/>
      <c r="F592" s="6" t="s">
        <v>310</v>
      </c>
      <c r="G592" s="4">
        <v>45603</v>
      </c>
      <c r="H592" s="5">
        <v>0.64166666666666672</v>
      </c>
      <c r="I592" s="4">
        <v>45925</v>
      </c>
      <c r="J592" s="5">
        <v>0.59444444444444444</v>
      </c>
      <c r="K592" s="10"/>
      <c r="O592" s="6" t="s">
        <v>579</v>
      </c>
      <c r="P592" s="6" t="s">
        <v>580</v>
      </c>
      <c r="Q592" s="6" t="s">
        <v>1478</v>
      </c>
      <c r="R592" s="6" t="s">
        <v>580</v>
      </c>
      <c r="S592" s="6" t="s">
        <v>239</v>
      </c>
      <c r="T592" s="11">
        <v>22055887</v>
      </c>
      <c r="U592" s="7">
        <v>2</v>
      </c>
      <c r="V592" s="6" t="s">
        <v>36</v>
      </c>
      <c r="W592" s="7">
        <v>26.5</v>
      </c>
      <c r="X592" s="6" t="s">
        <v>35</v>
      </c>
      <c r="Y592" s="7">
        <v>1.3</v>
      </c>
      <c r="Z592" s="7">
        <v>1</v>
      </c>
      <c r="AA592" s="6" t="s">
        <v>243</v>
      </c>
      <c r="AB592" s="6" t="s">
        <v>321</v>
      </c>
      <c r="AD592" s="6" t="s">
        <v>39</v>
      </c>
      <c r="AE592" s="6"/>
      <c r="AG592" s="6" t="s">
        <v>37</v>
      </c>
      <c r="AH592" s="7">
        <v>60</v>
      </c>
      <c r="AI592" s="6" t="s">
        <v>40</v>
      </c>
      <c r="AJ592" s="6" t="s">
        <v>238</v>
      </c>
      <c r="AK592" s="6" t="s">
        <v>35</v>
      </c>
      <c r="AL592" s="6" t="s">
        <v>41</v>
      </c>
      <c r="AM592" s="6" t="s">
        <v>41</v>
      </c>
      <c r="AN592" s="6" t="s">
        <v>584</v>
      </c>
    </row>
    <row r="593" spans="1:40" x14ac:dyDescent="0.25">
      <c r="A593" s="4">
        <v>45944</v>
      </c>
      <c r="B593" s="6" t="s">
        <v>208</v>
      </c>
      <c r="C593" t="str">
        <f>_xlfn.XLOOKUP(Table3[[#This Row],[station]],station_waterbody_county!A:A, station_waterbody_county!B:B)</f>
        <v>Dover Bay</v>
      </c>
      <c r="D593" t="str">
        <f>_xlfn.XLOOKUP(Table3[[#This Row],[station]],station_waterbody_county!A:A, station_waterbody_county!C:C)</f>
        <v>Guysborough</v>
      </c>
      <c r="E593" s="6"/>
      <c r="F593" s="6" t="s">
        <v>310</v>
      </c>
      <c r="G593" s="4">
        <v>45603</v>
      </c>
      <c r="H593" s="5">
        <v>0.64166666666666672</v>
      </c>
      <c r="I593" s="4">
        <v>45925</v>
      </c>
      <c r="J593" s="5">
        <v>0.59444444444444444</v>
      </c>
      <c r="K593" s="10"/>
      <c r="O593" s="6" t="s">
        <v>579</v>
      </c>
      <c r="P593" s="6" t="s">
        <v>580</v>
      </c>
      <c r="Q593" s="6" t="s">
        <v>1478</v>
      </c>
      <c r="R593" s="6" t="s">
        <v>580</v>
      </c>
      <c r="S593" s="6" t="s">
        <v>240</v>
      </c>
      <c r="T593" s="11">
        <v>671429</v>
      </c>
      <c r="U593" s="7">
        <v>5</v>
      </c>
      <c r="V593" s="6" t="s">
        <v>36</v>
      </c>
      <c r="W593" s="7">
        <v>26.5</v>
      </c>
      <c r="X593" s="6" t="s">
        <v>35</v>
      </c>
      <c r="Y593" s="7">
        <v>1.3</v>
      </c>
      <c r="Z593" s="7">
        <v>1</v>
      </c>
      <c r="AA593" s="6" t="s">
        <v>243</v>
      </c>
      <c r="AB593" s="6" t="s">
        <v>321</v>
      </c>
      <c r="AD593" s="6" t="s">
        <v>39</v>
      </c>
      <c r="AE593" s="6"/>
      <c r="AG593" s="6" t="s">
        <v>37</v>
      </c>
      <c r="AH593" s="7">
        <v>60</v>
      </c>
      <c r="AI593" s="6" t="s">
        <v>40</v>
      </c>
      <c r="AJ593" s="6" t="s">
        <v>238</v>
      </c>
      <c r="AK593" s="6" t="s">
        <v>35</v>
      </c>
      <c r="AL593" s="6" t="s">
        <v>41</v>
      </c>
      <c r="AM593" s="6" t="s">
        <v>41</v>
      </c>
      <c r="AN593" s="6" t="s">
        <v>584</v>
      </c>
    </row>
    <row r="594" spans="1:40" x14ac:dyDescent="0.25">
      <c r="A594" s="4">
        <v>45944</v>
      </c>
      <c r="B594" s="6" t="s">
        <v>208</v>
      </c>
      <c r="C594" t="str">
        <f>_xlfn.XLOOKUP(Table3[[#This Row],[station]],station_waterbody_county!A:A, station_waterbody_county!B:B)</f>
        <v>Dover Bay</v>
      </c>
      <c r="D594" t="str">
        <f>_xlfn.XLOOKUP(Table3[[#This Row],[station]],station_waterbody_county!A:A, station_waterbody_county!C:C)</f>
        <v>Guysborough</v>
      </c>
      <c r="E594" s="6"/>
      <c r="F594" s="6" t="s">
        <v>310</v>
      </c>
      <c r="G594" s="4">
        <v>45603</v>
      </c>
      <c r="H594" s="5">
        <v>0.64166666666666672</v>
      </c>
      <c r="I594" s="4">
        <v>45925</v>
      </c>
      <c r="J594" s="5">
        <v>0.59444444444444444</v>
      </c>
      <c r="K594" s="10"/>
      <c r="O594" s="6" t="s">
        <v>579</v>
      </c>
      <c r="P594" s="6" t="s">
        <v>580</v>
      </c>
      <c r="Q594" s="6" t="s">
        <v>1478</v>
      </c>
      <c r="R594" s="6" t="s">
        <v>580</v>
      </c>
      <c r="S594" s="6" t="s">
        <v>239</v>
      </c>
      <c r="T594" s="11">
        <v>22030580</v>
      </c>
      <c r="U594" s="7">
        <v>10</v>
      </c>
      <c r="V594" s="6" t="s">
        <v>36</v>
      </c>
      <c r="W594" s="7">
        <v>26.5</v>
      </c>
      <c r="X594" s="6" t="s">
        <v>35</v>
      </c>
      <c r="Y594" s="7">
        <v>1.3</v>
      </c>
      <c r="Z594" s="7">
        <v>1</v>
      </c>
      <c r="AA594" s="6" t="s">
        <v>243</v>
      </c>
      <c r="AB594" s="6" t="s">
        <v>321</v>
      </c>
      <c r="AD594" s="6" t="s">
        <v>39</v>
      </c>
      <c r="AE594" s="6"/>
      <c r="AG594" s="6" t="s">
        <v>37</v>
      </c>
      <c r="AH594" s="7">
        <v>60</v>
      </c>
      <c r="AI594" s="6" t="s">
        <v>40</v>
      </c>
      <c r="AJ594" s="6" t="s">
        <v>238</v>
      </c>
      <c r="AK594" s="6" t="s">
        <v>35</v>
      </c>
      <c r="AL594" s="6" t="s">
        <v>41</v>
      </c>
      <c r="AM594" s="6" t="s">
        <v>41</v>
      </c>
      <c r="AN594" s="6" t="s">
        <v>584</v>
      </c>
    </row>
    <row r="595" spans="1:40" x14ac:dyDescent="0.25">
      <c r="A595" s="4">
        <v>45944</v>
      </c>
      <c r="B595" s="6" t="s">
        <v>208</v>
      </c>
      <c r="C595" t="str">
        <f>_xlfn.XLOOKUP(Table3[[#This Row],[station]],station_waterbody_county!A:A, station_waterbody_county!B:B)</f>
        <v>Dover Bay</v>
      </c>
      <c r="D595" t="str">
        <f>_xlfn.XLOOKUP(Table3[[#This Row],[station]],station_waterbody_county!A:A, station_waterbody_county!C:C)</f>
        <v>Guysborough</v>
      </c>
      <c r="E595" s="6"/>
      <c r="F595" s="6" t="s">
        <v>310</v>
      </c>
      <c r="G595" s="4">
        <v>45603</v>
      </c>
      <c r="H595" s="5">
        <v>0.64166666666666672</v>
      </c>
      <c r="I595" s="4">
        <v>45925</v>
      </c>
      <c r="J595" s="5">
        <v>0.59444444444444444</v>
      </c>
      <c r="K595" s="10"/>
      <c r="O595" s="6" t="s">
        <v>579</v>
      </c>
      <c r="P595" s="6" t="s">
        <v>580</v>
      </c>
      <c r="Q595" s="6" t="s">
        <v>1478</v>
      </c>
      <c r="R595" s="6" t="s">
        <v>580</v>
      </c>
      <c r="S595" s="6" t="s">
        <v>239</v>
      </c>
      <c r="T595" s="11">
        <v>22048590</v>
      </c>
      <c r="U595" s="7">
        <v>15</v>
      </c>
      <c r="V595" s="6" t="s">
        <v>36</v>
      </c>
      <c r="W595" s="7">
        <v>26.5</v>
      </c>
      <c r="X595" s="6" t="s">
        <v>35</v>
      </c>
      <c r="Y595" s="7">
        <v>1.3</v>
      </c>
      <c r="Z595" s="7">
        <v>1</v>
      </c>
      <c r="AA595" s="6" t="s">
        <v>243</v>
      </c>
      <c r="AB595" s="6" t="s">
        <v>321</v>
      </c>
      <c r="AD595" s="6" t="s">
        <v>39</v>
      </c>
      <c r="AE595" s="6"/>
      <c r="AG595" s="6" t="s">
        <v>37</v>
      </c>
      <c r="AH595" s="7">
        <v>60</v>
      </c>
      <c r="AI595" s="6" t="s">
        <v>40</v>
      </c>
      <c r="AJ595" s="6" t="s">
        <v>238</v>
      </c>
      <c r="AK595" s="6" t="s">
        <v>35</v>
      </c>
      <c r="AL595" s="6" t="s">
        <v>41</v>
      </c>
      <c r="AM595" s="6" t="s">
        <v>41</v>
      </c>
      <c r="AN595" s="6" t="s">
        <v>584</v>
      </c>
    </row>
    <row r="596" spans="1:40" x14ac:dyDescent="0.25">
      <c r="A596" s="4">
        <v>45944</v>
      </c>
      <c r="B596" s="6" t="s">
        <v>208</v>
      </c>
      <c r="C596" t="str">
        <f>_xlfn.XLOOKUP(Table3[[#This Row],[station]],station_waterbody_county!A:A, station_waterbody_county!B:B)</f>
        <v>Dover Bay</v>
      </c>
      <c r="D596" t="str">
        <f>_xlfn.XLOOKUP(Table3[[#This Row],[station]],station_waterbody_county!A:A, station_waterbody_county!C:C)</f>
        <v>Guysborough</v>
      </c>
      <c r="E596" s="6"/>
      <c r="F596" s="6" t="s">
        <v>310</v>
      </c>
      <c r="G596" s="4">
        <v>45603</v>
      </c>
      <c r="H596" s="5">
        <v>0.64166666666666672</v>
      </c>
      <c r="I596" s="4">
        <v>45925</v>
      </c>
      <c r="J596" s="5">
        <v>0.59444444444444444</v>
      </c>
      <c r="K596" s="10"/>
      <c r="O596" s="6" t="s">
        <v>579</v>
      </c>
      <c r="P596" s="6" t="s">
        <v>580</v>
      </c>
      <c r="Q596" s="6" t="s">
        <v>1478</v>
      </c>
      <c r="R596" s="6" t="s">
        <v>580</v>
      </c>
      <c r="S596" s="6" t="s">
        <v>42</v>
      </c>
      <c r="T596" s="11">
        <v>548575</v>
      </c>
      <c r="U596" s="7">
        <v>24</v>
      </c>
      <c r="V596" s="6" t="s">
        <v>36</v>
      </c>
      <c r="W596" s="7">
        <v>26.5</v>
      </c>
      <c r="X596" s="6" t="s">
        <v>35</v>
      </c>
      <c r="Y596" s="7">
        <v>1.3</v>
      </c>
      <c r="Z596" s="7">
        <v>1</v>
      </c>
      <c r="AA596" s="6" t="s">
        <v>243</v>
      </c>
      <c r="AB596" s="6" t="s">
        <v>321</v>
      </c>
      <c r="AD596" s="6" t="s">
        <v>39</v>
      </c>
      <c r="AE596" s="6"/>
      <c r="AG596" s="6" t="s">
        <v>37</v>
      </c>
      <c r="AH596" s="7">
        <v>60</v>
      </c>
      <c r="AI596" s="6" t="s">
        <v>40</v>
      </c>
      <c r="AJ596" s="6" t="s">
        <v>238</v>
      </c>
      <c r="AK596" s="6" t="s">
        <v>35</v>
      </c>
      <c r="AL596" s="6" t="s">
        <v>41</v>
      </c>
      <c r="AM596" s="6" t="s">
        <v>41</v>
      </c>
      <c r="AN596" s="6" t="s">
        <v>584</v>
      </c>
    </row>
    <row r="597" spans="1:40" x14ac:dyDescent="0.25">
      <c r="A597" s="4">
        <v>45944</v>
      </c>
      <c r="B597" s="6" t="s">
        <v>208</v>
      </c>
      <c r="C597" t="str">
        <f>_xlfn.XLOOKUP(Table3[[#This Row],[station]],station_waterbody_county!A:A, station_waterbody_county!B:B)</f>
        <v>Dover Bay</v>
      </c>
      <c r="D597" t="str">
        <f>_xlfn.XLOOKUP(Table3[[#This Row],[station]],station_waterbody_county!A:A, station_waterbody_county!C:C)</f>
        <v>Guysborough</v>
      </c>
      <c r="E597" s="6"/>
      <c r="F597" s="6" t="s">
        <v>310</v>
      </c>
      <c r="G597" s="4">
        <v>45603</v>
      </c>
      <c r="H597" s="5">
        <v>0.64166666666666672</v>
      </c>
      <c r="I597" s="4">
        <v>45925</v>
      </c>
      <c r="J597" s="5">
        <v>0.59444444444444444</v>
      </c>
      <c r="K597" s="10"/>
      <c r="O597" s="6" t="s">
        <v>579</v>
      </c>
      <c r="P597" s="6" t="s">
        <v>580</v>
      </c>
      <c r="Q597" s="6" t="s">
        <v>1478</v>
      </c>
      <c r="R597" s="6" t="s">
        <v>580</v>
      </c>
      <c r="S597" s="6" t="s">
        <v>239</v>
      </c>
      <c r="T597" s="11">
        <v>22048601</v>
      </c>
      <c r="U597" s="7">
        <v>24</v>
      </c>
      <c r="V597" s="6" t="s">
        <v>36</v>
      </c>
      <c r="W597" s="7">
        <v>26.5</v>
      </c>
      <c r="X597" s="6" t="s">
        <v>35</v>
      </c>
      <c r="Y597" s="7">
        <v>1.3</v>
      </c>
      <c r="Z597" s="7">
        <v>1</v>
      </c>
      <c r="AA597" s="6" t="s">
        <v>243</v>
      </c>
      <c r="AB597" s="6" t="s">
        <v>321</v>
      </c>
      <c r="AD597" s="6" t="s">
        <v>39</v>
      </c>
      <c r="AE597" s="6"/>
      <c r="AG597" s="6" t="s">
        <v>37</v>
      </c>
      <c r="AH597" s="7">
        <v>60</v>
      </c>
      <c r="AI597" s="6" t="s">
        <v>40</v>
      </c>
      <c r="AJ597" s="6" t="s">
        <v>238</v>
      </c>
      <c r="AK597" s="6" t="s">
        <v>35</v>
      </c>
      <c r="AL597" s="6" t="s">
        <v>41</v>
      </c>
      <c r="AM597" s="6" t="s">
        <v>41</v>
      </c>
      <c r="AN597" s="6" t="s">
        <v>584</v>
      </c>
    </row>
    <row r="598" spans="1:40" hidden="1" x14ac:dyDescent="0.25">
      <c r="A598" s="12">
        <v>45678</v>
      </c>
      <c r="B598" s="6" t="s">
        <v>208</v>
      </c>
      <c r="C598" t="str">
        <f>_xlfn.XLOOKUP(Table3[[#This Row],[station]],station_waterbody_county!A:A, station_waterbody_county!B:B)</f>
        <v>Dover Bay</v>
      </c>
      <c r="D598" t="str">
        <f>_xlfn.XLOOKUP(Table3[[#This Row],[station]],station_waterbody_county!A:A, station_waterbody_county!C:C)</f>
        <v>Guysborough</v>
      </c>
      <c r="E598" s="6"/>
      <c r="F598" s="6" t="s">
        <v>310</v>
      </c>
      <c r="G598" s="12">
        <v>45217</v>
      </c>
      <c r="H598" s="5"/>
      <c r="I598" s="4">
        <v>45603</v>
      </c>
      <c r="J598" s="5">
        <v>0.62430555555555556</v>
      </c>
      <c r="K598" s="10">
        <v>45.251942999999997</v>
      </c>
      <c r="L598" s="10">
        <v>-61.018026999999996</v>
      </c>
      <c r="O598" s="6"/>
      <c r="Q598" s="6" t="s">
        <v>576</v>
      </c>
      <c r="R598" s="6" t="s">
        <v>577</v>
      </c>
      <c r="S598" s="6" t="s">
        <v>239</v>
      </c>
      <c r="T598" s="11">
        <v>21465772</v>
      </c>
      <c r="U598" s="7">
        <v>2</v>
      </c>
      <c r="V598" s="6" t="s">
        <v>36</v>
      </c>
      <c r="W598" s="7">
        <v>25.7</v>
      </c>
      <c r="X598" s="6" t="s">
        <v>35</v>
      </c>
      <c r="Y598" s="7">
        <v>0.4</v>
      </c>
      <c r="Z598" s="7">
        <v>1</v>
      </c>
      <c r="AA598" s="6" t="s">
        <v>251</v>
      </c>
      <c r="AB598" s="6" t="s">
        <v>38</v>
      </c>
      <c r="AD598" s="6" t="s">
        <v>39</v>
      </c>
      <c r="AE598" s="6"/>
      <c r="AG598" s="6" t="s">
        <v>37</v>
      </c>
      <c r="AH598" s="7"/>
      <c r="AI598" s="6" t="s">
        <v>40</v>
      </c>
      <c r="AJ598" s="6" t="s">
        <v>238</v>
      </c>
      <c r="AL598" s="6" t="s">
        <v>268</v>
      </c>
      <c r="AM598" s="6" t="s">
        <v>41</v>
      </c>
      <c r="AN598" s="6" t="s">
        <v>578</v>
      </c>
    </row>
    <row r="599" spans="1:40" hidden="1" x14ac:dyDescent="0.25">
      <c r="A599" s="12">
        <v>45678</v>
      </c>
      <c r="B599" s="6" t="s">
        <v>208</v>
      </c>
      <c r="C599" t="str">
        <f>_xlfn.XLOOKUP(Table3[[#This Row],[station]],station_waterbody_county!A:A, station_waterbody_county!B:B)</f>
        <v>Dover Bay</v>
      </c>
      <c r="D599" t="str">
        <f>_xlfn.XLOOKUP(Table3[[#This Row],[station]],station_waterbody_county!A:A, station_waterbody_county!C:C)</f>
        <v>Guysborough</v>
      </c>
      <c r="E599" s="6"/>
      <c r="F599" s="6" t="s">
        <v>310</v>
      </c>
      <c r="G599" s="12">
        <v>45217</v>
      </c>
      <c r="H599" s="5"/>
      <c r="I599" s="4">
        <v>45603</v>
      </c>
      <c r="J599" s="5">
        <v>0.62430555555555556</v>
      </c>
      <c r="K599" s="10">
        <v>45.251942999999997</v>
      </c>
      <c r="L599" s="10">
        <v>-61.018026999999996</v>
      </c>
      <c r="O599" s="6"/>
      <c r="Q599" s="6" t="s">
        <v>576</v>
      </c>
      <c r="R599" s="6" t="s">
        <v>577</v>
      </c>
      <c r="S599" s="6" t="s">
        <v>240</v>
      </c>
      <c r="T599" s="11">
        <v>671305</v>
      </c>
      <c r="U599" s="7">
        <v>5</v>
      </c>
      <c r="V599" s="6" t="s">
        <v>36</v>
      </c>
      <c r="W599" s="7">
        <v>25.7</v>
      </c>
      <c r="X599" s="6" t="s">
        <v>35</v>
      </c>
      <c r="Y599" s="7">
        <v>0.4</v>
      </c>
      <c r="Z599" s="7">
        <v>1</v>
      </c>
      <c r="AA599" s="6" t="s">
        <v>251</v>
      </c>
      <c r="AB599" s="6" t="s">
        <v>38</v>
      </c>
      <c r="AD599" s="6" t="s">
        <v>39</v>
      </c>
      <c r="AE599" s="6"/>
      <c r="AG599" s="6" t="s">
        <v>37</v>
      </c>
      <c r="AH599" s="7"/>
      <c r="AI599" s="6" t="s">
        <v>40</v>
      </c>
      <c r="AJ599" s="6" t="s">
        <v>238</v>
      </c>
      <c r="AL599" s="6" t="s">
        <v>268</v>
      </c>
      <c r="AM599" s="6" t="s">
        <v>41</v>
      </c>
      <c r="AN599" s="6" t="s">
        <v>578</v>
      </c>
    </row>
    <row r="600" spans="1:40" hidden="1" x14ac:dyDescent="0.25">
      <c r="A600" s="12">
        <v>45678</v>
      </c>
      <c r="B600" s="6" t="s">
        <v>208</v>
      </c>
      <c r="C600" t="str">
        <f>_xlfn.XLOOKUP(Table3[[#This Row],[station]],station_waterbody_county!A:A, station_waterbody_county!B:B)</f>
        <v>Dover Bay</v>
      </c>
      <c r="D600" t="str">
        <f>_xlfn.XLOOKUP(Table3[[#This Row],[station]],station_waterbody_county!A:A, station_waterbody_county!C:C)</f>
        <v>Guysborough</v>
      </c>
      <c r="E600" s="6"/>
      <c r="F600" s="6" t="s">
        <v>310</v>
      </c>
      <c r="G600" s="12">
        <v>45217</v>
      </c>
      <c r="H600" s="5"/>
      <c r="I600" s="4">
        <v>45603</v>
      </c>
      <c r="J600" s="5">
        <v>0.62430555555555556</v>
      </c>
      <c r="K600" s="10">
        <v>45.251942999999997</v>
      </c>
      <c r="L600" s="10">
        <v>-61.018026999999996</v>
      </c>
      <c r="O600" s="6"/>
      <c r="Q600" s="6" t="s">
        <v>576</v>
      </c>
      <c r="R600" s="6" t="s">
        <v>577</v>
      </c>
      <c r="S600" s="6" t="s">
        <v>239</v>
      </c>
      <c r="T600" s="11">
        <v>20900974</v>
      </c>
      <c r="U600" s="7">
        <v>10</v>
      </c>
      <c r="V600" s="6" t="s">
        <v>36</v>
      </c>
      <c r="W600" s="7">
        <v>25.7</v>
      </c>
      <c r="X600" s="6" t="s">
        <v>35</v>
      </c>
      <c r="Y600" s="7">
        <v>0.4</v>
      </c>
      <c r="Z600" s="7">
        <v>1</v>
      </c>
      <c r="AA600" s="6" t="s">
        <v>251</v>
      </c>
      <c r="AB600" s="6" t="s">
        <v>38</v>
      </c>
      <c r="AD600" s="6" t="s">
        <v>39</v>
      </c>
      <c r="AE600" s="6"/>
      <c r="AG600" s="6" t="s">
        <v>37</v>
      </c>
      <c r="AH600" s="7"/>
      <c r="AI600" s="6" t="s">
        <v>40</v>
      </c>
      <c r="AJ600" s="6" t="s">
        <v>238</v>
      </c>
      <c r="AL600" s="6" t="s">
        <v>268</v>
      </c>
      <c r="AM600" s="6" t="s">
        <v>41</v>
      </c>
      <c r="AN600" s="6" t="s">
        <v>578</v>
      </c>
    </row>
    <row r="601" spans="1:40" hidden="1" x14ac:dyDescent="0.25">
      <c r="A601" s="12">
        <v>45678</v>
      </c>
      <c r="B601" s="6" t="s">
        <v>208</v>
      </c>
      <c r="C601" t="str">
        <f>_xlfn.XLOOKUP(Table3[[#This Row],[station]],station_waterbody_county!A:A, station_waterbody_county!B:B)</f>
        <v>Dover Bay</v>
      </c>
      <c r="D601" t="str">
        <f>_xlfn.XLOOKUP(Table3[[#This Row],[station]],station_waterbody_county!A:A, station_waterbody_county!C:C)</f>
        <v>Guysborough</v>
      </c>
      <c r="E601" s="6"/>
      <c r="F601" s="6" t="s">
        <v>310</v>
      </c>
      <c r="G601" s="12">
        <v>45217</v>
      </c>
      <c r="H601" s="5"/>
      <c r="I601" s="4">
        <v>45603</v>
      </c>
      <c r="J601" s="5">
        <v>0.62430555555555556</v>
      </c>
      <c r="K601" s="10">
        <v>45.251942999999997</v>
      </c>
      <c r="L601" s="10">
        <v>-61.018026999999996</v>
      </c>
      <c r="O601" s="6"/>
      <c r="Q601" s="6" t="s">
        <v>576</v>
      </c>
      <c r="R601" s="6" t="s">
        <v>577</v>
      </c>
      <c r="S601" s="6" t="s">
        <v>239</v>
      </c>
      <c r="T601" s="11">
        <v>20900987</v>
      </c>
      <c r="U601" s="7">
        <v>15</v>
      </c>
      <c r="V601" s="6" t="s">
        <v>36</v>
      </c>
      <c r="W601" s="7">
        <v>25.7</v>
      </c>
      <c r="X601" s="6" t="s">
        <v>35</v>
      </c>
      <c r="Y601" s="7">
        <v>0.4</v>
      </c>
      <c r="Z601" s="7">
        <v>1</v>
      </c>
      <c r="AA601" s="6" t="s">
        <v>251</v>
      </c>
      <c r="AB601" s="6" t="s">
        <v>38</v>
      </c>
      <c r="AD601" s="6" t="s">
        <v>39</v>
      </c>
      <c r="AE601" s="6"/>
      <c r="AG601" s="6" t="s">
        <v>37</v>
      </c>
      <c r="AH601" s="7"/>
      <c r="AI601" s="6" t="s">
        <v>40</v>
      </c>
      <c r="AJ601" s="6" t="s">
        <v>238</v>
      </c>
      <c r="AL601" s="6" t="s">
        <v>268</v>
      </c>
      <c r="AM601" s="6" t="s">
        <v>41</v>
      </c>
      <c r="AN601" s="6" t="s">
        <v>578</v>
      </c>
    </row>
    <row r="602" spans="1:40" hidden="1" x14ac:dyDescent="0.25">
      <c r="A602" s="12">
        <v>45678</v>
      </c>
      <c r="B602" s="6" t="s">
        <v>208</v>
      </c>
      <c r="C602" t="str">
        <f>_xlfn.XLOOKUP(Table3[[#This Row],[station]],station_waterbody_county!A:A, station_waterbody_county!B:B)</f>
        <v>Dover Bay</v>
      </c>
      <c r="D602" t="str">
        <f>_xlfn.XLOOKUP(Table3[[#This Row],[station]],station_waterbody_county!A:A, station_waterbody_county!C:C)</f>
        <v>Guysborough</v>
      </c>
      <c r="E602" s="6"/>
      <c r="F602" s="6" t="s">
        <v>310</v>
      </c>
      <c r="G602" s="12">
        <v>45217</v>
      </c>
      <c r="H602" s="5"/>
      <c r="I602" s="4">
        <v>45603</v>
      </c>
      <c r="J602" s="5">
        <v>0.62430555555555556</v>
      </c>
      <c r="K602" s="10">
        <v>45.251942999999997</v>
      </c>
      <c r="L602" s="10">
        <v>-61.018026999999996</v>
      </c>
      <c r="O602" s="6"/>
      <c r="Q602" s="6" t="s">
        <v>576</v>
      </c>
      <c r="R602" s="6" t="s">
        <v>577</v>
      </c>
      <c r="S602" s="6" t="s">
        <v>42</v>
      </c>
      <c r="T602" s="11">
        <v>548573</v>
      </c>
      <c r="U602" s="7">
        <v>24</v>
      </c>
      <c r="V602" s="6" t="s">
        <v>36</v>
      </c>
      <c r="W602" s="7">
        <v>25.7</v>
      </c>
      <c r="X602" s="6" t="s">
        <v>35</v>
      </c>
      <c r="Y602" s="7">
        <v>0.4</v>
      </c>
      <c r="Z602" s="7">
        <v>1</v>
      </c>
      <c r="AA602" s="6" t="s">
        <v>251</v>
      </c>
      <c r="AB602" s="6" t="s">
        <v>38</v>
      </c>
      <c r="AD602" s="6" t="s">
        <v>39</v>
      </c>
      <c r="AE602" s="6"/>
      <c r="AG602" s="6" t="s">
        <v>37</v>
      </c>
      <c r="AH602" s="7"/>
      <c r="AI602" s="6" t="s">
        <v>40</v>
      </c>
      <c r="AJ602" s="6" t="s">
        <v>238</v>
      </c>
      <c r="AL602" s="6" t="s">
        <v>268</v>
      </c>
      <c r="AM602" s="6" t="s">
        <v>41</v>
      </c>
      <c r="AN602" s="6" t="s">
        <v>578</v>
      </c>
    </row>
    <row r="603" spans="1:40" x14ac:dyDescent="0.25">
      <c r="A603" s="4">
        <v>45884</v>
      </c>
      <c r="B603" s="6" t="s">
        <v>209</v>
      </c>
      <c r="C603" t="str">
        <f>_xlfn.XLOOKUP(Table3[[#This Row],[station]],station_waterbody_county!A:A, station_waterbody_county!B:B)</f>
        <v>Lamonts Cove</v>
      </c>
      <c r="D603" t="str">
        <f>_xlfn.XLOOKUP(Table3[[#This Row],[station]],station_waterbody_county!A:A, station_waterbody_county!C:C)</f>
        <v>Yarmouth</v>
      </c>
      <c r="E603" s="6"/>
      <c r="F603" s="6" t="s">
        <v>311</v>
      </c>
      <c r="G603" s="4">
        <v>45511</v>
      </c>
      <c r="H603" s="5">
        <v>0.69722222222222219</v>
      </c>
      <c r="I603" s="4"/>
      <c r="J603" s="5"/>
      <c r="K603" s="10"/>
      <c r="O603" s="6" t="s">
        <v>437</v>
      </c>
      <c r="P603" s="6" t="s">
        <v>438</v>
      </c>
      <c r="S603" s="6" t="s">
        <v>239</v>
      </c>
      <c r="T603" s="11">
        <v>21082883</v>
      </c>
      <c r="U603" s="7">
        <v>2</v>
      </c>
      <c r="V603" s="6" t="s">
        <v>36</v>
      </c>
      <c r="W603" s="7">
        <v>18.899999999999999</v>
      </c>
      <c r="X603" s="6" t="s">
        <v>35</v>
      </c>
      <c r="Y603" s="7">
        <v>3.9</v>
      </c>
      <c r="Z603" s="7">
        <v>0.5</v>
      </c>
      <c r="AA603" s="6" t="s">
        <v>243</v>
      </c>
      <c r="AB603" s="6" t="s">
        <v>321</v>
      </c>
      <c r="AD603" s="6" t="s">
        <v>39</v>
      </c>
      <c r="AE603" s="6"/>
      <c r="AG603" s="6" t="s">
        <v>37</v>
      </c>
      <c r="AH603" s="7">
        <v>60</v>
      </c>
      <c r="AI603" s="6" t="s">
        <v>40</v>
      </c>
      <c r="AJ603" s="6" t="s">
        <v>238</v>
      </c>
      <c r="AK603" s="6" t="s">
        <v>241</v>
      </c>
      <c r="AL603" s="6" t="s">
        <v>41</v>
      </c>
      <c r="AN603" s="6" t="s">
        <v>439</v>
      </c>
    </row>
    <row r="604" spans="1:40" x14ac:dyDescent="0.25">
      <c r="A604" s="4">
        <v>45884</v>
      </c>
      <c r="B604" s="6" t="s">
        <v>209</v>
      </c>
      <c r="C604" t="str">
        <f>_xlfn.XLOOKUP(Table3[[#This Row],[station]],station_waterbody_county!A:A, station_waterbody_county!B:B)</f>
        <v>Lamonts Cove</v>
      </c>
      <c r="D604" t="str">
        <f>_xlfn.XLOOKUP(Table3[[#This Row],[station]],station_waterbody_county!A:A, station_waterbody_county!C:C)</f>
        <v>Yarmouth</v>
      </c>
      <c r="E604" s="6"/>
      <c r="F604" s="6" t="s">
        <v>311</v>
      </c>
      <c r="G604" s="4">
        <v>45511</v>
      </c>
      <c r="H604" s="5">
        <v>0.69722222222222219</v>
      </c>
      <c r="I604" s="4"/>
      <c r="J604" s="5"/>
      <c r="K604" s="10"/>
      <c r="O604" s="6" t="s">
        <v>437</v>
      </c>
      <c r="P604" s="6" t="s">
        <v>438</v>
      </c>
      <c r="S604" s="6" t="s">
        <v>240</v>
      </c>
      <c r="T604" s="11">
        <v>671391</v>
      </c>
      <c r="U604" s="7">
        <v>5</v>
      </c>
      <c r="V604" s="6" t="s">
        <v>36</v>
      </c>
      <c r="W604" s="7">
        <v>18.899999999999999</v>
      </c>
      <c r="X604" s="6" t="s">
        <v>35</v>
      </c>
      <c r="Y604" s="7">
        <v>3.9</v>
      </c>
      <c r="Z604" s="7">
        <v>0.5</v>
      </c>
      <c r="AA604" s="6" t="s">
        <v>243</v>
      </c>
      <c r="AB604" s="6" t="s">
        <v>321</v>
      </c>
      <c r="AD604" s="6" t="s">
        <v>39</v>
      </c>
      <c r="AE604" s="6"/>
      <c r="AG604" s="6" t="s">
        <v>37</v>
      </c>
      <c r="AH604" s="7">
        <v>60</v>
      </c>
      <c r="AI604" s="6" t="s">
        <v>40</v>
      </c>
      <c r="AJ604" s="6" t="s">
        <v>238</v>
      </c>
      <c r="AK604" s="6" t="s">
        <v>241</v>
      </c>
      <c r="AL604" s="6" t="s">
        <v>41</v>
      </c>
      <c r="AN604" s="6" t="s">
        <v>439</v>
      </c>
    </row>
    <row r="605" spans="1:40" x14ac:dyDescent="0.25">
      <c r="A605" s="4">
        <v>45884</v>
      </c>
      <c r="B605" s="6" t="s">
        <v>209</v>
      </c>
      <c r="C605" t="str">
        <f>_xlfn.XLOOKUP(Table3[[#This Row],[station]],station_waterbody_county!A:A, station_waterbody_county!B:B)</f>
        <v>Lamonts Cove</v>
      </c>
      <c r="D605" t="str">
        <f>_xlfn.XLOOKUP(Table3[[#This Row],[station]],station_waterbody_county!A:A, station_waterbody_county!C:C)</f>
        <v>Yarmouth</v>
      </c>
      <c r="E605" s="6"/>
      <c r="F605" s="6" t="s">
        <v>311</v>
      </c>
      <c r="G605" s="4">
        <v>45511</v>
      </c>
      <c r="H605" s="5">
        <v>0.69722222222222219</v>
      </c>
      <c r="I605" s="4"/>
      <c r="J605" s="5"/>
      <c r="K605" s="10"/>
      <c r="O605" s="6" t="s">
        <v>437</v>
      </c>
      <c r="P605" s="6" t="s">
        <v>438</v>
      </c>
      <c r="S605" s="6" t="s">
        <v>239</v>
      </c>
      <c r="T605" s="11">
        <v>21465795</v>
      </c>
      <c r="U605" s="7">
        <v>10</v>
      </c>
      <c r="V605" s="6" t="s">
        <v>36</v>
      </c>
      <c r="W605" s="7">
        <v>18.899999999999999</v>
      </c>
      <c r="X605" s="6" t="s">
        <v>35</v>
      </c>
      <c r="Y605" s="7">
        <v>3.9</v>
      </c>
      <c r="Z605" s="7">
        <v>0.5</v>
      </c>
      <c r="AA605" s="6" t="s">
        <v>243</v>
      </c>
      <c r="AB605" s="6" t="s">
        <v>321</v>
      </c>
      <c r="AD605" s="6" t="s">
        <v>39</v>
      </c>
      <c r="AE605" s="6"/>
      <c r="AG605" s="6" t="s">
        <v>37</v>
      </c>
      <c r="AH605" s="7">
        <v>60</v>
      </c>
      <c r="AI605" s="6" t="s">
        <v>40</v>
      </c>
      <c r="AJ605" s="6" t="s">
        <v>238</v>
      </c>
      <c r="AK605" s="6" t="s">
        <v>241</v>
      </c>
      <c r="AL605" s="6" t="s">
        <v>41</v>
      </c>
      <c r="AN605" s="6" t="s">
        <v>439</v>
      </c>
    </row>
    <row r="606" spans="1:40" x14ac:dyDescent="0.25">
      <c r="A606" s="4">
        <v>45884</v>
      </c>
      <c r="B606" s="6" t="s">
        <v>209</v>
      </c>
      <c r="C606" t="str">
        <f>_xlfn.XLOOKUP(Table3[[#This Row],[station]],station_waterbody_county!A:A, station_waterbody_county!B:B)</f>
        <v>Lamonts Cove</v>
      </c>
      <c r="D606" t="str">
        <f>_xlfn.XLOOKUP(Table3[[#This Row],[station]],station_waterbody_county!A:A, station_waterbody_county!C:C)</f>
        <v>Yarmouth</v>
      </c>
      <c r="E606" s="6"/>
      <c r="F606" s="6" t="s">
        <v>311</v>
      </c>
      <c r="G606" s="4">
        <v>45511</v>
      </c>
      <c r="H606" s="5">
        <v>0.69722222222222219</v>
      </c>
      <c r="I606" s="4"/>
      <c r="J606" s="5"/>
      <c r="K606" s="10"/>
      <c r="O606" s="6" t="s">
        <v>437</v>
      </c>
      <c r="P606" s="6" t="s">
        <v>438</v>
      </c>
      <c r="S606" s="6" t="s">
        <v>42</v>
      </c>
      <c r="T606" s="16">
        <v>548591</v>
      </c>
      <c r="U606" s="7">
        <v>15</v>
      </c>
      <c r="V606" s="6" t="s">
        <v>36</v>
      </c>
      <c r="W606" s="7">
        <v>18.899999999999999</v>
      </c>
      <c r="X606" s="6" t="s">
        <v>35</v>
      </c>
      <c r="Y606" s="7">
        <v>3.9</v>
      </c>
      <c r="Z606" s="7">
        <v>0.5</v>
      </c>
      <c r="AA606" s="6" t="s">
        <v>243</v>
      </c>
      <c r="AB606" s="6" t="s">
        <v>321</v>
      </c>
      <c r="AD606" s="6" t="s">
        <v>39</v>
      </c>
      <c r="AE606" s="6"/>
      <c r="AG606" s="6" t="s">
        <v>37</v>
      </c>
      <c r="AH606" s="7">
        <v>60</v>
      </c>
      <c r="AI606" s="6" t="s">
        <v>40</v>
      </c>
      <c r="AJ606" s="6" t="s">
        <v>238</v>
      </c>
      <c r="AK606" s="6" t="s">
        <v>241</v>
      </c>
      <c r="AL606" s="6" t="s">
        <v>41</v>
      </c>
      <c r="AN606" s="17" t="s">
        <v>439</v>
      </c>
    </row>
    <row r="607" spans="1:40" hidden="1" x14ac:dyDescent="0.25">
      <c r="A607" s="12">
        <v>45519</v>
      </c>
      <c r="B607" s="6" t="s">
        <v>209</v>
      </c>
      <c r="C607" t="str">
        <f>_xlfn.XLOOKUP(Table3[[#This Row],[station]],station_waterbody_county!A:A, station_waterbody_county!B:B)</f>
        <v>Lamonts Cove</v>
      </c>
      <c r="D607" t="str">
        <f>_xlfn.XLOOKUP(Table3[[#This Row],[station]],station_waterbody_county!A:A, station_waterbody_county!C:C)</f>
        <v>Yarmouth</v>
      </c>
      <c r="E607" s="6"/>
      <c r="F607" s="6" t="s">
        <v>310</v>
      </c>
      <c r="G607" s="12">
        <v>45141</v>
      </c>
      <c r="H607" s="5"/>
      <c r="I607" s="4">
        <v>45511</v>
      </c>
      <c r="J607" s="5">
        <v>0.67500000000000004</v>
      </c>
      <c r="K607" s="10">
        <v>43.930926999999997</v>
      </c>
      <c r="L607" s="10">
        <v>-66.167980999999997</v>
      </c>
      <c r="O607" s="6"/>
      <c r="Q607" s="6" t="s">
        <v>435</v>
      </c>
      <c r="R607" s="6" t="s">
        <v>436</v>
      </c>
      <c r="S607" s="6" t="s">
        <v>239</v>
      </c>
      <c r="T607" s="11">
        <v>20820380</v>
      </c>
      <c r="U607" s="7">
        <v>2</v>
      </c>
      <c r="V607" s="6" t="s">
        <v>36</v>
      </c>
      <c r="W607" s="7">
        <v>16.7</v>
      </c>
      <c r="X607" s="6" t="s">
        <v>35</v>
      </c>
      <c r="Y607" s="7">
        <v>2.6</v>
      </c>
      <c r="Z607" s="7">
        <v>1</v>
      </c>
      <c r="AA607" s="6" t="s">
        <v>243</v>
      </c>
      <c r="AB607" s="6" t="s">
        <v>242</v>
      </c>
      <c r="AE607" s="6"/>
      <c r="AG607" s="6" t="s">
        <v>37</v>
      </c>
      <c r="AH607" s="7"/>
      <c r="AI607" s="6" t="s">
        <v>40</v>
      </c>
      <c r="AJ607" s="6" t="s">
        <v>238</v>
      </c>
      <c r="AK607" s="6" t="s">
        <v>35</v>
      </c>
      <c r="AL607" s="6" t="s">
        <v>269</v>
      </c>
      <c r="AM607" s="6" t="s">
        <v>41</v>
      </c>
    </row>
    <row r="608" spans="1:40" hidden="1" x14ac:dyDescent="0.25">
      <c r="A608" s="12">
        <v>45519</v>
      </c>
      <c r="B608" s="6" t="s">
        <v>209</v>
      </c>
      <c r="C608" t="str">
        <f>_xlfn.XLOOKUP(Table3[[#This Row],[station]],station_waterbody_county!A:A, station_waterbody_county!B:B)</f>
        <v>Lamonts Cove</v>
      </c>
      <c r="D608" t="str">
        <f>_xlfn.XLOOKUP(Table3[[#This Row],[station]],station_waterbody_county!A:A, station_waterbody_county!C:C)</f>
        <v>Yarmouth</v>
      </c>
      <c r="E608" s="6"/>
      <c r="F608" s="6" t="s">
        <v>310</v>
      </c>
      <c r="G608" s="12">
        <v>45141</v>
      </c>
      <c r="H608" s="5"/>
      <c r="I608" s="4">
        <v>45511</v>
      </c>
      <c r="J608" s="5">
        <v>0.67500000000000004</v>
      </c>
      <c r="K608" s="10">
        <v>43.930926999999997</v>
      </c>
      <c r="L608" s="10">
        <v>-66.167980999999997</v>
      </c>
      <c r="O608" s="6"/>
      <c r="Q608" s="6" t="s">
        <v>435</v>
      </c>
      <c r="R608" s="6" t="s">
        <v>436</v>
      </c>
      <c r="S608" s="6" t="s">
        <v>240</v>
      </c>
      <c r="T608" s="11">
        <v>671022</v>
      </c>
      <c r="U608" s="7">
        <v>5</v>
      </c>
      <c r="V608" s="6" t="s">
        <v>36</v>
      </c>
      <c r="W608" s="7">
        <v>16.7</v>
      </c>
      <c r="X608" s="6" t="s">
        <v>35</v>
      </c>
      <c r="Y608" s="7">
        <v>2.6</v>
      </c>
      <c r="Z608" s="7">
        <v>1</v>
      </c>
      <c r="AA608" s="6" t="s">
        <v>243</v>
      </c>
      <c r="AB608" s="6" t="s">
        <v>242</v>
      </c>
      <c r="AE608" s="6"/>
      <c r="AG608" s="6" t="s">
        <v>37</v>
      </c>
      <c r="AH608" s="7"/>
      <c r="AI608" s="6" t="s">
        <v>40</v>
      </c>
      <c r="AJ608" s="6" t="s">
        <v>238</v>
      </c>
      <c r="AK608" s="6" t="s">
        <v>35</v>
      </c>
      <c r="AL608" s="6" t="s">
        <v>269</v>
      </c>
      <c r="AM608" s="6" t="s">
        <v>41</v>
      </c>
    </row>
    <row r="609" spans="1:40" hidden="1" x14ac:dyDescent="0.25">
      <c r="A609" s="12">
        <v>45519</v>
      </c>
      <c r="B609" s="6" t="s">
        <v>209</v>
      </c>
      <c r="C609" t="str">
        <f>_xlfn.XLOOKUP(Table3[[#This Row],[station]],station_waterbody_county!A:A, station_waterbody_county!B:B)</f>
        <v>Lamonts Cove</v>
      </c>
      <c r="D609" t="str">
        <f>_xlfn.XLOOKUP(Table3[[#This Row],[station]],station_waterbody_county!A:A, station_waterbody_county!C:C)</f>
        <v>Yarmouth</v>
      </c>
      <c r="E609" s="6"/>
      <c r="F609" s="6" t="s">
        <v>310</v>
      </c>
      <c r="G609" s="12">
        <v>45141</v>
      </c>
      <c r="H609" s="5"/>
      <c r="I609" s="4">
        <v>45511</v>
      </c>
      <c r="J609" s="5">
        <v>0.67500000000000004</v>
      </c>
      <c r="K609" s="10">
        <v>43.930926999999997</v>
      </c>
      <c r="L609" s="10">
        <v>-66.167980999999997</v>
      </c>
      <c r="O609" s="6"/>
      <c r="Q609" s="6" t="s">
        <v>435</v>
      </c>
      <c r="R609" s="6" t="s">
        <v>436</v>
      </c>
      <c r="S609" s="6" t="s">
        <v>239</v>
      </c>
      <c r="T609" s="11">
        <v>20291480</v>
      </c>
      <c r="U609" s="7">
        <v>10</v>
      </c>
      <c r="V609" s="6" t="s">
        <v>36</v>
      </c>
      <c r="W609" s="7">
        <v>16.7</v>
      </c>
      <c r="X609" s="6" t="s">
        <v>35</v>
      </c>
      <c r="Y609" s="7">
        <v>2.6</v>
      </c>
      <c r="Z609" s="7">
        <v>1</v>
      </c>
      <c r="AA609" s="6" t="s">
        <v>243</v>
      </c>
      <c r="AB609" s="6" t="s">
        <v>242</v>
      </c>
      <c r="AE609" s="6"/>
      <c r="AG609" s="6" t="s">
        <v>37</v>
      </c>
      <c r="AH609" s="7"/>
      <c r="AI609" s="6" t="s">
        <v>40</v>
      </c>
      <c r="AJ609" s="6" t="s">
        <v>238</v>
      </c>
      <c r="AK609" s="6" t="s">
        <v>35</v>
      </c>
      <c r="AL609" s="6" t="s">
        <v>269</v>
      </c>
      <c r="AM609" s="6" t="s">
        <v>41</v>
      </c>
    </row>
    <row r="610" spans="1:40" hidden="1" x14ac:dyDescent="0.25">
      <c r="A610" s="12">
        <v>45519</v>
      </c>
      <c r="B610" s="6" t="s">
        <v>209</v>
      </c>
      <c r="C610" t="str">
        <f>_xlfn.XLOOKUP(Table3[[#This Row],[station]],station_waterbody_county!A:A, station_waterbody_county!B:B)</f>
        <v>Lamonts Cove</v>
      </c>
      <c r="D610" t="str">
        <f>_xlfn.XLOOKUP(Table3[[#This Row],[station]],station_waterbody_county!A:A, station_waterbody_county!C:C)</f>
        <v>Yarmouth</v>
      </c>
      <c r="E610" s="6"/>
      <c r="F610" s="6" t="s">
        <v>310</v>
      </c>
      <c r="G610" s="12">
        <v>45141</v>
      </c>
      <c r="H610" s="5"/>
      <c r="I610" s="4">
        <v>45511</v>
      </c>
      <c r="J610" s="5">
        <v>0.67500000000000004</v>
      </c>
      <c r="K610" s="10">
        <v>43.930926999999997</v>
      </c>
      <c r="L610" s="10">
        <v>-66.167980999999997</v>
      </c>
      <c r="O610" s="6"/>
      <c r="Q610" s="6" t="s">
        <v>435</v>
      </c>
      <c r="R610" s="6" t="s">
        <v>436</v>
      </c>
      <c r="S610" s="6" t="s">
        <v>42</v>
      </c>
      <c r="T610" s="11">
        <v>548563</v>
      </c>
      <c r="U610" s="7">
        <v>15</v>
      </c>
      <c r="V610" s="6" t="s">
        <v>36</v>
      </c>
      <c r="W610" s="7">
        <v>16.7</v>
      </c>
      <c r="X610" s="6" t="s">
        <v>35</v>
      </c>
      <c r="Y610" s="7">
        <v>2.6</v>
      </c>
      <c r="Z610" s="7">
        <v>1</v>
      </c>
      <c r="AA610" s="6" t="s">
        <v>243</v>
      </c>
      <c r="AB610" s="6" t="s">
        <v>242</v>
      </c>
      <c r="AE610" s="6"/>
      <c r="AG610" s="6" t="s">
        <v>37</v>
      </c>
      <c r="AH610" s="7"/>
      <c r="AI610" s="6" t="s">
        <v>40</v>
      </c>
      <c r="AJ610" s="6" t="s">
        <v>238</v>
      </c>
      <c r="AK610" s="6" t="s">
        <v>35</v>
      </c>
      <c r="AL610" s="6" t="s">
        <v>269</v>
      </c>
      <c r="AM610" s="6" t="s">
        <v>41</v>
      </c>
    </row>
    <row r="611" spans="1:40" x14ac:dyDescent="0.25">
      <c r="A611" s="4">
        <v>44543</v>
      </c>
      <c r="B611" s="6" t="s">
        <v>210</v>
      </c>
      <c r="C611" t="str">
        <f>_xlfn.XLOOKUP(Table3[[#This Row],[station]],station_waterbody_county!A:A, station_waterbody_county!B:B)</f>
        <v>St. Margarets Bay</v>
      </c>
      <c r="D611" t="str">
        <f>_xlfn.XLOOKUP(Table3[[#This Row],[station]],station_waterbody_county!A:A, station_waterbody_county!C:C)</f>
        <v>Halifax</v>
      </c>
      <c r="E611" s="6"/>
      <c r="F611" s="6" t="s">
        <v>310</v>
      </c>
      <c r="G611" s="4">
        <v>45414</v>
      </c>
      <c r="H611" s="5">
        <v>0.62569444444444444</v>
      </c>
      <c r="I611" s="4">
        <v>45617</v>
      </c>
      <c r="J611" s="5">
        <v>0.72291666666666665</v>
      </c>
      <c r="K611" s="10">
        <v>44.557417000000001</v>
      </c>
      <c r="L611" s="18">
        <v>-63.9544</v>
      </c>
      <c r="O611" s="6" t="s">
        <v>368</v>
      </c>
      <c r="P611" s="6" t="s">
        <v>369</v>
      </c>
      <c r="Q611" s="6" t="s">
        <v>601</v>
      </c>
      <c r="R611" s="6" t="s">
        <v>602</v>
      </c>
      <c r="S611" s="6" t="s">
        <v>239</v>
      </c>
      <c r="T611" s="11">
        <v>21152399</v>
      </c>
      <c r="U611" s="7">
        <v>2</v>
      </c>
      <c r="V611" s="6" t="s">
        <v>36</v>
      </c>
      <c r="W611" s="7">
        <v>25.4</v>
      </c>
      <c r="X611" s="6" t="s">
        <v>35</v>
      </c>
      <c r="Y611" s="7">
        <v>1.7</v>
      </c>
      <c r="Z611" s="7">
        <v>1</v>
      </c>
      <c r="AA611" s="6" t="s">
        <v>370</v>
      </c>
      <c r="AB611" s="6" t="s">
        <v>38</v>
      </c>
      <c r="AD611" s="6" t="s">
        <v>39</v>
      </c>
      <c r="AE611" s="6"/>
      <c r="AG611" s="6" t="s">
        <v>37</v>
      </c>
      <c r="AH611" s="7">
        <v>60</v>
      </c>
      <c r="AI611" s="6" t="s">
        <v>40</v>
      </c>
      <c r="AJ611" s="6" t="s">
        <v>238</v>
      </c>
      <c r="AK611" s="6" t="s">
        <v>241</v>
      </c>
      <c r="AL611" s="6" t="s">
        <v>41</v>
      </c>
      <c r="AM611" s="6" t="s">
        <v>41</v>
      </c>
      <c r="AN611" s="6" t="s">
        <v>658</v>
      </c>
    </row>
    <row r="612" spans="1:40" x14ac:dyDescent="0.25">
      <c r="A612" s="4">
        <v>44543</v>
      </c>
      <c r="B612" s="6" t="s">
        <v>210</v>
      </c>
      <c r="C612" t="str">
        <f>_xlfn.XLOOKUP(Table3[[#This Row],[station]],station_waterbody_county!A:A, station_waterbody_county!B:B)</f>
        <v>St. Margarets Bay</v>
      </c>
      <c r="D612" t="str">
        <f>_xlfn.XLOOKUP(Table3[[#This Row],[station]],station_waterbody_county!A:A, station_waterbody_county!C:C)</f>
        <v>Halifax</v>
      </c>
      <c r="E612" s="6"/>
      <c r="F612" s="6" t="s">
        <v>310</v>
      </c>
      <c r="G612" s="4">
        <v>45414</v>
      </c>
      <c r="H612" s="5">
        <v>0.62569444444444444</v>
      </c>
      <c r="I612" s="4">
        <v>45617</v>
      </c>
      <c r="J612" s="5">
        <v>0.72291666666666665</v>
      </c>
      <c r="K612" s="10">
        <v>44.557417000000001</v>
      </c>
      <c r="L612" s="18">
        <v>-63.9544</v>
      </c>
      <c r="O612" s="6" t="s">
        <v>368</v>
      </c>
      <c r="P612" s="6" t="s">
        <v>369</v>
      </c>
      <c r="Q612" s="6" t="s">
        <v>601</v>
      </c>
      <c r="R612" s="6" t="s">
        <v>602</v>
      </c>
      <c r="S612" s="6" t="s">
        <v>244</v>
      </c>
      <c r="T612" s="11">
        <v>21155082</v>
      </c>
      <c r="U612" s="7">
        <v>5</v>
      </c>
      <c r="V612" s="6" t="s">
        <v>36</v>
      </c>
      <c r="W612" s="7">
        <v>25.4</v>
      </c>
      <c r="X612" s="6" t="s">
        <v>35</v>
      </c>
      <c r="Y612" s="7">
        <v>1.7</v>
      </c>
      <c r="Z612" s="7">
        <v>1</v>
      </c>
      <c r="AA612" s="6" t="s">
        <v>370</v>
      </c>
      <c r="AB612" s="6" t="s">
        <v>38</v>
      </c>
      <c r="AD612" s="6" t="s">
        <v>39</v>
      </c>
      <c r="AE612" s="6"/>
      <c r="AG612" s="6" t="s">
        <v>37</v>
      </c>
      <c r="AH612" s="7">
        <v>60</v>
      </c>
      <c r="AI612" s="6" t="s">
        <v>40</v>
      </c>
      <c r="AJ612" s="6" t="s">
        <v>238</v>
      </c>
      <c r="AK612" s="6" t="s">
        <v>241</v>
      </c>
      <c r="AL612" s="6" t="s">
        <v>41</v>
      </c>
      <c r="AM612" s="6" t="s">
        <v>41</v>
      </c>
      <c r="AN612" s="6" t="s">
        <v>1331</v>
      </c>
    </row>
    <row r="613" spans="1:40" x14ac:dyDescent="0.25">
      <c r="A613" s="4">
        <v>44543</v>
      </c>
      <c r="B613" s="6" t="s">
        <v>210</v>
      </c>
      <c r="C613" t="str">
        <f>_xlfn.XLOOKUP(Table3[[#This Row],[station]],station_waterbody_county!A:A, station_waterbody_county!B:B)</f>
        <v>St. Margarets Bay</v>
      </c>
      <c r="D613" t="str">
        <f>_xlfn.XLOOKUP(Table3[[#This Row],[station]],station_waterbody_county!A:A, station_waterbody_county!C:C)</f>
        <v>Halifax</v>
      </c>
      <c r="E613" s="6"/>
      <c r="F613" s="6" t="s">
        <v>310</v>
      </c>
      <c r="G613" s="4">
        <v>45414</v>
      </c>
      <c r="H613" s="5">
        <v>0.62569444444444444</v>
      </c>
      <c r="I613" s="4">
        <v>45617</v>
      </c>
      <c r="J613" s="5">
        <v>0.72291666666666665</v>
      </c>
      <c r="K613" s="10">
        <v>44.557417000000001</v>
      </c>
      <c r="L613" s="18">
        <v>-63.9544</v>
      </c>
      <c r="O613" s="6" t="s">
        <v>368</v>
      </c>
      <c r="P613" s="6" t="s">
        <v>369</v>
      </c>
      <c r="Q613" s="6" t="s">
        <v>601</v>
      </c>
      <c r="R613" s="6" t="s">
        <v>602</v>
      </c>
      <c r="S613" s="6" t="s">
        <v>239</v>
      </c>
      <c r="T613" s="11">
        <v>20308048</v>
      </c>
      <c r="U613" s="7">
        <v>10</v>
      </c>
      <c r="V613" s="6" t="s">
        <v>36</v>
      </c>
      <c r="W613" s="7">
        <v>25.4</v>
      </c>
      <c r="X613" s="6" t="s">
        <v>35</v>
      </c>
      <c r="Y613" s="7">
        <v>1.7</v>
      </c>
      <c r="Z613" s="7">
        <v>1</v>
      </c>
      <c r="AA613" s="6" t="s">
        <v>370</v>
      </c>
      <c r="AB613" s="6" t="s">
        <v>38</v>
      </c>
      <c r="AD613" s="6" t="s">
        <v>39</v>
      </c>
      <c r="AE613" s="6"/>
      <c r="AG613" s="6" t="s">
        <v>37</v>
      </c>
      <c r="AH613" s="7">
        <v>60</v>
      </c>
      <c r="AI613" s="6" t="s">
        <v>40</v>
      </c>
      <c r="AJ613" s="6" t="s">
        <v>238</v>
      </c>
      <c r="AK613" s="6" t="s">
        <v>241</v>
      </c>
      <c r="AL613" s="6" t="s">
        <v>41</v>
      </c>
      <c r="AM613" s="6" t="s">
        <v>41</v>
      </c>
      <c r="AN613" s="6" t="s">
        <v>658</v>
      </c>
    </row>
    <row r="614" spans="1:40" x14ac:dyDescent="0.25">
      <c r="A614" s="4">
        <v>44543</v>
      </c>
      <c r="B614" s="6" t="s">
        <v>210</v>
      </c>
      <c r="C614" t="str">
        <f>_xlfn.XLOOKUP(Table3[[#This Row],[station]],station_waterbody_county!A:A, station_waterbody_county!B:B)</f>
        <v>St. Margarets Bay</v>
      </c>
      <c r="D614" t="str">
        <f>_xlfn.XLOOKUP(Table3[[#This Row],[station]],station_waterbody_county!A:A, station_waterbody_county!C:C)</f>
        <v>Halifax</v>
      </c>
      <c r="E614" s="6"/>
      <c r="F614" s="6" t="s">
        <v>310</v>
      </c>
      <c r="G614" s="4">
        <v>45414</v>
      </c>
      <c r="H614" s="5">
        <v>0.62569444444444444</v>
      </c>
      <c r="I614" s="4">
        <v>45617</v>
      </c>
      <c r="J614" s="5">
        <v>0.72291666666666665</v>
      </c>
      <c r="K614" s="10">
        <v>44.557417000000001</v>
      </c>
      <c r="L614" s="18">
        <v>-63.9544</v>
      </c>
      <c r="O614" s="6" t="s">
        <v>368</v>
      </c>
      <c r="P614" s="6" t="s">
        <v>369</v>
      </c>
      <c r="Q614" s="6" t="s">
        <v>601</v>
      </c>
      <c r="R614" s="6" t="s">
        <v>602</v>
      </c>
      <c r="S614" s="6" t="s">
        <v>239</v>
      </c>
      <c r="T614" s="11">
        <v>21465746</v>
      </c>
      <c r="U614" s="7">
        <v>15</v>
      </c>
      <c r="V614" s="6" t="s">
        <v>36</v>
      </c>
      <c r="W614" s="7">
        <v>25.4</v>
      </c>
      <c r="X614" s="6" t="s">
        <v>35</v>
      </c>
      <c r="Y614" s="7">
        <v>1.7</v>
      </c>
      <c r="Z614" s="7">
        <v>1</v>
      </c>
      <c r="AA614" s="6" t="s">
        <v>370</v>
      </c>
      <c r="AB614" s="6" t="s">
        <v>38</v>
      </c>
      <c r="AD614" s="6" t="s">
        <v>39</v>
      </c>
      <c r="AE614" s="6"/>
      <c r="AG614" s="6" t="s">
        <v>37</v>
      </c>
      <c r="AH614" s="7">
        <v>60</v>
      </c>
      <c r="AI614" s="6" t="s">
        <v>40</v>
      </c>
      <c r="AJ614" s="6" t="s">
        <v>238</v>
      </c>
      <c r="AK614" s="6" t="s">
        <v>241</v>
      </c>
      <c r="AL614" s="6" t="s">
        <v>41</v>
      </c>
      <c r="AM614" s="6" t="s">
        <v>41</v>
      </c>
      <c r="AN614" s="6" t="s">
        <v>658</v>
      </c>
    </row>
    <row r="615" spans="1:40" x14ac:dyDescent="0.25">
      <c r="A615" s="4">
        <v>44543</v>
      </c>
      <c r="B615" s="6" t="s">
        <v>210</v>
      </c>
      <c r="C615" t="str">
        <f>_xlfn.XLOOKUP(Table3[[#This Row],[station]],station_waterbody_county!A:A, station_waterbody_county!B:B)</f>
        <v>St. Margarets Bay</v>
      </c>
      <c r="D615" t="str">
        <f>_xlfn.XLOOKUP(Table3[[#This Row],[station]],station_waterbody_county!A:A, station_waterbody_county!C:C)</f>
        <v>Halifax</v>
      </c>
      <c r="E615" s="6"/>
      <c r="F615" s="6" t="s">
        <v>310</v>
      </c>
      <c r="G615" s="4">
        <v>45414</v>
      </c>
      <c r="H615" s="5">
        <v>0.62569444444444444</v>
      </c>
      <c r="I615" s="4">
        <v>45617</v>
      </c>
      <c r="J615" s="5">
        <v>0.72291666666666665</v>
      </c>
      <c r="K615" s="10">
        <v>44.557417000000001</v>
      </c>
      <c r="L615" s="18">
        <v>-63.9544</v>
      </c>
      <c r="O615" s="6" t="s">
        <v>368</v>
      </c>
      <c r="P615" s="6" t="s">
        <v>369</v>
      </c>
      <c r="Q615" s="6" t="s">
        <v>601</v>
      </c>
      <c r="R615" s="6" t="s">
        <v>602</v>
      </c>
      <c r="S615" s="6" t="s">
        <v>259</v>
      </c>
      <c r="T615" s="11">
        <v>600016</v>
      </c>
      <c r="U615" s="7">
        <v>20</v>
      </c>
      <c r="V615" s="6" t="s">
        <v>36</v>
      </c>
      <c r="W615" s="7">
        <v>25.4</v>
      </c>
      <c r="X615" s="6" t="s">
        <v>35</v>
      </c>
      <c r="Y615" s="7">
        <v>1.7</v>
      </c>
      <c r="Z615" s="7">
        <v>1</v>
      </c>
      <c r="AA615" s="6" t="s">
        <v>370</v>
      </c>
      <c r="AB615" s="6" t="s">
        <v>38</v>
      </c>
      <c r="AD615" s="6" t="s">
        <v>39</v>
      </c>
      <c r="AE615" s="6"/>
      <c r="AG615" s="6" t="s">
        <v>37</v>
      </c>
      <c r="AH615" s="7">
        <v>60</v>
      </c>
      <c r="AI615" s="6" t="s">
        <v>40</v>
      </c>
      <c r="AJ615" s="6" t="s">
        <v>238</v>
      </c>
      <c r="AK615" s="6" t="s">
        <v>241</v>
      </c>
      <c r="AL615" s="6" t="s">
        <v>41</v>
      </c>
      <c r="AM615" s="6" t="s">
        <v>41</v>
      </c>
      <c r="AN615" s="6" t="s">
        <v>658</v>
      </c>
    </row>
    <row r="616" spans="1:40" hidden="1" x14ac:dyDescent="0.25">
      <c r="A616" s="4">
        <v>45678</v>
      </c>
      <c r="B616" s="6" t="s">
        <v>210</v>
      </c>
      <c r="C616" t="str">
        <f>_xlfn.XLOOKUP(Table3[[#This Row],[station]],station_waterbody_county!A:A, station_waterbody_county!B:B)</f>
        <v>St. Margarets Bay</v>
      </c>
      <c r="D616" t="str">
        <f>_xlfn.XLOOKUP(Table3[[#This Row],[station]],station_waterbody_county!A:A, station_waterbody_county!C:C)</f>
        <v>Halifax</v>
      </c>
      <c r="E616" s="6"/>
      <c r="F616" s="6" t="s">
        <v>310</v>
      </c>
      <c r="G616" s="12">
        <v>45240</v>
      </c>
      <c r="H616" s="5"/>
      <c r="I616" s="4">
        <v>45414</v>
      </c>
      <c r="J616" s="5">
        <v>0.59166666666666667</v>
      </c>
      <c r="K616" s="10">
        <v>44.557394000000002</v>
      </c>
      <c r="L616" s="10">
        <v>-63.953904000000001</v>
      </c>
      <c r="M616" s="10">
        <v>44.557434000000001</v>
      </c>
      <c r="N616" s="10">
        <v>-63.954093</v>
      </c>
      <c r="O616" s="6"/>
      <c r="Q616" s="6" t="s">
        <v>366</v>
      </c>
      <c r="R616" s="6" t="s">
        <v>367</v>
      </c>
      <c r="S616" s="6" t="s">
        <v>239</v>
      </c>
      <c r="T616" s="11">
        <v>20495227</v>
      </c>
      <c r="U616" s="7">
        <v>2</v>
      </c>
      <c r="V616" s="6" t="s">
        <v>36</v>
      </c>
      <c r="W616" s="7">
        <v>24</v>
      </c>
      <c r="X616" s="6" t="s">
        <v>35</v>
      </c>
      <c r="Y616" s="7">
        <v>0.4</v>
      </c>
      <c r="Z616" s="7">
        <v>1.5</v>
      </c>
      <c r="AA616" s="6" t="s">
        <v>251</v>
      </c>
      <c r="AB616" s="6" t="s">
        <v>38</v>
      </c>
      <c r="AD616" s="6" t="s">
        <v>39</v>
      </c>
      <c r="AE616" s="6"/>
      <c r="AG616" s="6" t="s">
        <v>37</v>
      </c>
      <c r="AH616" s="7"/>
      <c r="AI616" s="6" t="s">
        <v>40</v>
      </c>
      <c r="AJ616" s="6" t="s">
        <v>238</v>
      </c>
      <c r="AK616" s="6" t="s">
        <v>35</v>
      </c>
      <c r="AL616" s="6" t="s">
        <v>271</v>
      </c>
      <c r="AM616" s="6" t="s">
        <v>41</v>
      </c>
    </row>
    <row r="617" spans="1:40" hidden="1" x14ac:dyDescent="0.25">
      <c r="A617" s="4">
        <v>45678</v>
      </c>
      <c r="B617" s="6" t="s">
        <v>210</v>
      </c>
      <c r="C617" t="str">
        <f>_xlfn.XLOOKUP(Table3[[#This Row],[station]],station_waterbody_county!A:A, station_waterbody_county!B:B)</f>
        <v>St. Margarets Bay</v>
      </c>
      <c r="D617" t="str">
        <f>_xlfn.XLOOKUP(Table3[[#This Row],[station]],station_waterbody_county!A:A, station_waterbody_county!C:C)</f>
        <v>Halifax</v>
      </c>
      <c r="E617" s="6"/>
      <c r="F617" s="6" t="s">
        <v>310</v>
      </c>
      <c r="G617" s="12">
        <v>45240</v>
      </c>
      <c r="H617" s="5"/>
      <c r="I617" s="4">
        <v>45414</v>
      </c>
      <c r="J617" s="5">
        <v>0.59166666666666667</v>
      </c>
      <c r="K617" s="10">
        <v>44.557394000000002</v>
      </c>
      <c r="L617" s="10">
        <v>-63.953904000000001</v>
      </c>
      <c r="M617" s="10">
        <v>44.557434000000001</v>
      </c>
      <c r="N617" s="10">
        <v>-63.954093</v>
      </c>
      <c r="O617" s="6"/>
      <c r="Q617" s="6" t="s">
        <v>366</v>
      </c>
      <c r="R617" s="6" t="s">
        <v>367</v>
      </c>
      <c r="S617" s="6" t="s">
        <v>239</v>
      </c>
      <c r="T617" s="11">
        <v>20291451</v>
      </c>
      <c r="U617" s="7">
        <v>10</v>
      </c>
      <c r="V617" s="6" t="s">
        <v>36</v>
      </c>
      <c r="W617" s="7">
        <v>24</v>
      </c>
      <c r="X617" s="6" t="s">
        <v>35</v>
      </c>
      <c r="Y617" s="7">
        <v>0.4</v>
      </c>
      <c r="Z617" s="7">
        <v>1.5</v>
      </c>
      <c r="AA617" s="6" t="s">
        <v>251</v>
      </c>
      <c r="AB617" s="6" t="s">
        <v>38</v>
      </c>
      <c r="AD617" s="6" t="s">
        <v>39</v>
      </c>
      <c r="AE617" s="6"/>
      <c r="AG617" s="6" t="s">
        <v>37</v>
      </c>
      <c r="AH617" s="7"/>
      <c r="AI617" s="6" t="s">
        <v>40</v>
      </c>
      <c r="AJ617" s="6" t="s">
        <v>238</v>
      </c>
      <c r="AK617" s="6" t="s">
        <v>35</v>
      </c>
      <c r="AL617" s="6" t="s">
        <v>271</v>
      </c>
      <c r="AM617" s="6" t="s">
        <v>41</v>
      </c>
    </row>
    <row r="618" spans="1:40" hidden="1" x14ac:dyDescent="0.25">
      <c r="A618" s="4">
        <v>45678</v>
      </c>
      <c r="B618" s="6" t="s">
        <v>210</v>
      </c>
      <c r="C618" t="str">
        <f>_xlfn.XLOOKUP(Table3[[#This Row],[station]],station_waterbody_county!A:A, station_waterbody_county!B:B)</f>
        <v>St. Margarets Bay</v>
      </c>
      <c r="D618" t="str">
        <f>_xlfn.XLOOKUP(Table3[[#This Row],[station]],station_waterbody_county!A:A, station_waterbody_county!C:C)</f>
        <v>Halifax</v>
      </c>
      <c r="E618" s="6"/>
      <c r="F618" s="6" t="s">
        <v>310</v>
      </c>
      <c r="G618" s="12">
        <v>45240</v>
      </c>
      <c r="H618" s="5"/>
      <c r="I618" s="4">
        <v>45414</v>
      </c>
      <c r="J618" s="5">
        <v>0.59166666666666667</v>
      </c>
      <c r="K618" s="10">
        <v>44.557394000000002</v>
      </c>
      <c r="L618" s="10">
        <v>-63.953904000000001</v>
      </c>
      <c r="M618" s="10">
        <v>44.557434000000001</v>
      </c>
      <c r="N618" s="10">
        <v>-63.954093</v>
      </c>
      <c r="O618" s="6"/>
      <c r="Q618" s="6" t="s">
        <v>366</v>
      </c>
      <c r="R618" s="6" t="s">
        <v>367</v>
      </c>
      <c r="S618" s="6" t="s">
        <v>239</v>
      </c>
      <c r="T618" s="11">
        <v>21434534</v>
      </c>
      <c r="U618" s="7">
        <v>15</v>
      </c>
      <c r="V618" s="6" t="s">
        <v>36</v>
      </c>
      <c r="W618" s="7">
        <v>24</v>
      </c>
      <c r="X618" s="6" t="s">
        <v>35</v>
      </c>
      <c r="Y618" s="7">
        <v>0.4</v>
      </c>
      <c r="Z618" s="7">
        <v>1.5</v>
      </c>
      <c r="AA618" s="6" t="s">
        <v>251</v>
      </c>
      <c r="AB618" s="6" t="s">
        <v>38</v>
      </c>
      <c r="AD618" s="6" t="s">
        <v>39</v>
      </c>
      <c r="AE618" s="6"/>
      <c r="AG618" s="6" t="s">
        <v>37</v>
      </c>
      <c r="AH618" s="7"/>
      <c r="AI618" s="6" t="s">
        <v>40</v>
      </c>
      <c r="AJ618" s="6" t="s">
        <v>238</v>
      </c>
      <c r="AK618" s="6" t="s">
        <v>35</v>
      </c>
      <c r="AL618" s="6" t="s">
        <v>271</v>
      </c>
      <c r="AM618" s="6" t="s">
        <v>41</v>
      </c>
    </row>
    <row r="619" spans="1:40" hidden="1" x14ac:dyDescent="0.25">
      <c r="A619" s="4">
        <v>45678</v>
      </c>
      <c r="B619" s="6" t="s">
        <v>210</v>
      </c>
      <c r="C619" t="str">
        <f>_xlfn.XLOOKUP(Table3[[#This Row],[station]],station_waterbody_county!A:A, station_waterbody_county!B:B)</f>
        <v>St. Margarets Bay</v>
      </c>
      <c r="D619" t="str">
        <f>_xlfn.XLOOKUP(Table3[[#This Row],[station]],station_waterbody_county!A:A, station_waterbody_county!C:C)</f>
        <v>Halifax</v>
      </c>
      <c r="E619" s="6"/>
      <c r="F619" s="6" t="s">
        <v>310</v>
      </c>
      <c r="G619" s="12">
        <v>45240</v>
      </c>
      <c r="H619" s="5"/>
      <c r="I619" s="4">
        <v>45414</v>
      </c>
      <c r="J619" s="5">
        <v>0.59166666666666667</v>
      </c>
      <c r="K619" s="10">
        <v>44.557394000000002</v>
      </c>
      <c r="L619" s="10">
        <v>-63.953904000000001</v>
      </c>
      <c r="M619" s="10">
        <v>44.557434000000001</v>
      </c>
      <c r="N619" s="10">
        <v>-63.954093</v>
      </c>
      <c r="O619" s="6"/>
      <c r="Q619" s="6" t="s">
        <v>366</v>
      </c>
      <c r="R619" s="6" t="s">
        <v>367</v>
      </c>
      <c r="S619" s="6" t="s">
        <v>42</v>
      </c>
      <c r="T619" s="11">
        <v>547109</v>
      </c>
      <c r="U619" s="7">
        <v>20</v>
      </c>
      <c r="V619" s="6" t="s">
        <v>36</v>
      </c>
      <c r="W619" s="7">
        <v>24</v>
      </c>
      <c r="X619" s="6" t="s">
        <v>35</v>
      </c>
      <c r="Y619" s="7">
        <v>0.4</v>
      </c>
      <c r="Z619" s="7">
        <v>1.5</v>
      </c>
      <c r="AA619" s="6" t="s">
        <v>251</v>
      </c>
      <c r="AB619" s="6" t="s">
        <v>38</v>
      </c>
      <c r="AD619" s="6" t="s">
        <v>39</v>
      </c>
      <c r="AE619" s="6"/>
      <c r="AG619" s="6" t="s">
        <v>37</v>
      </c>
      <c r="AH619" s="7"/>
      <c r="AI619" s="6" t="s">
        <v>40</v>
      </c>
      <c r="AJ619" s="6" t="s">
        <v>238</v>
      </c>
      <c r="AK619" s="6" t="s">
        <v>35</v>
      </c>
      <c r="AL619" s="6" t="s">
        <v>271</v>
      </c>
      <c r="AM619" s="6" t="s">
        <v>41</v>
      </c>
    </row>
    <row r="620" spans="1:40" x14ac:dyDescent="0.25">
      <c r="A620" s="4">
        <v>45784</v>
      </c>
      <c r="B620" s="6" t="s">
        <v>210</v>
      </c>
      <c r="C620" t="str">
        <f>_xlfn.XLOOKUP(Table3[[#This Row],[station]],station_waterbody_county!A:A, station_waterbody_county!B:B)</f>
        <v>St. Margarets Bay</v>
      </c>
      <c r="D620" t="str">
        <f>_xlfn.XLOOKUP(Table3[[#This Row],[station]],station_waterbody_county!A:A, station_waterbody_county!C:C)</f>
        <v>Halifax</v>
      </c>
      <c r="E620" s="6"/>
      <c r="F620" s="6" t="s">
        <v>310</v>
      </c>
      <c r="G620" s="4">
        <v>45617</v>
      </c>
      <c r="H620" s="5">
        <v>0.73750000000000004</v>
      </c>
      <c r="I620" s="4">
        <v>45779</v>
      </c>
      <c r="J620" s="5">
        <v>0.56527777777777777</v>
      </c>
      <c r="K620" s="10"/>
      <c r="O620" s="6" t="s">
        <v>603</v>
      </c>
      <c r="P620" s="6" t="s">
        <v>604</v>
      </c>
      <c r="Q620" s="6" t="s">
        <v>1254</v>
      </c>
      <c r="R620" s="6" t="s">
        <v>1255</v>
      </c>
      <c r="S620" s="6" t="s">
        <v>239</v>
      </c>
      <c r="T620" s="11">
        <v>21082884</v>
      </c>
      <c r="U620" s="7">
        <v>2</v>
      </c>
      <c r="V620" s="6" t="s">
        <v>36</v>
      </c>
      <c r="W620" s="7">
        <v>23.4</v>
      </c>
      <c r="X620" s="6" t="s">
        <v>35</v>
      </c>
      <c r="Y620" s="7">
        <v>1.4</v>
      </c>
      <c r="Z620" s="7">
        <v>1.5</v>
      </c>
      <c r="AA620" s="6" t="s">
        <v>251</v>
      </c>
      <c r="AB620" s="6" t="s">
        <v>38</v>
      </c>
      <c r="AD620" s="6" t="s">
        <v>39</v>
      </c>
      <c r="AE620" s="6"/>
      <c r="AG620" s="6" t="s">
        <v>37</v>
      </c>
      <c r="AH620" s="7">
        <v>60</v>
      </c>
      <c r="AI620" s="6" t="s">
        <v>40</v>
      </c>
      <c r="AJ620" s="6" t="s">
        <v>238</v>
      </c>
      <c r="AK620" s="6" t="s">
        <v>35</v>
      </c>
      <c r="AL620" s="6" t="s">
        <v>41</v>
      </c>
      <c r="AM620" s="6" t="s">
        <v>41</v>
      </c>
      <c r="AN620" s="6" t="s">
        <v>1308</v>
      </c>
    </row>
    <row r="621" spans="1:40" x14ac:dyDescent="0.25">
      <c r="A621" s="4">
        <v>45784</v>
      </c>
      <c r="B621" s="6" t="s">
        <v>210</v>
      </c>
      <c r="C621" t="str">
        <f>_xlfn.XLOOKUP(Table3[[#This Row],[station]],station_waterbody_county!A:A, station_waterbody_county!B:B)</f>
        <v>St. Margarets Bay</v>
      </c>
      <c r="D621" t="str">
        <f>_xlfn.XLOOKUP(Table3[[#This Row],[station]],station_waterbody_county!A:A, station_waterbody_county!C:C)</f>
        <v>Halifax</v>
      </c>
      <c r="E621" s="6"/>
      <c r="F621" s="6" t="s">
        <v>310</v>
      </c>
      <c r="G621" s="4">
        <v>45617</v>
      </c>
      <c r="H621" s="5">
        <v>0.73750000000000004</v>
      </c>
      <c r="I621" s="4">
        <v>45779</v>
      </c>
      <c r="J621" s="5">
        <v>0.56527777777777777</v>
      </c>
      <c r="K621" s="10"/>
      <c r="O621" s="6" t="s">
        <v>603</v>
      </c>
      <c r="P621" s="6" t="s">
        <v>604</v>
      </c>
      <c r="Q621" s="6" t="s">
        <v>1254</v>
      </c>
      <c r="R621" s="6" t="s">
        <v>1255</v>
      </c>
      <c r="S621" s="6" t="s">
        <v>244</v>
      </c>
      <c r="T621" s="11">
        <v>21155079</v>
      </c>
      <c r="U621" s="7">
        <v>5</v>
      </c>
      <c r="V621" s="6" t="s">
        <v>36</v>
      </c>
      <c r="W621" s="7">
        <v>23.4</v>
      </c>
      <c r="X621" s="6" t="s">
        <v>35</v>
      </c>
      <c r="Y621" s="7">
        <v>1.4</v>
      </c>
      <c r="Z621" s="7">
        <v>1.5</v>
      </c>
      <c r="AA621" s="6" t="s">
        <v>251</v>
      </c>
      <c r="AB621" s="6" t="s">
        <v>38</v>
      </c>
      <c r="AD621" s="6" t="s">
        <v>39</v>
      </c>
      <c r="AE621" s="6"/>
      <c r="AG621" s="6" t="s">
        <v>37</v>
      </c>
      <c r="AH621" s="7">
        <v>60</v>
      </c>
      <c r="AI621" s="6" t="s">
        <v>40</v>
      </c>
      <c r="AJ621" s="6" t="s">
        <v>238</v>
      </c>
      <c r="AK621" s="6" t="s">
        <v>35</v>
      </c>
      <c r="AL621" s="6" t="s">
        <v>41</v>
      </c>
      <c r="AM621" s="6" t="s">
        <v>41</v>
      </c>
      <c r="AN621" s="6" t="s">
        <v>1306</v>
      </c>
    </row>
    <row r="622" spans="1:40" x14ac:dyDescent="0.25">
      <c r="A622" s="4">
        <v>45784</v>
      </c>
      <c r="B622" s="6" t="s">
        <v>210</v>
      </c>
      <c r="C622" t="str">
        <f>_xlfn.XLOOKUP(Table3[[#This Row],[station]],station_waterbody_county!A:A, station_waterbody_county!B:B)</f>
        <v>St. Margarets Bay</v>
      </c>
      <c r="D622" t="str">
        <f>_xlfn.XLOOKUP(Table3[[#This Row],[station]],station_waterbody_county!A:A, station_waterbody_county!C:C)</f>
        <v>Halifax</v>
      </c>
      <c r="E622" s="6"/>
      <c r="F622" s="6" t="s">
        <v>310</v>
      </c>
      <c r="G622" s="4">
        <v>45617</v>
      </c>
      <c r="H622" s="5">
        <v>0.73750000000000004</v>
      </c>
      <c r="I622" s="4">
        <v>45779</v>
      </c>
      <c r="J622" s="5">
        <v>0.56527777777777777</v>
      </c>
      <c r="K622" s="10"/>
      <c r="O622" s="6" t="s">
        <v>603</v>
      </c>
      <c r="P622" s="6" t="s">
        <v>604</v>
      </c>
      <c r="Q622" s="6" t="s">
        <v>1254</v>
      </c>
      <c r="R622" s="6" t="s">
        <v>1255</v>
      </c>
      <c r="S622" s="6" t="s">
        <v>239</v>
      </c>
      <c r="T622" s="11">
        <v>10817501</v>
      </c>
      <c r="U622" s="7">
        <v>10</v>
      </c>
      <c r="V622" s="6" t="s">
        <v>36</v>
      </c>
      <c r="W622" s="7">
        <v>23.4</v>
      </c>
      <c r="X622" s="6" t="s">
        <v>35</v>
      </c>
      <c r="Y622" s="7">
        <v>1.4</v>
      </c>
      <c r="Z622" s="7">
        <v>1.5</v>
      </c>
      <c r="AA622" s="6" t="s">
        <v>251</v>
      </c>
      <c r="AB622" s="6" t="s">
        <v>38</v>
      </c>
      <c r="AD622" s="6" t="s">
        <v>39</v>
      </c>
      <c r="AE622" s="6"/>
      <c r="AG622" s="6" t="s">
        <v>37</v>
      </c>
      <c r="AH622" s="7">
        <v>60</v>
      </c>
      <c r="AI622" s="6" t="s">
        <v>40</v>
      </c>
      <c r="AJ622" s="6" t="s">
        <v>238</v>
      </c>
      <c r="AK622" s="6" t="s">
        <v>35</v>
      </c>
      <c r="AL622" s="6" t="s">
        <v>41</v>
      </c>
      <c r="AM622" s="6" t="s">
        <v>41</v>
      </c>
      <c r="AN622" s="6" t="s">
        <v>1306</v>
      </c>
    </row>
    <row r="623" spans="1:40" x14ac:dyDescent="0.25">
      <c r="A623" s="4">
        <v>45784</v>
      </c>
      <c r="B623" s="6" t="s">
        <v>210</v>
      </c>
      <c r="C623" t="str">
        <f>_xlfn.XLOOKUP(Table3[[#This Row],[station]],station_waterbody_county!A:A, station_waterbody_county!B:B)</f>
        <v>St. Margarets Bay</v>
      </c>
      <c r="D623" t="str">
        <f>_xlfn.XLOOKUP(Table3[[#This Row],[station]],station_waterbody_county!A:A, station_waterbody_county!C:C)</f>
        <v>Halifax</v>
      </c>
      <c r="E623" s="6"/>
      <c r="F623" s="6" t="s">
        <v>310</v>
      </c>
      <c r="G623" s="4">
        <v>45617</v>
      </c>
      <c r="H623" s="5">
        <v>0.73750000000000004</v>
      </c>
      <c r="I623" s="4">
        <v>45779</v>
      </c>
      <c r="J623" s="5">
        <v>0.56527777777777777</v>
      </c>
      <c r="K623" s="10"/>
      <c r="O623" s="6" t="s">
        <v>603</v>
      </c>
      <c r="P623" s="6" t="s">
        <v>604</v>
      </c>
      <c r="Q623" s="6" t="s">
        <v>1254</v>
      </c>
      <c r="R623" s="6" t="s">
        <v>1255</v>
      </c>
      <c r="S623" s="6" t="s">
        <v>239</v>
      </c>
      <c r="T623" s="11">
        <v>22030596</v>
      </c>
      <c r="U623" s="7">
        <v>15</v>
      </c>
      <c r="V623" s="6" t="s">
        <v>36</v>
      </c>
      <c r="W623" s="7">
        <v>23.4</v>
      </c>
      <c r="X623" s="6" t="s">
        <v>35</v>
      </c>
      <c r="Y623" s="7">
        <v>1.4</v>
      </c>
      <c r="Z623" s="7">
        <v>1.5</v>
      </c>
      <c r="AA623" s="6" t="s">
        <v>251</v>
      </c>
      <c r="AB623" s="6" t="s">
        <v>38</v>
      </c>
      <c r="AD623" s="6" t="s">
        <v>39</v>
      </c>
      <c r="AE623" s="6"/>
      <c r="AG623" s="6" t="s">
        <v>37</v>
      </c>
      <c r="AH623" s="7">
        <v>60</v>
      </c>
      <c r="AI623" s="6" t="s">
        <v>40</v>
      </c>
      <c r="AJ623" s="6" t="s">
        <v>238</v>
      </c>
      <c r="AK623" s="6" t="s">
        <v>35</v>
      </c>
      <c r="AL623" s="6" t="s">
        <v>41</v>
      </c>
      <c r="AM623" s="6" t="s">
        <v>41</v>
      </c>
      <c r="AN623" s="6" t="s">
        <v>1306</v>
      </c>
    </row>
    <row r="624" spans="1:40" x14ac:dyDescent="0.25">
      <c r="A624" s="4">
        <v>45784</v>
      </c>
      <c r="B624" s="6" t="s">
        <v>210</v>
      </c>
      <c r="C624" t="str">
        <f>_xlfn.XLOOKUP(Table3[[#This Row],[station]],station_waterbody_county!A:A, station_waterbody_county!B:B)</f>
        <v>St. Margarets Bay</v>
      </c>
      <c r="D624" t="str">
        <f>_xlfn.XLOOKUP(Table3[[#This Row],[station]],station_waterbody_county!A:A, station_waterbody_county!C:C)</f>
        <v>Halifax</v>
      </c>
      <c r="E624" s="6"/>
      <c r="F624" s="6" t="s">
        <v>310</v>
      </c>
      <c r="G624" s="4">
        <v>45617</v>
      </c>
      <c r="H624" s="5">
        <v>0.73750000000000004</v>
      </c>
      <c r="I624" s="4">
        <v>45779</v>
      </c>
      <c r="J624" s="5">
        <v>0.56527777777777777</v>
      </c>
      <c r="K624" s="10"/>
      <c r="O624" s="6" t="s">
        <v>603</v>
      </c>
      <c r="P624" s="6" t="s">
        <v>604</v>
      </c>
      <c r="Q624" s="6" t="s">
        <v>1254</v>
      </c>
      <c r="R624" s="6" t="s">
        <v>1255</v>
      </c>
      <c r="S624" s="6" t="s">
        <v>42</v>
      </c>
      <c r="T624" s="11">
        <v>548600</v>
      </c>
      <c r="U624" s="7">
        <v>20</v>
      </c>
      <c r="V624" s="6" t="s">
        <v>36</v>
      </c>
      <c r="W624" s="7">
        <v>23.4</v>
      </c>
      <c r="X624" s="6" t="s">
        <v>35</v>
      </c>
      <c r="Y624" s="7">
        <v>1.4</v>
      </c>
      <c r="Z624" s="7">
        <v>1.5</v>
      </c>
      <c r="AA624" s="6" t="s">
        <v>251</v>
      </c>
      <c r="AB624" s="6" t="s">
        <v>38</v>
      </c>
      <c r="AD624" s="6" t="s">
        <v>39</v>
      </c>
      <c r="AE624" s="6"/>
      <c r="AG624" s="6" t="s">
        <v>37</v>
      </c>
      <c r="AH624" s="7">
        <v>60</v>
      </c>
      <c r="AI624" s="6" t="s">
        <v>40</v>
      </c>
      <c r="AJ624" s="6" t="s">
        <v>238</v>
      </c>
      <c r="AK624" s="6" t="s">
        <v>35</v>
      </c>
      <c r="AL624" s="6" t="s">
        <v>41</v>
      </c>
      <c r="AM624" s="6" t="s">
        <v>41</v>
      </c>
      <c r="AN624" s="6" t="s">
        <v>1306</v>
      </c>
    </row>
    <row r="625" spans="1:40" x14ac:dyDescent="0.25">
      <c r="A625" s="4">
        <v>45784</v>
      </c>
      <c r="B625" s="6" t="s">
        <v>210</v>
      </c>
      <c r="C625" t="str">
        <f>_xlfn.XLOOKUP(Table3[[#This Row],[station]],station_waterbody_county!A:A, station_waterbody_county!B:B)</f>
        <v>St. Margarets Bay</v>
      </c>
      <c r="D625" t="str">
        <f>_xlfn.XLOOKUP(Table3[[#This Row],[station]],station_waterbody_county!A:A, station_waterbody_county!C:C)</f>
        <v>Halifax</v>
      </c>
      <c r="E625" s="6"/>
      <c r="F625" s="6" t="s">
        <v>310</v>
      </c>
      <c r="G625" s="4">
        <v>45617</v>
      </c>
      <c r="H625" s="5">
        <v>0.73750000000000004</v>
      </c>
      <c r="I625" s="4">
        <v>45779</v>
      </c>
      <c r="J625" s="5">
        <v>0.56527777777777777</v>
      </c>
      <c r="K625" s="10"/>
      <c r="O625" s="6" t="s">
        <v>603</v>
      </c>
      <c r="P625" s="6" t="s">
        <v>604</v>
      </c>
      <c r="Q625" s="6" t="s">
        <v>1254</v>
      </c>
      <c r="R625" s="6" t="s">
        <v>1255</v>
      </c>
      <c r="S625" s="6" t="s">
        <v>239</v>
      </c>
      <c r="T625" s="11">
        <v>22048593</v>
      </c>
      <c r="U625" s="7">
        <v>20</v>
      </c>
      <c r="V625" s="6" t="s">
        <v>36</v>
      </c>
      <c r="W625" s="7">
        <v>23.4</v>
      </c>
      <c r="X625" s="6" t="s">
        <v>35</v>
      </c>
      <c r="Y625" s="7">
        <v>1.4</v>
      </c>
      <c r="Z625" s="7">
        <v>1.5</v>
      </c>
      <c r="AA625" s="6" t="s">
        <v>251</v>
      </c>
      <c r="AB625" s="6" t="s">
        <v>38</v>
      </c>
      <c r="AD625" s="6" t="s">
        <v>39</v>
      </c>
      <c r="AE625" s="6"/>
      <c r="AG625" s="6" t="s">
        <v>37</v>
      </c>
      <c r="AH625" s="7">
        <v>60</v>
      </c>
      <c r="AI625" s="6" t="s">
        <v>40</v>
      </c>
      <c r="AJ625" s="6" t="s">
        <v>238</v>
      </c>
      <c r="AK625" s="6" t="s">
        <v>35</v>
      </c>
      <c r="AL625" s="6" t="s">
        <v>41</v>
      </c>
      <c r="AM625" s="6" t="s">
        <v>41</v>
      </c>
      <c r="AN625" s="6" t="s">
        <v>1306</v>
      </c>
    </row>
    <row r="626" spans="1:40" hidden="1" x14ac:dyDescent="0.25">
      <c r="A626" s="4">
        <v>45784</v>
      </c>
      <c r="B626" s="6" t="s">
        <v>210</v>
      </c>
      <c r="C626" t="str">
        <f>_xlfn.XLOOKUP(Table3[[#This Row],[station]],station_waterbody_county!A:A, station_waterbody_county!B:B)</f>
        <v>St. Margarets Bay</v>
      </c>
      <c r="D626" t="str">
        <f>_xlfn.XLOOKUP(Table3[[#This Row],[station]],station_waterbody_county!A:A, station_waterbody_county!C:C)</f>
        <v>Halifax</v>
      </c>
      <c r="E626" s="6"/>
      <c r="F626" s="6" t="s">
        <v>34</v>
      </c>
      <c r="G626" s="12">
        <v>45779</v>
      </c>
      <c r="H626" s="5">
        <v>0.58333333333333337</v>
      </c>
      <c r="I626" s="4"/>
      <c r="J626" s="5"/>
      <c r="K626" s="10"/>
      <c r="O626" s="6" t="s">
        <v>1256</v>
      </c>
      <c r="P626" s="6" t="s">
        <v>604</v>
      </c>
      <c r="S626" s="6" t="s">
        <v>239</v>
      </c>
      <c r="T626" s="11">
        <v>22278830</v>
      </c>
      <c r="U626" s="7">
        <v>2</v>
      </c>
      <c r="V626" s="6" t="s">
        <v>36</v>
      </c>
      <c r="W626" s="7">
        <v>22.5</v>
      </c>
      <c r="X626" s="6" t="s">
        <v>35</v>
      </c>
      <c r="Y626" s="7">
        <v>1.3</v>
      </c>
      <c r="Z626" s="7">
        <v>1.5</v>
      </c>
      <c r="AA626" s="6" t="s">
        <v>243</v>
      </c>
      <c r="AB626" s="6" t="s">
        <v>38</v>
      </c>
      <c r="AD626" s="6" t="s">
        <v>39</v>
      </c>
      <c r="AE626" s="6" t="s">
        <v>40</v>
      </c>
      <c r="AG626" s="6" t="s">
        <v>37</v>
      </c>
      <c r="AH626" s="7">
        <v>60</v>
      </c>
      <c r="AI626" s="6" t="s">
        <v>40</v>
      </c>
      <c r="AJ626" s="6" t="s">
        <v>238</v>
      </c>
      <c r="AL626" s="6" t="s">
        <v>41</v>
      </c>
    </row>
    <row r="627" spans="1:40" hidden="1" x14ac:dyDescent="0.25">
      <c r="A627" s="4">
        <v>45784</v>
      </c>
      <c r="B627" s="6" t="s">
        <v>210</v>
      </c>
      <c r="C627" t="str">
        <f>_xlfn.XLOOKUP(Table3[[#This Row],[station]],station_waterbody_county!A:A, station_waterbody_county!B:B)</f>
        <v>St. Margarets Bay</v>
      </c>
      <c r="D627" t="str">
        <f>_xlfn.XLOOKUP(Table3[[#This Row],[station]],station_waterbody_county!A:A, station_waterbody_county!C:C)</f>
        <v>Halifax</v>
      </c>
      <c r="E627" s="6"/>
      <c r="F627" s="6" t="s">
        <v>34</v>
      </c>
      <c r="G627" s="12">
        <v>45779</v>
      </c>
      <c r="H627" s="5">
        <v>0.58333333333333337</v>
      </c>
      <c r="I627" s="4"/>
      <c r="J627" s="5"/>
      <c r="K627" s="10"/>
      <c r="O627" s="6" t="s">
        <v>1256</v>
      </c>
      <c r="P627" s="6" t="s">
        <v>604</v>
      </c>
      <c r="S627" s="6" t="s">
        <v>239</v>
      </c>
      <c r="T627" s="11">
        <v>22278835</v>
      </c>
      <c r="U627" s="7">
        <v>5</v>
      </c>
      <c r="V627" s="6" t="s">
        <v>36</v>
      </c>
      <c r="W627" s="7">
        <v>22.5</v>
      </c>
      <c r="X627" s="6" t="s">
        <v>35</v>
      </c>
      <c r="Y627" s="7">
        <v>1.3</v>
      </c>
      <c r="Z627" s="7">
        <v>1.5</v>
      </c>
      <c r="AA627" s="6" t="s">
        <v>243</v>
      </c>
      <c r="AB627" s="6" t="s">
        <v>38</v>
      </c>
      <c r="AD627" s="6" t="s">
        <v>39</v>
      </c>
      <c r="AE627" s="6" t="s">
        <v>40</v>
      </c>
      <c r="AG627" s="6" t="s">
        <v>37</v>
      </c>
      <c r="AH627" s="7">
        <v>60</v>
      </c>
      <c r="AI627" s="6" t="s">
        <v>40</v>
      </c>
      <c r="AJ627" s="6" t="s">
        <v>238</v>
      </c>
      <c r="AL627" s="6" t="s">
        <v>41</v>
      </c>
    </row>
    <row r="628" spans="1:40" hidden="1" x14ac:dyDescent="0.25">
      <c r="A628" s="4">
        <v>45784</v>
      </c>
      <c r="B628" s="6" t="s">
        <v>210</v>
      </c>
      <c r="C628" t="str">
        <f>_xlfn.XLOOKUP(Table3[[#This Row],[station]],station_waterbody_county!A:A, station_waterbody_county!B:B)</f>
        <v>St. Margarets Bay</v>
      </c>
      <c r="D628" t="str">
        <f>_xlfn.XLOOKUP(Table3[[#This Row],[station]],station_waterbody_county!A:A, station_waterbody_county!C:C)</f>
        <v>Halifax</v>
      </c>
      <c r="E628" s="6"/>
      <c r="F628" s="6" t="s">
        <v>34</v>
      </c>
      <c r="G628" s="12">
        <v>45779</v>
      </c>
      <c r="H628" s="5">
        <v>0.58333333333333337</v>
      </c>
      <c r="I628" s="4"/>
      <c r="J628" s="5"/>
      <c r="K628" s="10"/>
      <c r="O628" s="6" t="s">
        <v>1256</v>
      </c>
      <c r="P628" s="6" t="s">
        <v>604</v>
      </c>
      <c r="S628" s="6" t="s">
        <v>239</v>
      </c>
      <c r="T628" s="11">
        <v>21465814</v>
      </c>
      <c r="U628" s="7">
        <v>10</v>
      </c>
      <c r="V628" s="6" t="s">
        <v>36</v>
      </c>
      <c r="W628" s="7">
        <v>22.5</v>
      </c>
      <c r="X628" s="6" t="s">
        <v>35</v>
      </c>
      <c r="Y628" s="7">
        <v>1.3</v>
      </c>
      <c r="Z628" s="7">
        <v>1.5</v>
      </c>
      <c r="AA628" s="6" t="s">
        <v>243</v>
      </c>
      <c r="AB628" s="6" t="s">
        <v>38</v>
      </c>
      <c r="AD628" s="6" t="s">
        <v>39</v>
      </c>
      <c r="AE628" s="6" t="s">
        <v>40</v>
      </c>
      <c r="AG628" s="6" t="s">
        <v>37</v>
      </c>
      <c r="AH628" s="7">
        <v>60</v>
      </c>
      <c r="AI628" s="6" t="s">
        <v>40</v>
      </c>
      <c r="AJ628" s="6" t="s">
        <v>238</v>
      </c>
      <c r="AL628" s="6" t="s">
        <v>41</v>
      </c>
    </row>
    <row r="629" spans="1:40" hidden="1" x14ac:dyDescent="0.25">
      <c r="A629" s="4">
        <v>45784</v>
      </c>
      <c r="B629" s="6" t="s">
        <v>210</v>
      </c>
      <c r="C629" t="str">
        <f>_xlfn.XLOOKUP(Table3[[#This Row],[station]],station_waterbody_county!A:A, station_waterbody_county!B:B)</f>
        <v>St. Margarets Bay</v>
      </c>
      <c r="D629" t="str">
        <f>_xlfn.XLOOKUP(Table3[[#This Row],[station]],station_waterbody_county!A:A, station_waterbody_county!C:C)</f>
        <v>Halifax</v>
      </c>
      <c r="E629" s="6"/>
      <c r="F629" s="6" t="s">
        <v>34</v>
      </c>
      <c r="G629" s="12">
        <v>45779</v>
      </c>
      <c r="H629" s="5">
        <v>0.58333333333333337</v>
      </c>
      <c r="I629" s="4"/>
      <c r="J629" s="5"/>
      <c r="K629" s="10"/>
      <c r="O629" s="6" t="s">
        <v>1256</v>
      </c>
      <c r="P629" s="6" t="s">
        <v>604</v>
      </c>
      <c r="S629" s="6" t="s">
        <v>239</v>
      </c>
      <c r="T629" s="11">
        <v>22055890</v>
      </c>
      <c r="U629" s="7">
        <v>15</v>
      </c>
      <c r="V629" s="6" t="s">
        <v>36</v>
      </c>
      <c r="W629" s="7">
        <v>22.5</v>
      </c>
      <c r="X629" s="6" t="s">
        <v>35</v>
      </c>
      <c r="Y629" s="7">
        <v>1.3</v>
      </c>
      <c r="Z629" s="7">
        <v>1.5</v>
      </c>
      <c r="AA629" s="6" t="s">
        <v>243</v>
      </c>
      <c r="AB629" s="6" t="s">
        <v>38</v>
      </c>
      <c r="AD629" s="6" t="s">
        <v>39</v>
      </c>
      <c r="AE629" s="6" t="s">
        <v>40</v>
      </c>
      <c r="AG629" s="6" t="s">
        <v>37</v>
      </c>
      <c r="AH629" s="7">
        <v>60</v>
      </c>
      <c r="AI629" s="6" t="s">
        <v>40</v>
      </c>
      <c r="AJ629" s="6" t="s">
        <v>238</v>
      </c>
      <c r="AL629" s="6" t="s">
        <v>41</v>
      </c>
    </row>
    <row r="630" spans="1:40" hidden="1" x14ac:dyDescent="0.25">
      <c r="A630" s="4">
        <v>45784</v>
      </c>
      <c r="B630" s="6" t="s">
        <v>210</v>
      </c>
      <c r="C630" t="str">
        <f>_xlfn.XLOOKUP(Table3[[#This Row],[station]],station_waterbody_county!A:A, station_waterbody_county!B:B)</f>
        <v>St. Margarets Bay</v>
      </c>
      <c r="D630" t="str">
        <f>_xlfn.XLOOKUP(Table3[[#This Row],[station]],station_waterbody_county!A:A, station_waterbody_county!C:C)</f>
        <v>Halifax</v>
      </c>
      <c r="E630" s="6"/>
      <c r="F630" s="6" t="s">
        <v>34</v>
      </c>
      <c r="G630" s="12">
        <v>45779</v>
      </c>
      <c r="H630" s="5">
        <v>0.58333333333333337</v>
      </c>
      <c r="I630" s="4"/>
      <c r="J630" s="5"/>
      <c r="K630" s="10"/>
      <c r="O630" s="6" t="s">
        <v>1256</v>
      </c>
      <c r="P630" s="6" t="s">
        <v>604</v>
      </c>
      <c r="S630" s="6" t="s">
        <v>42</v>
      </c>
      <c r="T630" s="11">
        <v>548557</v>
      </c>
      <c r="U630" s="7">
        <v>20</v>
      </c>
      <c r="V630" s="6" t="s">
        <v>36</v>
      </c>
      <c r="W630" s="7">
        <v>22.5</v>
      </c>
      <c r="X630" s="6" t="s">
        <v>35</v>
      </c>
      <c r="Y630" s="7">
        <v>1.3</v>
      </c>
      <c r="Z630" s="7">
        <v>1.5</v>
      </c>
      <c r="AA630" s="6" t="s">
        <v>243</v>
      </c>
      <c r="AB630" s="6" t="s">
        <v>38</v>
      </c>
      <c r="AD630" s="6" t="s">
        <v>39</v>
      </c>
      <c r="AE630" s="6" t="s">
        <v>40</v>
      </c>
      <c r="AG630" s="6" t="s">
        <v>37</v>
      </c>
      <c r="AH630" s="7">
        <v>60</v>
      </c>
      <c r="AI630" s="6" t="s">
        <v>40</v>
      </c>
      <c r="AJ630" s="6" t="s">
        <v>238</v>
      </c>
      <c r="AL630" s="6" t="s">
        <v>41</v>
      </c>
    </row>
    <row r="631" spans="1:40" hidden="1" x14ac:dyDescent="0.25">
      <c r="A631" s="4">
        <v>45784</v>
      </c>
      <c r="B631" s="6" t="s">
        <v>210</v>
      </c>
      <c r="C631" t="str">
        <f>_xlfn.XLOOKUP(Table3[[#This Row],[station]],station_waterbody_county!A:A, station_waterbody_county!B:B)</f>
        <v>St. Margarets Bay</v>
      </c>
      <c r="D631" t="str">
        <f>_xlfn.XLOOKUP(Table3[[#This Row],[station]],station_waterbody_county!A:A, station_waterbody_county!C:C)</f>
        <v>Halifax</v>
      </c>
      <c r="E631" s="6"/>
      <c r="F631" s="6" t="s">
        <v>34</v>
      </c>
      <c r="G631" s="12">
        <v>45779</v>
      </c>
      <c r="H631" s="5">
        <v>0.58333333333333337</v>
      </c>
      <c r="I631" s="4"/>
      <c r="J631" s="5"/>
      <c r="K631" s="10"/>
      <c r="O631" s="6" t="s">
        <v>1256</v>
      </c>
      <c r="P631" s="6" t="s">
        <v>604</v>
      </c>
      <c r="S631" s="6" t="s">
        <v>239</v>
      </c>
      <c r="T631" s="11">
        <v>22278821</v>
      </c>
      <c r="U631" s="7">
        <v>20</v>
      </c>
      <c r="V631" s="6" t="s">
        <v>36</v>
      </c>
      <c r="W631" s="7">
        <v>22.5</v>
      </c>
      <c r="X631" s="6" t="s">
        <v>35</v>
      </c>
      <c r="Y631" s="7">
        <v>1.3</v>
      </c>
      <c r="Z631" s="7">
        <v>1.5</v>
      </c>
      <c r="AA631" s="6" t="s">
        <v>243</v>
      </c>
      <c r="AB631" s="6" t="s">
        <v>38</v>
      </c>
      <c r="AD631" s="6" t="s">
        <v>39</v>
      </c>
      <c r="AE631" s="6" t="s">
        <v>40</v>
      </c>
      <c r="AG631" s="6" t="s">
        <v>37</v>
      </c>
      <c r="AH631" s="7">
        <v>60</v>
      </c>
      <c r="AI631" s="6" t="s">
        <v>40</v>
      </c>
      <c r="AJ631" s="6" t="s">
        <v>238</v>
      </c>
      <c r="AL631" s="6" t="s">
        <v>41</v>
      </c>
    </row>
    <row r="632" spans="1:40" hidden="1" x14ac:dyDescent="0.25">
      <c r="A632" s="4">
        <v>45792</v>
      </c>
      <c r="B632" s="6" t="s">
        <v>210</v>
      </c>
      <c r="C632" t="str">
        <f>_xlfn.XLOOKUP(Table3[[#This Row],[station]],station_waterbody_county!A:A, station_waterbody_county!B:B)</f>
        <v>St. Margarets Bay</v>
      </c>
      <c r="D632" t="str">
        <f>_xlfn.XLOOKUP(Table3[[#This Row],[station]],station_waterbody_county!A:A, station_waterbody_county!C:C)</f>
        <v>Halifax</v>
      </c>
      <c r="E632" s="6"/>
      <c r="F632" s="6" t="s">
        <v>310</v>
      </c>
      <c r="G632" s="12">
        <v>45240</v>
      </c>
      <c r="H632" s="5"/>
      <c r="I632" s="4">
        <v>45414</v>
      </c>
      <c r="J632" s="5">
        <v>0.59166666666666667</v>
      </c>
      <c r="K632" s="10">
        <v>44.557394000000002</v>
      </c>
      <c r="L632" s="10">
        <v>-63.953904000000001</v>
      </c>
      <c r="M632" s="10">
        <v>44.557434000000001</v>
      </c>
      <c r="N632" s="10">
        <v>-63.954093</v>
      </c>
      <c r="O632" s="6"/>
      <c r="Q632" s="6" t="s">
        <v>366</v>
      </c>
      <c r="R632" s="6" t="s">
        <v>367</v>
      </c>
      <c r="S632" s="6" t="s">
        <v>244</v>
      </c>
      <c r="T632" s="11">
        <v>21155068</v>
      </c>
      <c r="U632" s="7">
        <v>5</v>
      </c>
      <c r="V632" s="6" t="s">
        <v>36</v>
      </c>
      <c r="W632" s="7">
        <v>24</v>
      </c>
      <c r="X632" s="6" t="s">
        <v>35</v>
      </c>
      <c r="Y632" s="7">
        <v>0.4</v>
      </c>
      <c r="Z632" s="7">
        <v>1.5</v>
      </c>
      <c r="AA632" s="6" t="s">
        <v>251</v>
      </c>
      <c r="AB632" s="6" t="s">
        <v>38</v>
      </c>
      <c r="AD632" s="6" t="s">
        <v>39</v>
      </c>
      <c r="AE632" s="6"/>
      <c r="AG632" s="6" t="s">
        <v>37</v>
      </c>
      <c r="AH632" s="7"/>
      <c r="AI632" s="6" t="s">
        <v>40</v>
      </c>
      <c r="AJ632" s="6" t="s">
        <v>238</v>
      </c>
      <c r="AK632" s="6" t="s">
        <v>35</v>
      </c>
      <c r="AL632" s="6" t="s">
        <v>271</v>
      </c>
      <c r="AM632" s="6" t="s">
        <v>41</v>
      </c>
      <c r="AN632" s="6" t="s">
        <v>1257</v>
      </c>
    </row>
    <row r="633" spans="1:40" hidden="1" x14ac:dyDescent="0.25">
      <c r="A633" s="12">
        <v>45440</v>
      </c>
      <c r="B633" s="6" t="s">
        <v>212</v>
      </c>
      <c r="C633" t="str">
        <f>_xlfn.XLOOKUP(Table3[[#This Row],[station]],station_waterbody_county!A:A, station_waterbody_county!B:B)</f>
        <v>Sober Island Pond</v>
      </c>
      <c r="D633" t="str">
        <f>_xlfn.XLOOKUP(Table3[[#This Row],[station]],station_waterbody_county!A:A, station_waterbody_county!C:C)</f>
        <v>Halifax</v>
      </c>
      <c r="E633" s="6" t="s">
        <v>289</v>
      </c>
      <c r="F633" s="6" t="s">
        <v>34</v>
      </c>
      <c r="G633" s="12">
        <v>45244</v>
      </c>
      <c r="H633" s="5"/>
      <c r="I633" s="4"/>
      <c r="J633" s="5"/>
      <c r="K633" s="10">
        <v>44.838914000000003</v>
      </c>
      <c r="L633" s="10">
        <v>-62.471058999999997</v>
      </c>
      <c r="O633" s="6"/>
      <c r="S633" s="6" t="s">
        <v>239</v>
      </c>
      <c r="T633" s="11">
        <v>21414905</v>
      </c>
      <c r="U633" s="7">
        <v>0.4</v>
      </c>
      <c r="V633" s="6" t="s">
        <v>254</v>
      </c>
      <c r="W633" s="7">
        <v>1.3</v>
      </c>
      <c r="X633" s="6" t="s">
        <v>241</v>
      </c>
      <c r="Y633" s="7"/>
      <c r="AA633" s="6"/>
      <c r="AB633" s="6" t="s">
        <v>242</v>
      </c>
      <c r="AE633" s="6"/>
      <c r="AG633" s="6" t="s">
        <v>290</v>
      </c>
      <c r="AH633" s="7"/>
      <c r="AI633" s="6" t="s">
        <v>40</v>
      </c>
      <c r="AJ633" s="6" t="s">
        <v>238</v>
      </c>
      <c r="AK633" s="6" t="s">
        <v>35</v>
      </c>
      <c r="AL633" s="6" t="s">
        <v>274</v>
      </c>
      <c r="AN633" s="6" t="s">
        <v>266</v>
      </c>
    </row>
    <row r="634" spans="1:40" hidden="1" x14ac:dyDescent="0.25">
      <c r="A634" s="12">
        <v>45440</v>
      </c>
      <c r="B634" s="6" t="s">
        <v>212</v>
      </c>
      <c r="C634" t="str">
        <f>_xlfn.XLOOKUP(Table3[[#This Row],[station]],station_waterbody_county!A:A, station_waterbody_county!B:B)</f>
        <v>Sober Island Pond</v>
      </c>
      <c r="D634" t="str">
        <f>_xlfn.XLOOKUP(Table3[[#This Row],[station]],station_waterbody_county!A:A, station_waterbody_county!C:C)</f>
        <v>Halifax</v>
      </c>
      <c r="E634" s="6" t="s">
        <v>289</v>
      </c>
      <c r="F634" s="6" t="s">
        <v>34</v>
      </c>
      <c r="G634" s="12">
        <v>45244</v>
      </c>
      <c r="H634" s="5"/>
      <c r="I634" s="4"/>
      <c r="J634" s="5"/>
      <c r="K634" s="10">
        <v>44.838914000000003</v>
      </c>
      <c r="L634" s="10">
        <v>-62.471058999999997</v>
      </c>
      <c r="O634" s="6"/>
      <c r="S634" s="6" t="s">
        <v>240</v>
      </c>
      <c r="T634" s="11">
        <v>670378</v>
      </c>
      <c r="U634" s="7">
        <v>2</v>
      </c>
      <c r="V634" s="6" t="s">
        <v>254</v>
      </c>
      <c r="W634" s="7">
        <v>1.3</v>
      </c>
      <c r="X634" s="6" t="s">
        <v>241</v>
      </c>
      <c r="Y634" s="7"/>
      <c r="AA634" s="6"/>
      <c r="AB634" s="6" t="s">
        <v>242</v>
      </c>
      <c r="AE634" s="6"/>
      <c r="AG634" s="6" t="s">
        <v>290</v>
      </c>
      <c r="AH634" s="7"/>
      <c r="AI634" s="6" t="s">
        <v>40</v>
      </c>
      <c r="AJ634" s="6" t="s">
        <v>238</v>
      </c>
      <c r="AK634" s="6" t="s">
        <v>35</v>
      </c>
      <c r="AL634" s="6" t="s">
        <v>274</v>
      </c>
      <c r="AN634" s="6" t="s">
        <v>266</v>
      </c>
    </row>
    <row r="635" spans="1:40" x14ac:dyDescent="0.25">
      <c r="A635" s="4">
        <v>45596</v>
      </c>
      <c r="B635" s="6" t="s">
        <v>213</v>
      </c>
      <c r="C635" t="str">
        <f>_xlfn.XLOOKUP(Table3[[#This Row],[station]],station_waterbody_county!A:A, station_waterbody_county!B:B)</f>
        <v>Antigonish Harbour</v>
      </c>
      <c r="D635" t="str">
        <f>_xlfn.XLOOKUP(Table3[[#This Row],[station]],station_waterbody_county!A:A, station_waterbody_county!C:C)</f>
        <v>Antigonish</v>
      </c>
      <c r="E635" s="6"/>
      <c r="F635" s="6" t="s">
        <v>310</v>
      </c>
      <c r="G635" s="4">
        <v>45427</v>
      </c>
      <c r="H635" s="5">
        <v>0.47222222222222221</v>
      </c>
      <c r="I635" s="4">
        <v>45583</v>
      </c>
      <c r="J635" s="5">
        <v>0.47708333333333336</v>
      </c>
      <c r="K635" s="10"/>
      <c r="O635" s="6" t="s">
        <v>312</v>
      </c>
      <c r="P635" s="6" t="s">
        <v>313</v>
      </c>
      <c r="Q635" s="6" t="s">
        <v>523</v>
      </c>
      <c r="R635" s="6" t="s">
        <v>524</v>
      </c>
      <c r="S635" s="6" t="s">
        <v>239</v>
      </c>
      <c r="T635" s="11">
        <v>21927327</v>
      </c>
      <c r="U635" s="7">
        <v>1</v>
      </c>
      <c r="V635" s="6" t="s">
        <v>36</v>
      </c>
      <c r="W635" s="7">
        <v>2.2000000000000002</v>
      </c>
      <c r="X635" s="6" t="s">
        <v>35</v>
      </c>
      <c r="Y635" s="7"/>
      <c r="Z635" s="7">
        <v>0.5</v>
      </c>
      <c r="AA635" s="6" t="s">
        <v>314</v>
      </c>
      <c r="AB635" s="6" t="s">
        <v>39</v>
      </c>
      <c r="AE635" s="6"/>
      <c r="AG635" s="6" t="s">
        <v>315</v>
      </c>
      <c r="AH635" s="7">
        <v>25</v>
      </c>
      <c r="AI635" s="6" t="s">
        <v>40</v>
      </c>
      <c r="AJ635" s="6" t="s">
        <v>238</v>
      </c>
      <c r="AK635" s="6" t="s">
        <v>35</v>
      </c>
      <c r="AL635" s="6" t="s">
        <v>41</v>
      </c>
      <c r="AM635" s="6" t="s">
        <v>41</v>
      </c>
    </row>
    <row r="636" spans="1:40" x14ac:dyDescent="0.25">
      <c r="A636" s="4">
        <v>45596</v>
      </c>
      <c r="B636" s="6" t="s">
        <v>213</v>
      </c>
      <c r="C636" t="str">
        <f>_xlfn.XLOOKUP(Table3[[#This Row],[station]],station_waterbody_county!A:A, station_waterbody_county!B:B)</f>
        <v>Antigonish Harbour</v>
      </c>
      <c r="D636" t="str">
        <f>_xlfn.XLOOKUP(Table3[[#This Row],[station]],station_waterbody_county!A:A, station_waterbody_county!C:C)</f>
        <v>Antigonish</v>
      </c>
      <c r="E636" s="6"/>
      <c r="F636" s="6" t="s">
        <v>310</v>
      </c>
      <c r="G636" s="4">
        <v>45427</v>
      </c>
      <c r="H636" s="5">
        <v>0.47222222222222221</v>
      </c>
      <c r="I636" s="4">
        <v>45583</v>
      </c>
      <c r="J636" s="5">
        <v>0.47708333333333336</v>
      </c>
      <c r="K636" s="10"/>
      <c r="O636" s="6" t="s">
        <v>312</v>
      </c>
      <c r="P636" s="6" t="s">
        <v>313</v>
      </c>
      <c r="Q636" s="6" t="s">
        <v>523</v>
      </c>
      <c r="R636" s="6" t="s">
        <v>524</v>
      </c>
      <c r="S636" s="6" t="s">
        <v>240</v>
      </c>
      <c r="T636" s="11">
        <v>671020</v>
      </c>
      <c r="U636" s="7">
        <v>1.5</v>
      </c>
      <c r="V636" s="6" t="s">
        <v>36</v>
      </c>
      <c r="W636" s="7">
        <v>2.2000000000000002</v>
      </c>
      <c r="X636" s="6" t="s">
        <v>35</v>
      </c>
      <c r="Y636" s="7"/>
      <c r="Z636" s="7">
        <v>0.5</v>
      </c>
      <c r="AA636" s="6" t="s">
        <v>314</v>
      </c>
      <c r="AB636" s="6" t="s">
        <v>39</v>
      </c>
      <c r="AE636" s="6"/>
      <c r="AG636" s="6" t="s">
        <v>315</v>
      </c>
      <c r="AH636" s="7">
        <v>25</v>
      </c>
      <c r="AI636" s="6" t="s">
        <v>40</v>
      </c>
      <c r="AJ636" s="6" t="s">
        <v>238</v>
      </c>
      <c r="AK636" s="6" t="s">
        <v>35</v>
      </c>
      <c r="AL636" s="6" t="s">
        <v>41</v>
      </c>
      <c r="AM636" s="6" t="s">
        <v>41</v>
      </c>
    </row>
    <row r="637" spans="1:40" x14ac:dyDescent="0.25">
      <c r="A637" s="4">
        <v>45596</v>
      </c>
      <c r="B637" s="6" t="s">
        <v>213</v>
      </c>
      <c r="C637" t="str">
        <f>_xlfn.XLOOKUP(Table3[[#This Row],[station]],station_waterbody_county!A:A, station_waterbody_county!B:B)</f>
        <v>Antigonish Harbour</v>
      </c>
      <c r="D637" t="str">
        <f>_xlfn.XLOOKUP(Table3[[#This Row],[station]],station_waterbody_county!A:A, station_waterbody_county!C:C)</f>
        <v>Antigonish</v>
      </c>
      <c r="E637" s="6"/>
      <c r="F637" s="6" t="s">
        <v>310</v>
      </c>
      <c r="G637" s="4">
        <v>45427</v>
      </c>
      <c r="H637" s="5">
        <v>0.47222222222222221</v>
      </c>
      <c r="I637" s="4">
        <v>45583</v>
      </c>
      <c r="J637" s="5">
        <v>0.47708333333333336</v>
      </c>
      <c r="K637" s="10"/>
      <c r="O637" s="6" t="s">
        <v>312</v>
      </c>
      <c r="P637" s="6" t="s">
        <v>313</v>
      </c>
      <c r="Q637" s="6" t="s">
        <v>523</v>
      </c>
      <c r="R637" s="6" t="s">
        <v>524</v>
      </c>
      <c r="S637" s="6" t="s">
        <v>42</v>
      </c>
      <c r="T637" s="11">
        <v>549341</v>
      </c>
      <c r="U637" s="7">
        <v>1.5</v>
      </c>
      <c r="V637" s="6" t="s">
        <v>36</v>
      </c>
      <c r="W637" s="7">
        <v>2.2000000000000002</v>
      </c>
      <c r="X637" s="6" t="s">
        <v>35</v>
      </c>
      <c r="Y637" s="7"/>
      <c r="Z637" s="7">
        <v>0.5</v>
      </c>
      <c r="AA637" s="6" t="s">
        <v>314</v>
      </c>
      <c r="AB637" s="6" t="s">
        <v>39</v>
      </c>
      <c r="AE637" s="6"/>
      <c r="AG637" s="6" t="s">
        <v>315</v>
      </c>
      <c r="AH637" s="7">
        <v>25</v>
      </c>
      <c r="AI637" s="6" t="s">
        <v>40</v>
      </c>
      <c r="AJ637" s="6" t="s">
        <v>238</v>
      </c>
      <c r="AK637" s="6" t="s">
        <v>35</v>
      </c>
      <c r="AL637" s="6" t="s">
        <v>41</v>
      </c>
      <c r="AM637" s="6" t="s">
        <v>41</v>
      </c>
    </row>
    <row r="638" spans="1:40" hidden="1" x14ac:dyDescent="0.25">
      <c r="A638" s="12">
        <v>45677</v>
      </c>
      <c r="B638" s="6" t="s">
        <v>213</v>
      </c>
      <c r="C638" t="str">
        <f>_xlfn.XLOOKUP(Table3[[#This Row],[station]],station_waterbody_county!A:A, station_waterbody_county!B:B)</f>
        <v>Antigonish Harbour</v>
      </c>
      <c r="D638" t="str">
        <f>_xlfn.XLOOKUP(Table3[[#This Row],[station]],station_waterbody_county!A:A, station_waterbody_county!C:C)</f>
        <v>Antigonish</v>
      </c>
      <c r="E638" s="6"/>
      <c r="F638" s="6" t="s">
        <v>310</v>
      </c>
      <c r="G638" s="12">
        <v>45231</v>
      </c>
      <c r="H638" s="5"/>
      <c r="I638" s="4">
        <v>45427</v>
      </c>
      <c r="J638" s="5">
        <v>0.45833333333333331</v>
      </c>
      <c r="K638" s="10">
        <v>45.659843000000002</v>
      </c>
      <c r="L638" s="10">
        <v>-61.904420999999999</v>
      </c>
      <c r="O638" s="6"/>
      <c r="Q638" s="6" t="s">
        <v>306</v>
      </c>
      <c r="R638" s="6" t="s">
        <v>307</v>
      </c>
      <c r="S638" s="6" t="s">
        <v>239</v>
      </c>
      <c r="T638" s="11">
        <v>20495253</v>
      </c>
      <c r="U638" s="7">
        <v>1</v>
      </c>
      <c r="V638" s="6" t="s">
        <v>36</v>
      </c>
      <c r="W638" s="7"/>
      <c r="X638" s="6" t="s">
        <v>35</v>
      </c>
      <c r="Y638" s="7"/>
      <c r="Z638" s="7">
        <v>0.7</v>
      </c>
      <c r="AA638" s="6"/>
      <c r="AB638" s="6" t="s">
        <v>39</v>
      </c>
      <c r="AE638" s="6"/>
      <c r="AG638" s="6" t="s">
        <v>249</v>
      </c>
      <c r="AH638" s="7"/>
      <c r="AI638" s="6" t="s">
        <v>40</v>
      </c>
      <c r="AJ638" s="6" t="s">
        <v>238</v>
      </c>
      <c r="AK638" s="6" t="s">
        <v>35</v>
      </c>
      <c r="AL638" s="6" t="s">
        <v>276</v>
      </c>
      <c r="AM638" s="6" t="s">
        <v>41</v>
      </c>
    </row>
    <row r="639" spans="1:40" hidden="1" x14ac:dyDescent="0.25">
      <c r="A639" s="12">
        <v>45677</v>
      </c>
      <c r="B639" s="6" t="s">
        <v>213</v>
      </c>
      <c r="C639" t="str">
        <f>_xlfn.XLOOKUP(Table3[[#This Row],[station]],station_waterbody_county!A:A, station_waterbody_county!B:B)</f>
        <v>Antigonish Harbour</v>
      </c>
      <c r="D639" t="str">
        <f>_xlfn.XLOOKUP(Table3[[#This Row],[station]],station_waterbody_county!A:A, station_waterbody_county!C:C)</f>
        <v>Antigonish</v>
      </c>
      <c r="E639" s="6"/>
      <c r="F639" s="6" t="s">
        <v>310</v>
      </c>
      <c r="G639" s="12">
        <v>45231</v>
      </c>
      <c r="H639" s="5"/>
      <c r="I639" s="4">
        <v>45427</v>
      </c>
      <c r="J639" s="5">
        <v>0.45833333333333331</v>
      </c>
      <c r="K639" s="10">
        <v>45.659843000000002</v>
      </c>
      <c r="L639" s="10">
        <v>-61.904420999999999</v>
      </c>
      <c r="O639" s="6"/>
      <c r="Q639" s="6" t="s">
        <v>306</v>
      </c>
      <c r="R639" s="6" t="s">
        <v>307</v>
      </c>
      <c r="S639" s="6" t="s">
        <v>240</v>
      </c>
      <c r="T639" s="11">
        <v>670350</v>
      </c>
      <c r="U639" s="7">
        <v>1.5</v>
      </c>
      <c r="V639" s="6" t="s">
        <v>36</v>
      </c>
      <c r="W639" s="7"/>
      <c r="X639" s="6" t="s">
        <v>35</v>
      </c>
      <c r="Y639" s="7"/>
      <c r="Z639" s="7">
        <v>0.7</v>
      </c>
      <c r="AA639" s="6"/>
      <c r="AB639" s="6" t="s">
        <v>39</v>
      </c>
      <c r="AE639" s="6"/>
      <c r="AG639" s="6" t="s">
        <v>249</v>
      </c>
      <c r="AH639" s="7"/>
      <c r="AI639" s="6" t="s">
        <v>40</v>
      </c>
      <c r="AJ639" s="6" t="s">
        <v>238</v>
      </c>
      <c r="AK639" s="6" t="s">
        <v>35</v>
      </c>
      <c r="AL639" s="6" t="s">
        <v>276</v>
      </c>
      <c r="AM639" s="6" t="s">
        <v>41</v>
      </c>
    </row>
    <row r="640" spans="1:40" hidden="1" x14ac:dyDescent="0.25">
      <c r="A640" s="12">
        <v>45677</v>
      </c>
      <c r="B640" s="6" t="s">
        <v>213</v>
      </c>
      <c r="C640" t="str">
        <f>_xlfn.XLOOKUP(Table3[[#This Row],[station]],station_waterbody_county!A:A, station_waterbody_county!B:B)</f>
        <v>Antigonish Harbour</v>
      </c>
      <c r="D640" t="str">
        <f>_xlfn.XLOOKUP(Table3[[#This Row],[station]],station_waterbody_county!A:A, station_waterbody_county!C:C)</f>
        <v>Antigonish</v>
      </c>
      <c r="E640" s="6"/>
      <c r="F640" s="6" t="s">
        <v>310</v>
      </c>
      <c r="G640" s="12">
        <v>45231</v>
      </c>
      <c r="H640" s="5"/>
      <c r="I640" s="4">
        <v>45427</v>
      </c>
      <c r="J640" s="5">
        <v>0.45833333333333331</v>
      </c>
      <c r="K640" s="10">
        <v>45.659843000000002</v>
      </c>
      <c r="L640" s="10">
        <v>-61.904420999999999</v>
      </c>
      <c r="O640" s="6"/>
      <c r="Q640" s="6" t="s">
        <v>306</v>
      </c>
      <c r="R640" s="6" t="s">
        <v>307</v>
      </c>
      <c r="S640" s="6" t="s">
        <v>42</v>
      </c>
      <c r="T640" s="11">
        <v>547089</v>
      </c>
      <c r="U640" s="7">
        <v>1.5</v>
      </c>
      <c r="V640" s="6" t="s">
        <v>36</v>
      </c>
      <c r="W640" s="7"/>
      <c r="X640" s="6" t="s">
        <v>35</v>
      </c>
      <c r="Y640" s="7"/>
      <c r="Z640" s="7">
        <v>0.7</v>
      </c>
      <c r="AA640" s="6"/>
      <c r="AB640" s="6" t="s">
        <v>39</v>
      </c>
      <c r="AE640" s="6"/>
      <c r="AG640" s="6" t="s">
        <v>249</v>
      </c>
      <c r="AH640" s="7"/>
      <c r="AI640" s="6" t="s">
        <v>40</v>
      </c>
      <c r="AJ640" s="6" t="s">
        <v>238</v>
      </c>
      <c r="AK640" s="6" t="s">
        <v>35</v>
      </c>
      <c r="AL640" s="6" t="s">
        <v>276</v>
      </c>
      <c r="AM640" s="6" t="s">
        <v>41</v>
      </c>
    </row>
    <row r="641" spans="1:40" x14ac:dyDescent="0.25">
      <c r="A641" s="4">
        <v>45798</v>
      </c>
      <c r="B641" s="6" t="s">
        <v>213</v>
      </c>
      <c r="C641" t="str">
        <f>_xlfn.XLOOKUP(Table3[[#This Row],[station]],station_waterbody_county!A:A, station_waterbody_county!B:B)</f>
        <v>Antigonish Harbour</v>
      </c>
      <c r="D641" t="str">
        <f>_xlfn.XLOOKUP(Table3[[#This Row],[station]],station_waterbody_county!A:A, station_waterbody_county!C:C)</f>
        <v>Antigonish</v>
      </c>
      <c r="E641" s="6"/>
      <c r="F641" s="6" t="s">
        <v>310</v>
      </c>
      <c r="G641" s="4">
        <v>45583</v>
      </c>
      <c r="H641" s="5">
        <v>0.49513888888888891</v>
      </c>
      <c r="I641" s="4">
        <v>45792</v>
      </c>
      <c r="J641" s="5">
        <v>0.74305555555555558</v>
      </c>
      <c r="K641" s="10"/>
      <c r="O641" s="6" t="s">
        <v>523</v>
      </c>
      <c r="P641" s="6" t="s">
        <v>524</v>
      </c>
      <c r="Q641" s="6" t="s">
        <v>1286</v>
      </c>
      <c r="R641" s="6" t="s">
        <v>1287</v>
      </c>
      <c r="S641" s="6" t="s">
        <v>239</v>
      </c>
      <c r="T641" s="11">
        <v>20291453</v>
      </c>
      <c r="U641" s="7">
        <v>1</v>
      </c>
      <c r="V641" s="6" t="s">
        <v>36</v>
      </c>
      <c r="W641" s="7">
        <v>3.3</v>
      </c>
      <c r="X641" s="6" t="s">
        <v>35</v>
      </c>
      <c r="Y641" s="7">
        <v>1</v>
      </c>
      <c r="Z641" s="7">
        <v>0.5</v>
      </c>
      <c r="AA641" s="6" t="s">
        <v>243</v>
      </c>
      <c r="AB641" s="6" t="s">
        <v>39</v>
      </c>
      <c r="AE641" s="6"/>
      <c r="AG641" s="6" t="s">
        <v>315</v>
      </c>
      <c r="AH641" s="7">
        <v>25</v>
      </c>
      <c r="AI641" s="6" t="s">
        <v>40</v>
      </c>
      <c r="AJ641" s="6" t="s">
        <v>238</v>
      </c>
      <c r="AK641" s="6" t="s">
        <v>35</v>
      </c>
      <c r="AL641" s="6" t="s">
        <v>41</v>
      </c>
      <c r="AM641" s="6" t="s">
        <v>41</v>
      </c>
    </row>
    <row r="642" spans="1:40" x14ac:dyDescent="0.25">
      <c r="A642" s="4">
        <v>45798</v>
      </c>
      <c r="B642" s="6" t="s">
        <v>213</v>
      </c>
      <c r="C642" t="str">
        <f>_xlfn.XLOOKUP(Table3[[#This Row],[station]],station_waterbody_county!A:A, station_waterbody_county!B:B)</f>
        <v>Antigonish Harbour</v>
      </c>
      <c r="D642" t="str">
        <f>_xlfn.XLOOKUP(Table3[[#This Row],[station]],station_waterbody_county!A:A, station_waterbody_county!C:C)</f>
        <v>Antigonish</v>
      </c>
      <c r="E642" s="6"/>
      <c r="F642" s="6" t="s">
        <v>310</v>
      </c>
      <c r="G642" s="4">
        <v>45583</v>
      </c>
      <c r="H642" s="5">
        <v>0.49513888888888891</v>
      </c>
      <c r="I642" s="4">
        <v>45792</v>
      </c>
      <c r="J642" s="5">
        <v>0.74305555555555558</v>
      </c>
      <c r="K642" s="10"/>
      <c r="O642" s="6" t="s">
        <v>523</v>
      </c>
      <c r="P642" s="6" t="s">
        <v>524</v>
      </c>
      <c r="Q642" s="6" t="s">
        <v>1286</v>
      </c>
      <c r="R642" s="6" t="s">
        <v>1287</v>
      </c>
      <c r="S642" s="6" t="s">
        <v>240</v>
      </c>
      <c r="T642" s="11">
        <v>671308</v>
      </c>
      <c r="U642" s="7">
        <v>1.5</v>
      </c>
      <c r="V642" s="6" t="s">
        <v>36</v>
      </c>
      <c r="W642" s="7">
        <v>3.3</v>
      </c>
      <c r="X642" s="6" t="s">
        <v>35</v>
      </c>
      <c r="Y642" s="7">
        <v>1</v>
      </c>
      <c r="Z642" s="7">
        <v>0.5</v>
      </c>
      <c r="AA642" s="6" t="s">
        <v>243</v>
      </c>
      <c r="AB642" s="6" t="s">
        <v>39</v>
      </c>
      <c r="AE642" s="6"/>
      <c r="AG642" s="6" t="s">
        <v>315</v>
      </c>
      <c r="AH642" s="7">
        <v>25</v>
      </c>
      <c r="AI642" s="6" t="s">
        <v>40</v>
      </c>
      <c r="AJ642" s="6" t="s">
        <v>238</v>
      </c>
      <c r="AK642" s="6" t="s">
        <v>35</v>
      </c>
      <c r="AL642" s="6" t="s">
        <v>41</v>
      </c>
      <c r="AM642" s="6" t="s">
        <v>41</v>
      </c>
      <c r="AN642" s="6" t="s">
        <v>510</v>
      </c>
    </row>
    <row r="643" spans="1:40" x14ac:dyDescent="0.25">
      <c r="A643" s="4">
        <v>45798</v>
      </c>
      <c r="B643" s="6" t="s">
        <v>213</v>
      </c>
      <c r="C643" t="str">
        <f>_xlfn.XLOOKUP(Table3[[#This Row],[station]],station_waterbody_county!A:A, station_waterbody_county!B:B)</f>
        <v>Antigonish Harbour</v>
      </c>
      <c r="D643" t="str">
        <f>_xlfn.XLOOKUP(Table3[[#This Row],[station]],station_waterbody_county!A:A, station_waterbody_county!C:C)</f>
        <v>Antigonish</v>
      </c>
      <c r="E643" s="6"/>
      <c r="F643" s="6" t="s">
        <v>310</v>
      </c>
      <c r="G643" s="4">
        <v>45583</v>
      </c>
      <c r="H643" s="5">
        <v>0.49513888888888891</v>
      </c>
      <c r="I643" s="4">
        <v>45792</v>
      </c>
      <c r="J643" s="5">
        <v>0.74305555555555558</v>
      </c>
      <c r="K643" s="10"/>
      <c r="O643" s="6" t="s">
        <v>523</v>
      </c>
      <c r="P643" s="6" t="s">
        <v>524</v>
      </c>
      <c r="Q643" s="6" t="s">
        <v>1286</v>
      </c>
      <c r="R643" s="6" t="s">
        <v>1287</v>
      </c>
      <c r="S643" s="6" t="s">
        <v>42</v>
      </c>
      <c r="T643" s="11">
        <v>548559</v>
      </c>
      <c r="U643" s="7">
        <v>1.5</v>
      </c>
      <c r="V643" s="6" t="s">
        <v>36</v>
      </c>
      <c r="W643" s="7">
        <v>3.3</v>
      </c>
      <c r="X643" s="6" t="s">
        <v>35</v>
      </c>
      <c r="Y643" s="7">
        <v>1</v>
      </c>
      <c r="Z643" s="7">
        <v>0.5</v>
      </c>
      <c r="AA643" s="6" t="s">
        <v>243</v>
      </c>
      <c r="AB643" s="6" t="s">
        <v>39</v>
      </c>
      <c r="AE643" s="6"/>
      <c r="AG643" s="6" t="s">
        <v>315</v>
      </c>
      <c r="AH643" s="7">
        <v>25</v>
      </c>
      <c r="AI643" s="6" t="s">
        <v>40</v>
      </c>
      <c r="AJ643" s="6" t="s">
        <v>238</v>
      </c>
      <c r="AK643" s="6" t="s">
        <v>35</v>
      </c>
      <c r="AL643" s="6" t="s">
        <v>41</v>
      </c>
      <c r="AM643" s="6" t="s">
        <v>41</v>
      </c>
    </row>
    <row r="644" spans="1:40" hidden="1" x14ac:dyDescent="0.25">
      <c r="A644" s="4">
        <v>45798</v>
      </c>
      <c r="B644" s="6" t="s">
        <v>213</v>
      </c>
      <c r="C644" t="str">
        <f>_xlfn.XLOOKUP(Table3[[#This Row],[station]],station_waterbody_county!A:A, station_waterbody_county!B:B)</f>
        <v>Antigonish Harbour</v>
      </c>
      <c r="D644" t="str">
        <f>_xlfn.XLOOKUP(Table3[[#This Row],[station]],station_waterbody_county!A:A, station_waterbody_county!C:C)</f>
        <v>Antigonish</v>
      </c>
      <c r="E644" s="6"/>
      <c r="F644" s="6" t="s">
        <v>34</v>
      </c>
      <c r="G644" s="12">
        <v>45792</v>
      </c>
      <c r="H644" s="5">
        <v>0.75138888888888888</v>
      </c>
      <c r="I644" s="4"/>
      <c r="J644" s="5"/>
      <c r="K644" s="10"/>
      <c r="O644" s="6" t="s">
        <v>1288</v>
      </c>
      <c r="P644" s="6" t="s">
        <v>1289</v>
      </c>
      <c r="S644" s="6" t="s">
        <v>239</v>
      </c>
      <c r="T644" s="11">
        <v>22249019</v>
      </c>
      <c r="U644" s="7">
        <v>1</v>
      </c>
      <c r="V644" s="6" t="s">
        <v>36</v>
      </c>
      <c r="W644" s="7">
        <v>2.6</v>
      </c>
      <c r="X644" s="6" t="s">
        <v>35</v>
      </c>
      <c r="Y644" s="7">
        <v>0.9</v>
      </c>
      <c r="Z644" s="7">
        <v>0.5</v>
      </c>
      <c r="AA644" s="6" t="s">
        <v>251</v>
      </c>
      <c r="AB644" s="6" t="s">
        <v>39</v>
      </c>
      <c r="AE644" s="6" t="s">
        <v>40</v>
      </c>
      <c r="AG644" s="6" t="s">
        <v>315</v>
      </c>
      <c r="AH644" s="7">
        <v>25</v>
      </c>
      <c r="AI644" s="6" t="s">
        <v>40</v>
      </c>
      <c r="AJ644" s="6" t="s">
        <v>238</v>
      </c>
      <c r="AL644" s="6" t="s">
        <v>41</v>
      </c>
    </row>
    <row r="645" spans="1:40" hidden="1" x14ac:dyDescent="0.25">
      <c r="A645" s="4">
        <v>45798</v>
      </c>
      <c r="B645" s="6" t="s">
        <v>213</v>
      </c>
      <c r="C645" t="str">
        <f>_xlfn.XLOOKUP(Table3[[#This Row],[station]],station_waterbody_county!A:A, station_waterbody_county!B:B)</f>
        <v>Antigonish Harbour</v>
      </c>
      <c r="D645" t="str">
        <f>_xlfn.XLOOKUP(Table3[[#This Row],[station]],station_waterbody_county!A:A, station_waterbody_county!C:C)</f>
        <v>Antigonish</v>
      </c>
      <c r="E645" s="6"/>
      <c r="F645" s="6" t="s">
        <v>34</v>
      </c>
      <c r="G645" s="12">
        <v>45792</v>
      </c>
      <c r="H645" s="5">
        <v>0.75138888888888888</v>
      </c>
      <c r="I645" s="4"/>
      <c r="J645" s="5"/>
      <c r="K645" s="10"/>
      <c r="O645" s="6" t="s">
        <v>1288</v>
      </c>
      <c r="P645" s="6" t="s">
        <v>1289</v>
      </c>
      <c r="S645" s="6" t="s">
        <v>240</v>
      </c>
      <c r="T645" s="11">
        <v>671022</v>
      </c>
      <c r="U645" s="7">
        <v>1.5</v>
      </c>
      <c r="V645" s="6" t="s">
        <v>36</v>
      </c>
      <c r="W645" s="7">
        <v>2.6</v>
      </c>
      <c r="X645" s="6" t="s">
        <v>35</v>
      </c>
      <c r="Y645" s="7">
        <v>0.9</v>
      </c>
      <c r="Z645" s="7">
        <v>0.5</v>
      </c>
      <c r="AA645" s="6" t="s">
        <v>251</v>
      </c>
      <c r="AB645" s="6" t="s">
        <v>39</v>
      </c>
      <c r="AE645" s="6" t="s">
        <v>40</v>
      </c>
      <c r="AG645" s="6" t="s">
        <v>315</v>
      </c>
      <c r="AH645" s="7">
        <v>25</v>
      </c>
      <c r="AI645" s="6" t="s">
        <v>40</v>
      </c>
      <c r="AJ645" s="6" t="s">
        <v>238</v>
      </c>
      <c r="AL645" s="6" t="s">
        <v>41</v>
      </c>
    </row>
    <row r="646" spans="1:40" hidden="1" x14ac:dyDescent="0.25">
      <c r="A646" s="4">
        <v>45798</v>
      </c>
      <c r="B646" s="6" t="s">
        <v>213</v>
      </c>
      <c r="C646" t="str">
        <f>_xlfn.XLOOKUP(Table3[[#This Row],[station]],station_waterbody_county!A:A, station_waterbody_county!B:B)</f>
        <v>Antigonish Harbour</v>
      </c>
      <c r="D646" t="str">
        <f>_xlfn.XLOOKUP(Table3[[#This Row],[station]],station_waterbody_county!A:A, station_waterbody_county!C:C)</f>
        <v>Antigonish</v>
      </c>
      <c r="E646" s="6"/>
      <c r="F646" s="6" t="s">
        <v>34</v>
      </c>
      <c r="G646" s="12">
        <v>45792</v>
      </c>
      <c r="H646" s="5">
        <v>0.75138888888888888</v>
      </c>
      <c r="I646" s="4"/>
      <c r="J646" s="5"/>
      <c r="K646" s="10"/>
      <c r="O646" s="6" t="s">
        <v>1288</v>
      </c>
      <c r="P646" s="6" t="s">
        <v>1289</v>
      </c>
      <c r="S646" s="6" t="s">
        <v>42</v>
      </c>
      <c r="T646" s="11">
        <v>548599</v>
      </c>
      <c r="U646" s="7">
        <v>1.5</v>
      </c>
      <c r="V646" s="6" t="s">
        <v>36</v>
      </c>
      <c r="W646" s="7">
        <v>2.6</v>
      </c>
      <c r="X646" s="6" t="s">
        <v>35</v>
      </c>
      <c r="Y646" s="7">
        <v>0.9</v>
      </c>
      <c r="Z646" s="7">
        <v>0.5</v>
      </c>
      <c r="AA646" s="6" t="s">
        <v>251</v>
      </c>
      <c r="AB646" s="6" t="s">
        <v>39</v>
      </c>
      <c r="AE646" s="6" t="s">
        <v>40</v>
      </c>
      <c r="AG646" s="6" t="s">
        <v>315</v>
      </c>
      <c r="AH646" s="7">
        <v>25</v>
      </c>
      <c r="AI646" s="6" t="s">
        <v>40</v>
      </c>
      <c r="AJ646" s="6" t="s">
        <v>238</v>
      </c>
      <c r="AL646" s="6" t="s">
        <v>41</v>
      </c>
    </row>
    <row r="647" spans="1:40" hidden="1" x14ac:dyDescent="0.25">
      <c r="A647" s="4">
        <v>45798</v>
      </c>
      <c r="B647" s="6" t="s">
        <v>213</v>
      </c>
      <c r="C647" t="str">
        <f>_xlfn.XLOOKUP(Table3[[#This Row],[station]],station_waterbody_county!A:A, station_waterbody_county!B:B)</f>
        <v>Antigonish Harbour</v>
      </c>
      <c r="D647" t="str">
        <f>_xlfn.XLOOKUP(Table3[[#This Row],[station]],station_waterbody_county!A:A, station_waterbody_county!C:C)</f>
        <v>Antigonish</v>
      </c>
      <c r="E647" s="6"/>
      <c r="F647" s="6" t="s">
        <v>34</v>
      </c>
      <c r="G647" s="12">
        <v>45792</v>
      </c>
      <c r="H647" s="5">
        <v>0.75138888888888888</v>
      </c>
      <c r="I647" s="4"/>
      <c r="J647" s="5"/>
      <c r="K647" s="10"/>
      <c r="O647" s="6" t="s">
        <v>1288</v>
      </c>
      <c r="P647" s="6" t="s">
        <v>1289</v>
      </c>
      <c r="S647" s="6" t="s">
        <v>239</v>
      </c>
      <c r="T647" s="11">
        <v>22310009</v>
      </c>
      <c r="U647" s="7">
        <v>1.5</v>
      </c>
      <c r="V647" s="6" t="s">
        <v>36</v>
      </c>
      <c r="W647" s="7">
        <v>2.6</v>
      </c>
      <c r="X647" s="6" t="s">
        <v>35</v>
      </c>
      <c r="Y647" s="7">
        <v>0.9</v>
      </c>
      <c r="Z647" s="7">
        <v>0.5</v>
      </c>
      <c r="AA647" s="6" t="s">
        <v>251</v>
      </c>
      <c r="AB647" s="6" t="s">
        <v>39</v>
      </c>
      <c r="AE647" s="6" t="s">
        <v>40</v>
      </c>
      <c r="AG647" s="6" t="s">
        <v>315</v>
      </c>
      <c r="AH647" s="7">
        <v>25</v>
      </c>
      <c r="AI647" s="6" t="s">
        <v>40</v>
      </c>
      <c r="AJ647" s="6" t="s">
        <v>238</v>
      </c>
      <c r="AL647" s="6" t="s">
        <v>41</v>
      </c>
    </row>
    <row r="648" spans="1:40" x14ac:dyDescent="0.25">
      <c r="A648" s="4">
        <v>45944</v>
      </c>
      <c r="B648" s="6" t="s">
        <v>214</v>
      </c>
      <c r="C648" t="str">
        <f>_xlfn.XLOOKUP(Table3[[#This Row],[station]],station_waterbody_county!A:A, station_waterbody_county!B:B)</f>
        <v>Spry Bay</v>
      </c>
      <c r="D648" t="str">
        <f>_xlfn.XLOOKUP(Table3[[#This Row],[station]],station_waterbody_county!A:A, station_waterbody_county!C:C)</f>
        <v>Halifax</v>
      </c>
      <c r="E648" s="6"/>
      <c r="F648" s="6" t="s">
        <v>310</v>
      </c>
      <c r="G648" s="4">
        <v>45547</v>
      </c>
      <c r="H648" s="5">
        <v>0.6020833333333333</v>
      </c>
      <c r="I648" s="4">
        <v>45925</v>
      </c>
      <c r="J648" s="5">
        <v>0.6020833333333333</v>
      </c>
      <c r="K648" s="10"/>
      <c r="O648" s="6" t="s">
        <v>466</v>
      </c>
      <c r="P648" s="6" t="s">
        <v>467</v>
      </c>
      <c r="Q648" s="6" t="s">
        <v>1461</v>
      </c>
      <c r="R648" s="6" t="s">
        <v>467</v>
      </c>
      <c r="S648" s="6" t="s">
        <v>239</v>
      </c>
      <c r="T648" s="11">
        <v>21043082</v>
      </c>
      <c r="U648" s="7">
        <v>2</v>
      </c>
      <c r="V648" s="6" t="s">
        <v>36</v>
      </c>
      <c r="W648" s="7">
        <v>18.3</v>
      </c>
      <c r="X648" s="6" t="s">
        <v>35</v>
      </c>
      <c r="Y648" s="7">
        <v>1.1000000000000001</v>
      </c>
      <c r="Z648" s="7">
        <v>0.5</v>
      </c>
      <c r="AA648" s="6" t="s">
        <v>243</v>
      </c>
      <c r="AB648" s="6" t="s">
        <v>38</v>
      </c>
      <c r="AD648" s="6" t="s">
        <v>39</v>
      </c>
      <c r="AE648" s="6"/>
      <c r="AG648" s="6" t="s">
        <v>37</v>
      </c>
      <c r="AH648" s="7">
        <v>60</v>
      </c>
      <c r="AI648" s="6" t="s">
        <v>40</v>
      </c>
      <c r="AJ648" s="6" t="s">
        <v>238</v>
      </c>
      <c r="AL648" s="6" t="s">
        <v>41</v>
      </c>
      <c r="AM648" s="6" t="s">
        <v>41</v>
      </c>
    </row>
    <row r="649" spans="1:40" x14ac:dyDescent="0.25">
      <c r="A649" s="4">
        <v>45944</v>
      </c>
      <c r="B649" s="6" t="s">
        <v>214</v>
      </c>
      <c r="C649" t="str">
        <f>_xlfn.XLOOKUP(Table3[[#This Row],[station]],station_waterbody_county!A:A, station_waterbody_county!B:B)</f>
        <v>Spry Bay</v>
      </c>
      <c r="D649" t="str">
        <f>_xlfn.XLOOKUP(Table3[[#This Row],[station]],station_waterbody_county!A:A, station_waterbody_county!C:C)</f>
        <v>Halifax</v>
      </c>
      <c r="E649" s="6"/>
      <c r="F649" s="6" t="s">
        <v>310</v>
      </c>
      <c r="G649" s="4">
        <v>45547</v>
      </c>
      <c r="H649" s="5">
        <v>0.6020833333333333</v>
      </c>
      <c r="I649" s="4">
        <v>45925</v>
      </c>
      <c r="J649" s="5">
        <v>0.6020833333333333</v>
      </c>
      <c r="K649" s="10"/>
      <c r="O649" s="6" t="s">
        <v>466</v>
      </c>
      <c r="P649" s="6" t="s">
        <v>467</v>
      </c>
      <c r="Q649" s="6" t="s">
        <v>1461</v>
      </c>
      <c r="R649" s="6" t="s">
        <v>467</v>
      </c>
      <c r="S649" s="6" t="s">
        <v>240</v>
      </c>
      <c r="T649" s="11">
        <v>671432</v>
      </c>
      <c r="U649" s="7">
        <v>5</v>
      </c>
      <c r="V649" s="6" t="s">
        <v>36</v>
      </c>
      <c r="W649" s="7">
        <v>18.3</v>
      </c>
      <c r="X649" s="6" t="s">
        <v>35</v>
      </c>
      <c r="Y649" s="7">
        <v>1.1000000000000001</v>
      </c>
      <c r="Z649" s="7">
        <v>0.5</v>
      </c>
      <c r="AA649" s="6" t="s">
        <v>243</v>
      </c>
      <c r="AB649" s="6" t="s">
        <v>38</v>
      </c>
      <c r="AD649" s="6" t="s">
        <v>39</v>
      </c>
      <c r="AE649" s="6"/>
      <c r="AG649" s="6" t="s">
        <v>37</v>
      </c>
      <c r="AH649" s="7">
        <v>60</v>
      </c>
      <c r="AI649" s="6" t="s">
        <v>40</v>
      </c>
      <c r="AJ649" s="6" t="s">
        <v>238</v>
      </c>
      <c r="AL649" s="6" t="s">
        <v>41</v>
      </c>
      <c r="AM649" s="6" t="s">
        <v>41</v>
      </c>
    </row>
    <row r="650" spans="1:40" x14ac:dyDescent="0.25">
      <c r="A650" s="4">
        <v>45944</v>
      </c>
      <c r="B650" s="6" t="s">
        <v>214</v>
      </c>
      <c r="C650" t="str">
        <f>_xlfn.XLOOKUP(Table3[[#This Row],[station]],station_waterbody_county!A:A, station_waterbody_county!B:B)</f>
        <v>Spry Bay</v>
      </c>
      <c r="D650" t="str">
        <f>_xlfn.XLOOKUP(Table3[[#This Row],[station]],station_waterbody_county!A:A, station_waterbody_county!C:C)</f>
        <v>Halifax</v>
      </c>
      <c r="E650" s="6"/>
      <c r="F650" s="6" t="s">
        <v>310</v>
      </c>
      <c r="G650" s="4">
        <v>45547</v>
      </c>
      <c r="H650" s="5">
        <v>0.6020833333333333</v>
      </c>
      <c r="I650" s="4">
        <v>45925</v>
      </c>
      <c r="J650" s="5">
        <v>0.6020833333333333</v>
      </c>
      <c r="K650" s="10"/>
      <c r="O650" s="6" t="s">
        <v>466</v>
      </c>
      <c r="P650" s="6" t="s">
        <v>467</v>
      </c>
      <c r="Q650" s="6" t="s">
        <v>1461</v>
      </c>
      <c r="R650" s="6" t="s">
        <v>467</v>
      </c>
      <c r="S650" s="6" t="s">
        <v>239</v>
      </c>
      <c r="T650" s="11">
        <v>20291480</v>
      </c>
      <c r="U650" s="7">
        <v>10</v>
      </c>
      <c r="V650" s="6" t="s">
        <v>36</v>
      </c>
      <c r="W650" s="7">
        <v>18.3</v>
      </c>
      <c r="X650" s="6" t="s">
        <v>35</v>
      </c>
      <c r="Y650" s="7">
        <v>1.1000000000000001</v>
      </c>
      <c r="Z650" s="7">
        <v>0.5</v>
      </c>
      <c r="AA650" s="6" t="s">
        <v>243</v>
      </c>
      <c r="AB650" s="6" t="s">
        <v>38</v>
      </c>
      <c r="AD650" s="6" t="s">
        <v>39</v>
      </c>
      <c r="AE650" s="6"/>
      <c r="AG650" s="6" t="s">
        <v>37</v>
      </c>
      <c r="AH650" s="7">
        <v>60</v>
      </c>
      <c r="AI650" s="6" t="s">
        <v>40</v>
      </c>
      <c r="AJ650" s="6" t="s">
        <v>238</v>
      </c>
      <c r="AL650" s="6" t="s">
        <v>41</v>
      </c>
      <c r="AM650" s="6" t="s">
        <v>41</v>
      </c>
    </row>
    <row r="651" spans="1:40" x14ac:dyDescent="0.25">
      <c r="A651" s="4">
        <v>45944</v>
      </c>
      <c r="B651" s="6" t="s">
        <v>214</v>
      </c>
      <c r="C651" t="str">
        <f>_xlfn.XLOOKUP(Table3[[#This Row],[station]],station_waterbody_county!A:A, station_waterbody_county!B:B)</f>
        <v>Spry Bay</v>
      </c>
      <c r="D651" t="str">
        <f>_xlfn.XLOOKUP(Table3[[#This Row],[station]],station_waterbody_county!A:A, station_waterbody_county!C:C)</f>
        <v>Halifax</v>
      </c>
      <c r="E651" s="6"/>
      <c r="F651" s="6" t="s">
        <v>310</v>
      </c>
      <c r="G651" s="4">
        <v>45547</v>
      </c>
      <c r="H651" s="5">
        <v>0.6020833333333333</v>
      </c>
      <c r="I651" s="4">
        <v>45925</v>
      </c>
      <c r="J651" s="5">
        <v>0.6020833333333333</v>
      </c>
      <c r="K651" s="10"/>
      <c r="O651" s="6" t="s">
        <v>466</v>
      </c>
      <c r="P651" s="6" t="s">
        <v>467</v>
      </c>
      <c r="Q651" s="6" t="s">
        <v>1461</v>
      </c>
      <c r="R651" s="6" t="s">
        <v>467</v>
      </c>
      <c r="S651" s="6" t="s">
        <v>239</v>
      </c>
      <c r="T651" s="11">
        <v>20820351</v>
      </c>
      <c r="U651" s="7">
        <v>12</v>
      </c>
      <c r="V651" s="6" t="s">
        <v>36</v>
      </c>
      <c r="W651" s="7">
        <v>18.3</v>
      </c>
      <c r="X651" s="6" t="s">
        <v>35</v>
      </c>
      <c r="Y651" s="7">
        <v>1.1000000000000001</v>
      </c>
      <c r="Z651" s="7">
        <v>0.5</v>
      </c>
      <c r="AA651" s="6" t="s">
        <v>243</v>
      </c>
      <c r="AB651" s="6" t="s">
        <v>38</v>
      </c>
      <c r="AD651" s="6" t="s">
        <v>39</v>
      </c>
      <c r="AE651" s="6"/>
      <c r="AG651" s="6" t="s">
        <v>37</v>
      </c>
      <c r="AH651" s="7">
        <v>60</v>
      </c>
      <c r="AI651" s="6" t="s">
        <v>40</v>
      </c>
      <c r="AJ651" s="6" t="s">
        <v>238</v>
      </c>
      <c r="AL651" s="6" t="s">
        <v>41</v>
      </c>
      <c r="AM651" s="6" t="s">
        <v>41</v>
      </c>
    </row>
    <row r="652" spans="1:40" x14ac:dyDescent="0.25">
      <c r="A652" s="4">
        <v>45944</v>
      </c>
      <c r="B652" s="6" t="s">
        <v>214</v>
      </c>
      <c r="C652" t="str">
        <f>_xlfn.XLOOKUP(Table3[[#This Row],[station]],station_waterbody_county!A:A, station_waterbody_county!B:B)</f>
        <v>Spry Bay</v>
      </c>
      <c r="D652" t="str">
        <f>_xlfn.XLOOKUP(Table3[[#This Row],[station]],station_waterbody_county!A:A, station_waterbody_county!C:C)</f>
        <v>Halifax</v>
      </c>
      <c r="E652" s="6"/>
      <c r="F652" s="6" t="s">
        <v>310</v>
      </c>
      <c r="G652" s="4">
        <v>45547</v>
      </c>
      <c r="H652" s="5">
        <v>0.6020833333333333</v>
      </c>
      <c r="I652" s="4">
        <v>45925</v>
      </c>
      <c r="J652" s="5">
        <v>0.6020833333333333</v>
      </c>
      <c r="K652" s="10"/>
      <c r="O652" s="6" t="s">
        <v>466</v>
      </c>
      <c r="P652" s="6" t="s">
        <v>467</v>
      </c>
      <c r="Q652" s="6" t="s">
        <v>1461</v>
      </c>
      <c r="R652" s="6" t="s">
        <v>467</v>
      </c>
      <c r="S652" s="6" t="s">
        <v>42</v>
      </c>
      <c r="T652" s="11">
        <v>548555</v>
      </c>
      <c r="U652" s="7">
        <v>12</v>
      </c>
      <c r="V652" s="6" t="s">
        <v>36</v>
      </c>
      <c r="W652" s="7">
        <v>18.3</v>
      </c>
      <c r="X652" s="6" t="s">
        <v>35</v>
      </c>
      <c r="Y652" s="7">
        <v>1.1000000000000001</v>
      </c>
      <c r="Z652" s="7">
        <v>0.5</v>
      </c>
      <c r="AA652" s="6" t="s">
        <v>243</v>
      </c>
      <c r="AB652" s="6" t="s">
        <v>38</v>
      </c>
      <c r="AD652" s="6" t="s">
        <v>39</v>
      </c>
      <c r="AE652" s="6"/>
      <c r="AG652" s="6" t="s">
        <v>37</v>
      </c>
      <c r="AH652" s="7">
        <v>60</v>
      </c>
      <c r="AI652" s="6" t="s">
        <v>40</v>
      </c>
      <c r="AJ652" s="6" t="s">
        <v>238</v>
      </c>
      <c r="AL652" s="6" t="s">
        <v>41</v>
      </c>
      <c r="AM652" s="6" t="s">
        <v>41</v>
      </c>
    </row>
    <row r="653" spans="1:40" hidden="1" x14ac:dyDescent="0.25">
      <c r="A653" s="12">
        <v>45566</v>
      </c>
      <c r="B653" s="6" t="s">
        <v>214</v>
      </c>
      <c r="C653" t="str">
        <f>_xlfn.XLOOKUP(Table3[[#This Row],[station]],station_waterbody_county!A:A, station_waterbody_county!B:B)</f>
        <v>Spry Bay</v>
      </c>
      <c r="D653" t="str">
        <f>_xlfn.XLOOKUP(Table3[[#This Row],[station]],station_waterbody_county!A:A, station_waterbody_county!C:C)</f>
        <v>Halifax</v>
      </c>
      <c r="E653" s="6"/>
      <c r="F653" s="6" t="s">
        <v>310</v>
      </c>
      <c r="G653" s="12">
        <v>45226</v>
      </c>
      <c r="H653" s="5"/>
      <c r="I653" s="4">
        <v>45547</v>
      </c>
      <c r="J653" s="5">
        <v>0.58958333333333335</v>
      </c>
      <c r="K653" s="10">
        <v>44.817915999999997</v>
      </c>
      <c r="L653" s="10">
        <v>-62.618859</v>
      </c>
      <c r="O653" s="6"/>
      <c r="Q653" s="6" t="s">
        <v>466</v>
      </c>
      <c r="R653" s="6" t="s">
        <v>467</v>
      </c>
      <c r="S653" s="6" t="s">
        <v>239</v>
      </c>
      <c r="T653" s="11">
        <v>21650145</v>
      </c>
      <c r="U653" s="7">
        <v>2</v>
      </c>
      <c r="V653" s="6" t="s">
        <v>36</v>
      </c>
      <c r="W653" s="7">
        <v>14.4</v>
      </c>
      <c r="X653" s="6" t="s">
        <v>35</v>
      </c>
      <c r="Y653" s="7">
        <v>1</v>
      </c>
      <c r="Z653" s="7">
        <v>1.5</v>
      </c>
      <c r="AA653" s="6"/>
      <c r="AB653" s="6" t="s">
        <v>242</v>
      </c>
      <c r="AE653" s="6"/>
      <c r="AG653" s="6" t="s">
        <v>37</v>
      </c>
      <c r="AH653" s="7"/>
      <c r="AI653" s="6" t="s">
        <v>40</v>
      </c>
      <c r="AJ653" s="6" t="s">
        <v>238</v>
      </c>
      <c r="AK653" s="6" t="s">
        <v>35</v>
      </c>
      <c r="AL653" s="6" t="s">
        <v>268</v>
      </c>
      <c r="AM653" s="6" t="s">
        <v>41</v>
      </c>
    </row>
    <row r="654" spans="1:40" hidden="1" x14ac:dyDescent="0.25">
      <c r="A654" s="12">
        <v>45566</v>
      </c>
      <c r="B654" s="6" t="s">
        <v>214</v>
      </c>
      <c r="C654" t="str">
        <f>_xlfn.XLOOKUP(Table3[[#This Row],[station]],station_waterbody_county!A:A, station_waterbody_county!B:B)</f>
        <v>Spry Bay</v>
      </c>
      <c r="D654" t="str">
        <f>_xlfn.XLOOKUP(Table3[[#This Row],[station]],station_waterbody_county!A:A, station_waterbody_county!C:C)</f>
        <v>Halifax</v>
      </c>
      <c r="E654" s="6"/>
      <c r="F654" s="6" t="s">
        <v>310</v>
      </c>
      <c r="G654" s="12">
        <v>45226</v>
      </c>
      <c r="H654" s="5"/>
      <c r="I654" s="4">
        <v>45547</v>
      </c>
      <c r="J654" s="5">
        <v>0.58958333333333335</v>
      </c>
      <c r="K654" s="10">
        <v>44.817915999999997</v>
      </c>
      <c r="L654" s="10">
        <v>-62.618859</v>
      </c>
      <c r="O654" s="6"/>
      <c r="Q654" s="6" t="s">
        <v>466</v>
      </c>
      <c r="R654" s="6" t="s">
        <v>467</v>
      </c>
      <c r="S654" s="6" t="s">
        <v>240</v>
      </c>
      <c r="T654" s="11">
        <v>670370</v>
      </c>
      <c r="U654" s="7">
        <v>5</v>
      </c>
      <c r="V654" s="6" t="s">
        <v>36</v>
      </c>
      <c r="W654" s="7">
        <v>14.4</v>
      </c>
      <c r="X654" s="6" t="s">
        <v>35</v>
      </c>
      <c r="Y654" s="7">
        <v>1</v>
      </c>
      <c r="Z654" s="7">
        <v>1.5</v>
      </c>
      <c r="AA654" s="6"/>
      <c r="AB654" s="6" t="s">
        <v>242</v>
      </c>
      <c r="AE654" s="6"/>
      <c r="AG654" s="6" t="s">
        <v>37</v>
      </c>
      <c r="AH654" s="7"/>
      <c r="AI654" s="6" t="s">
        <v>40</v>
      </c>
      <c r="AJ654" s="6" t="s">
        <v>238</v>
      </c>
      <c r="AK654" s="6" t="s">
        <v>35</v>
      </c>
      <c r="AL654" s="6" t="s">
        <v>268</v>
      </c>
      <c r="AM654" s="6" t="s">
        <v>41</v>
      </c>
    </row>
    <row r="655" spans="1:40" hidden="1" x14ac:dyDescent="0.25">
      <c r="A655" s="12">
        <v>45566</v>
      </c>
      <c r="B655" s="6" t="s">
        <v>214</v>
      </c>
      <c r="C655" t="str">
        <f>_xlfn.XLOOKUP(Table3[[#This Row],[station]],station_waterbody_county!A:A, station_waterbody_county!B:B)</f>
        <v>Spry Bay</v>
      </c>
      <c r="D655" t="str">
        <f>_xlfn.XLOOKUP(Table3[[#This Row],[station]],station_waterbody_county!A:A, station_waterbody_county!C:C)</f>
        <v>Halifax</v>
      </c>
      <c r="E655" s="6"/>
      <c r="F655" s="6" t="s">
        <v>310</v>
      </c>
      <c r="G655" s="12">
        <v>45226</v>
      </c>
      <c r="H655" s="5"/>
      <c r="I655" s="4">
        <v>45547</v>
      </c>
      <c r="J655" s="5">
        <v>0.58958333333333335</v>
      </c>
      <c r="K655" s="10">
        <v>44.817915999999997</v>
      </c>
      <c r="L655" s="10">
        <v>-62.618859</v>
      </c>
      <c r="O655" s="6"/>
      <c r="Q655" s="6" t="s">
        <v>466</v>
      </c>
      <c r="R655" s="6" t="s">
        <v>467</v>
      </c>
      <c r="S655" s="6" t="s">
        <v>239</v>
      </c>
      <c r="T655" s="11">
        <v>21650148</v>
      </c>
      <c r="U655" s="7">
        <v>10</v>
      </c>
      <c r="V655" s="6" t="s">
        <v>36</v>
      </c>
      <c r="W655" s="7">
        <v>14.4</v>
      </c>
      <c r="X655" s="6" t="s">
        <v>35</v>
      </c>
      <c r="Y655" s="7">
        <v>1</v>
      </c>
      <c r="Z655" s="7">
        <v>1.5</v>
      </c>
      <c r="AA655" s="6"/>
      <c r="AB655" s="6" t="s">
        <v>242</v>
      </c>
      <c r="AE655" s="6"/>
      <c r="AG655" s="6" t="s">
        <v>37</v>
      </c>
      <c r="AH655" s="7"/>
      <c r="AI655" s="6" t="s">
        <v>40</v>
      </c>
      <c r="AJ655" s="6" t="s">
        <v>238</v>
      </c>
      <c r="AK655" s="6" t="s">
        <v>35</v>
      </c>
      <c r="AL655" s="6" t="s">
        <v>268</v>
      </c>
      <c r="AM655" s="6" t="s">
        <v>41</v>
      </c>
    </row>
    <row r="656" spans="1:40" hidden="1" x14ac:dyDescent="0.25">
      <c r="A656" s="12">
        <v>45566</v>
      </c>
      <c r="B656" s="6" t="s">
        <v>214</v>
      </c>
      <c r="C656" t="str">
        <f>_xlfn.XLOOKUP(Table3[[#This Row],[station]],station_waterbody_county!A:A, station_waterbody_county!B:B)</f>
        <v>Spry Bay</v>
      </c>
      <c r="D656" t="str">
        <f>_xlfn.XLOOKUP(Table3[[#This Row],[station]],station_waterbody_county!A:A, station_waterbody_county!C:C)</f>
        <v>Halifax</v>
      </c>
      <c r="E656" s="6"/>
      <c r="F656" s="6" t="s">
        <v>310</v>
      </c>
      <c r="G656" s="12">
        <v>45226</v>
      </c>
      <c r="H656" s="5"/>
      <c r="I656" s="4">
        <v>45547</v>
      </c>
      <c r="J656" s="5">
        <v>0.58958333333333335</v>
      </c>
      <c r="K656" s="10">
        <v>44.817915999999997</v>
      </c>
      <c r="L656" s="10">
        <v>-62.618859</v>
      </c>
      <c r="O656" s="6"/>
      <c r="Q656" s="6" t="s">
        <v>466</v>
      </c>
      <c r="R656" s="6" t="s">
        <v>467</v>
      </c>
      <c r="S656" s="6" t="s">
        <v>42</v>
      </c>
      <c r="T656" s="11">
        <v>548568</v>
      </c>
      <c r="U656" s="7">
        <v>12</v>
      </c>
      <c r="V656" s="6" t="s">
        <v>36</v>
      </c>
      <c r="W656" s="7">
        <v>14.4</v>
      </c>
      <c r="X656" s="6" t="s">
        <v>35</v>
      </c>
      <c r="Y656" s="7">
        <v>1</v>
      </c>
      <c r="Z656" s="7">
        <v>1.5</v>
      </c>
      <c r="AA656" s="6"/>
      <c r="AB656" s="6" t="s">
        <v>242</v>
      </c>
      <c r="AE656" s="6"/>
      <c r="AG656" s="6" t="s">
        <v>37</v>
      </c>
      <c r="AH656" s="7"/>
      <c r="AI656" s="6" t="s">
        <v>40</v>
      </c>
      <c r="AJ656" s="6" t="s">
        <v>238</v>
      </c>
      <c r="AK656" s="6" t="s">
        <v>35</v>
      </c>
      <c r="AL656" s="6" t="s">
        <v>268</v>
      </c>
      <c r="AM656" s="6" t="s">
        <v>41</v>
      </c>
    </row>
    <row r="657" spans="1:40" x14ac:dyDescent="0.25">
      <c r="A657" s="4">
        <v>45596</v>
      </c>
      <c r="B657" s="6" t="s">
        <v>325</v>
      </c>
      <c r="C657" t="str">
        <f>_xlfn.XLOOKUP(Table3[[#This Row],[station]],station_waterbody_county!A:A, station_waterbody_county!B:B)</f>
        <v>St. Georges Bay</v>
      </c>
      <c r="D657" t="str">
        <f>_xlfn.XLOOKUP(Table3[[#This Row],[station]],station_waterbody_county!A:A, station_waterbody_county!C:C)</f>
        <v>Antigonish</v>
      </c>
      <c r="E657" s="6"/>
      <c r="F657" s="6" t="s">
        <v>310</v>
      </c>
      <c r="G657" s="4">
        <v>45428</v>
      </c>
      <c r="H657" s="5">
        <v>0.59722222222222221</v>
      </c>
      <c r="I657" s="4">
        <v>45583</v>
      </c>
      <c r="J657" s="5">
        <v>0.71388888888888891</v>
      </c>
      <c r="K657" s="10"/>
      <c r="O657" s="6" t="s">
        <v>328</v>
      </c>
      <c r="P657" s="6" t="s">
        <v>329</v>
      </c>
      <c r="Q657" s="6" t="s">
        <v>529</v>
      </c>
      <c r="R657" s="6" t="s">
        <v>530</v>
      </c>
      <c r="S657" s="6" t="s">
        <v>42</v>
      </c>
      <c r="T657" s="11">
        <v>548040</v>
      </c>
      <c r="U657" s="7">
        <v>16</v>
      </c>
      <c r="V657" s="6" t="s">
        <v>36</v>
      </c>
      <c r="W657" s="7"/>
      <c r="X657" s="6" t="s">
        <v>35</v>
      </c>
      <c r="Y657" s="7"/>
      <c r="Z657" s="7">
        <v>0.5</v>
      </c>
      <c r="AA657" s="6" t="s">
        <v>243</v>
      </c>
      <c r="AB657" s="6" t="s">
        <v>321</v>
      </c>
      <c r="AE657" s="6"/>
      <c r="AG657" s="6" t="s">
        <v>315</v>
      </c>
      <c r="AH657" s="7">
        <v>25</v>
      </c>
      <c r="AI657" s="6" t="s">
        <v>40</v>
      </c>
      <c r="AJ657" s="6" t="s">
        <v>238</v>
      </c>
      <c r="AK657" s="6" t="s">
        <v>35</v>
      </c>
      <c r="AL657" s="6" t="s">
        <v>323</v>
      </c>
      <c r="AM657" s="6" t="s">
        <v>527</v>
      </c>
    </row>
    <row r="658" spans="1:40" x14ac:dyDescent="0.25">
      <c r="A658" s="4">
        <v>45596</v>
      </c>
      <c r="B658" s="6" t="s">
        <v>326</v>
      </c>
      <c r="C658" t="str">
        <f>_xlfn.XLOOKUP(Table3[[#This Row],[station]],station_waterbody_county!A:A, station_waterbody_county!B:B)</f>
        <v>St. Georges Bay</v>
      </c>
      <c r="D658" t="str">
        <f>_xlfn.XLOOKUP(Table3[[#This Row],[station]],station_waterbody_county!A:A, station_waterbody_county!C:C)</f>
        <v>Antigonish</v>
      </c>
      <c r="E658" s="6"/>
      <c r="F658" s="6" t="s">
        <v>310</v>
      </c>
      <c r="G658" s="4">
        <v>45428</v>
      </c>
      <c r="H658" s="5">
        <v>0.61111111111111116</v>
      </c>
      <c r="I658" s="4">
        <v>45583</v>
      </c>
      <c r="J658" s="5">
        <v>0.71805555555555556</v>
      </c>
      <c r="K658" s="10"/>
      <c r="O658" s="6" t="s">
        <v>332</v>
      </c>
      <c r="P658" s="6" t="s">
        <v>333</v>
      </c>
      <c r="Q658" s="6" t="s">
        <v>531</v>
      </c>
      <c r="R658" s="6" t="s">
        <v>532</v>
      </c>
      <c r="S658" s="6" t="s">
        <v>259</v>
      </c>
      <c r="T658" s="11">
        <v>600010</v>
      </c>
      <c r="U658" s="7">
        <v>15</v>
      </c>
      <c r="V658" s="6" t="s">
        <v>36</v>
      </c>
      <c r="W658" s="7"/>
      <c r="X658" s="6" t="s">
        <v>35</v>
      </c>
      <c r="Y658" s="7"/>
      <c r="Z658" s="7">
        <v>0.5</v>
      </c>
      <c r="AA658" s="6" t="s">
        <v>243</v>
      </c>
      <c r="AB658" s="6" t="s">
        <v>321</v>
      </c>
      <c r="AE658" s="6"/>
      <c r="AG658" s="6" t="s">
        <v>315</v>
      </c>
      <c r="AH658" s="7">
        <v>25</v>
      </c>
      <c r="AI658" s="6" t="s">
        <v>40</v>
      </c>
      <c r="AJ658" s="6" t="s">
        <v>238</v>
      </c>
      <c r="AK658" s="6" t="s">
        <v>241</v>
      </c>
      <c r="AL658" s="6" t="s">
        <v>323</v>
      </c>
      <c r="AM658" s="6" t="s">
        <v>527</v>
      </c>
    </row>
    <row r="659" spans="1:40" x14ac:dyDescent="0.25">
      <c r="A659" s="4">
        <v>45596</v>
      </c>
      <c r="B659" s="6" t="s">
        <v>327</v>
      </c>
      <c r="C659" t="str">
        <f>_xlfn.XLOOKUP(Table3[[#This Row],[station]],station_waterbody_county!A:A, station_waterbody_county!B:B)</f>
        <v>St. Georges Bay</v>
      </c>
      <c r="D659" t="str">
        <f>_xlfn.XLOOKUP(Table3[[#This Row],[station]],station_waterbody_county!A:A, station_waterbody_county!C:C)</f>
        <v>Antigonish</v>
      </c>
      <c r="E659" s="6"/>
      <c r="F659" s="6" t="s">
        <v>310</v>
      </c>
      <c r="G659" s="4">
        <v>45428</v>
      </c>
      <c r="H659" s="5">
        <v>0.60416666666666663</v>
      </c>
      <c r="I659" s="4">
        <v>45583</v>
      </c>
      <c r="J659" s="5">
        <v>0.7270833333333333</v>
      </c>
      <c r="K659" s="10"/>
      <c r="O659" s="6" t="s">
        <v>330</v>
      </c>
      <c r="P659" s="6" t="s">
        <v>331</v>
      </c>
      <c r="Q659" s="6" t="s">
        <v>533</v>
      </c>
      <c r="R659" s="6" t="s">
        <v>331</v>
      </c>
      <c r="S659" s="6" t="s">
        <v>42</v>
      </c>
      <c r="T659" s="11">
        <v>548043</v>
      </c>
      <c r="U659" s="7">
        <v>14</v>
      </c>
      <c r="V659" s="6" t="s">
        <v>36</v>
      </c>
      <c r="W659" s="7"/>
      <c r="X659" s="6" t="s">
        <v>35</v>
      </c>
      <c r="Y659" s="7"/>
      <c r="Z659" s="7">
        <v>0.5</v>
      </c>
      <c r="AA659" s="6" t="s">
        <v>243</v>
      </c>
      <c r="AB659" s="6" t="s">
        <v>321</v>
      </c>
      <c r="AE659" s="6"/>
      <c r="AG659" s="6" t="s">
        <v>315</v>
      </c>
      <c r="AH659" s="7">
        <v>25</v>
      </c>
      <c r="AI659" s="6" t="s">
        <v>40</v>
      </c>
      <c r="AJ659" s="6" t="s">
        <v>238</v>
      </c>
      <c r="AK659" s="6" t="s">
        <v>241</v>
      </c>
      <c r="AL659" s="6" t="s">
        <v>323</v>
      </c>
      <c r="AM659" s="6" t="s">
        <v>527</v>
      </c>
    </row>
    <row r="660" spans="1:40" hidden="1" x14ac:dyDescent="0.25">
      <c r="A660" s="12">
        <v>45678</v>
      </c>
      <c r="B660" s="6" t="s">
        <v>220</v>
      </c>
      <c r="C660" t="str">
        <f>_xlfn.XLOOKUP(Table3[[#This Row],[station]],station_waterbody_county!A:A, station_waterbody_county!B:B)</f>
        <v>Port La Tour</v>
      </c>
      <c r="D660" t="str">
        <f>_xlfn.XLOOKUP(Table3[[#This Row],[station]],station_waterbody_county!A:A, station_waterbody_county!C:C)</f>
        <v>Shelburne</v>
      </c>
      <c r="E660" s="6"/>
      <c r="F660" s="6" t="s">
        <v>311</v>
      </c>
      <c r="G660" s="12">
        <v>45120</v>
      </c>
      <c r="H660" s="5"/>
      <c r="I660" s="4"/>
      <c r="J660" s="5"/>
      <c r="K660" s="10">
        <v>43.469347999999997</v>
      </c>
      <c r="L660" s="10">
        <v>-65.422056999999995</v>
      </c>
      <c r="O660" s="6"/>
      <c r="S660" s="6" t="s">
        <v>239</v>
      </c>
      <c r="T660" s="11">
        <v>20330419</v>
      </c>
      <c r="U660" s="7">
        <v>2</v>
      </c>
      <c r="V660" s="6" t="s">
        <v>36</v>
      </c>
      <c r="W660" s="7">
        <v>25.6</v>
      </c>
      <c r="X660" s="6" t="s">
        <v>35</v>
      </c>
      <c r="Y660" s="7"/>
      <c r="Z660" s="7">
        <v>1.5</v>
      </c>
      <c r="AA660" s="6"/>
      <c r="AB660" s="6" t="s">
        <v>38</v>
      </c>
      <c r="AD660" s="6" t="s">
        <v>39</v>
      </c>
      <c r="AE660" s="6"/>
      <c r="AG660" s="6" t="s">
        <v>37</v>
      </c>
      <c r="AH660" s="7"/>
      <c r="AI660" s="6" t="s">
        <v>40</v>
      </c>
      <c r="AJ660" s="6" t="s">
        <v>238</v>
      </c>
      <c r="AL660" s="6" t="s">
        <v>283</v>
      </c>
      <c r="AM660" s="6" t="s">
        <v>41</v>
      </c>
      <c r="AN660" s="6" t="s">
        <v>418</v>
      </c>
    </row>
    <row r="661" spans="1:40" hidden="1" x14ac:dyDescent="0.25">
      <c r="A661" s="12">
        <v>45678</v>
      </c>
      <c r="B661" s="6" t="s">
        <v>220</v>
      </c>
      <c r="C661" t="str">
        <f>_xlfn.XLOOKUP(Table3[[#This Row],[station]],station_waterbody_county!A:A, station_waterbody_county!B:B)</f>
        <v>Port La Tour</v>
      </c>
      <c r="D661" t="str">
        <f>_xlfn.XLOOKUP(Table3[[#This Row],[station]],station_waterbody_county!A:A, station_waterbody_county!C:C)</f>
        <v>Shelburne</v>
      </c>
      <c r="E661" s="6"/>
      <c r="F661" s="6" t="s">
        <v>311</v>
      </c>
      <c r="G661" s="12">
        <v>45120</v>
      </c>
      <c r="H661" s="5"/>
      <c r="I661" s="4"/>
      <c r="J661" s="5"/>
      <c r="K661" s="10">
        <v>43.469347999999997</v>
      </c>
      <c r="L661" s="10">
        <v>-65.422056999999995</v>
      </c>
      <c r="O661" s="6"/>
      <c r="S661" s="6" t="s">
        <v>240</v>
      </c>
      <c r="T661" s="11">
        <v>675017</v>
      </c>
      <c r="U661" s="7">
        <v>5</v>
      </c>
      <c r="V661" s="6" t="s">
        <v>36</v>
      </c>
      <c r="W661" s="7">
        <v>25.6</v>
      </c>
      <c r="X661" s="6" t="s">
        <v>35</v>
      </c>
      <c r="Y661" s="7"/>
      <c r="Z661" s="7">
        <v>1.5</v>
      </c>
      <c r="AA661" s="6"/>
      <c r="AB661" s="6" t="s">
        <v>38</v>
      </c>
      <c r="AD661" s="6" t="s">
        <v>39</v>
      </c>
      <c r="AE661" s="6"/>
      <c r="AG661" s="6" t="s">
        <v>37</v>
      </c>
      <c r="AH661" s="7"/>
      <c r="AI661" s="6" t="s">
        <v>40</v>
      </c>
      <c r="AJ661" s="6" t="s">
        <v>238</v>
      </c>
      <c r="AL661" s="6" t="s">
        <v>283</v>
      </c>
      <c r="AM661" s="6" t="s">
        <v>41</v>
      </c>
      <c r="AN661" s="6" t="s">
        <v>418</v>
      </c>
    </row>
    <row r="662" spans="1:40" hidden="1" x14ac:dyDescent="0.25">
      <c r="A662" s="12">
        <v>45678</v>
      </c>
      <c r="B662" s="6" t="s">
        <v>220</v>
      </c>
      <c r="C662" t="str">
        <f>_xlfn.XLOOKUP(Table3[[#This Row],[station]],station_waterbody_county!A:A, station_waterbody_county!B:B)</f>
        <v>Port La Tour</v>
      </c>
      <c r="D662" t="str">
        <f>_xlfn.XLOOKUP(Table3[[#This Row],[station]],station_waterbody_county!A:A, station_waterbody_county!C:C)</f>
        <v>Shelburne</v>
      </c>
      <c r="E662" s="6"/>
      <c r="F662" s="6" t="s">
        <v>311</v>
      </c>
      <c r="G662" s="12">
        <v>45120</v>
      </c>
      <c r="H662" s="5"/>
      <c r="I662" s="4"/>
      <c r="J662" s="5"/>
      <c r="K662" s="10">
        <v>43.469347999999997</v>
      </c>
      <c r="L662" s="10">
        <v>-65.422056999999995</v>
      </c>
      <c r="O662" s="6"/>
      <c r="S662" s="6" t="s">
        <v>239</v>
      </c>
      <c r="T662" s="11">
        <v>20291478</v>
      </c>
      <c r="U662" s="7">
        <v>10</v>
      </c>
      <c r="V662" s="6" t="s">
        <v>36</v>
      </c>
      <c r="W662" s="7">
        <v>25.6</v>
      </c>
      <c r="X662" s="6" t="s">
        <v>35</v>
      </c>
      <c r="Y662" s="7"/>
      <c r="Z662" s="7">
        <v>1.5</v>
      </c>
      <c r="AA662" s="6"/>
      <c r="AB662" s="6" t="s">
        <v>38</v>
      </c>
      <c r="AD662" s="6" t="s">
        <v>39</v>
      </c>
      <c r="AE662" s="6"/>
      <c r="AG662" s="6" t="s">
        <v>37</v>
      </c>
      <c r="AH662" s="7"/>
      <c r="AI662" s="6" t="s">
        <v>40</v>
      </c>
      <c r="AJ662" s="6" t="s">
        <v>238</v>
      </c>
      <c r="AL662" s="6" t="s">
        <v>283</v>
      </c>
      <c r="AM662" s="6" t="s">
        <v>41</v>
      </c>
      <c r="AN662" s="6" t="s">
        <v>418</v>
      </c>
    </row>
    <row r="663" spans="1:40" hidden="1" x14ac:dyDescent="0.25">
      <c r="A663" s="12">
        <v>45678</v>
      </c>
      <c r="B663" s="6" t="s">
        <v>220</v>
      </c>
      <c r="C663" t="str">
        <f>_xlfn.XLOOKUP(Table3[[#This Row],[station]],station_waterbody_county!A:A, station_waterbody_county!B:B)</f>
        <v>Port La Tour</v>
      </c>
      <c r="D663" t="str">
        <f>_xlfn.XLOOKUP(Table3[[#This Row],[station]],station_waterbody_county!A:A, station_waterbody_county!C:C)</f>
        <v>Shelburne</v>
      </c>
      <c r="E663" s="6"/>
      <c r="F663" s="6" t="s">
        <v>311</v>
      </c>
      <c r="G663" s="12">
        <v>45120</v>
      </c>
      <c r="H663" s="5"/>
      <c r="I663" s="4"/>
      <c r="J663" s="5"/>
      <c r="K663" s="10">
        <v>43.469347999999997</v>
      </c>
      <c r="L663" s="10">
        <v>-65.422056999999995</v>
      </c>
      <c r="O663" s="6"/>
      <c r="S663" s="6" t="s">
        <v>239</v>
      </c>
      <c r="T663" s="11">
        <v>20763559</v>
      </c>
      <c r="U663" s="7">
        <v>15</v>
      </c>
      <c r="V663" s="6" t="s">
        <v>36</v>
      </c>
      <c r="W663" s="7">
        <v>25.6</v>
      </c>
      <c r="X663" s="6" t="s">
        <v>35</v>
      </c>
      <c r="Y663" s="7"/>
      <c r="Z663" s="7">
        <v>1.5</v>
      </c>
      <c r="AA663" s="6"/>
      <c r="AB663" s="6" t="s">
        <v>38</v>
      </c>
      <c r="AD663" s="6" t="s">
        <v>39</v>
      </c>
      <c r="AE663" s="6"/>
      <c r="AG663" s="6" t="s">
        <v>37</v>
      </c>
      <c r="AH663" s="7"/>
      <c r="AI663" s="6" t="s">
        <v>40</v>
      </c>
      <c r="AJ663" s="6" t="s">
        <v>238</v>
      </c>
      <c r="AL663" s="6" t="s">
        <v>283</v>
      </c>
      <c r="AM663" s="6" t="s">
        <v>41</v>
      </c>
      <c r="AN663" s="6" t="s">
        <v>418</v>
      </c>
    </row>
    <row r="664" spans="1:40" hidden="1" x14ac:dyDescent="0.25">
      <c r="A664" s="12">
        <v>45678</v>
      </c>
      <c r="B664" s="6" t="s">
        <v>220</v>
      </c>
      <c r="C664" t="str">
        <f>_xlfn.XLOOKUP(Table3[[#This Row],[station]],station_waterbody_county!A:A, station_waterbody_county!B:B)</f>
        <v>Port La Tour</v>
      </c>
      <c r="D664" t="str">
        <f>_xlfn.XLOOKUP(Table3[[#This Row],[station]],station_waterbody_county!A:A, station_waterbody_county!C:C)</f>
        <v>Shelburne</v>
      </c>
      <c r="E664" s="6"/>
      <c r="F664" s="6" t="s">
        <v>311</v>
      </c>
      <c r="G664" s="12">
        <v>45120</v>
      </c>
      <c r="H664" s="5"/>
      <c r="I664" s="4"/>
      <c r="J664" s="5"/>
      <c r="K664" s="10">
        <v>43.469347999999997</v>
      </c>
      <c r="L664" s="10">
        <v>-65.422056999999995</v>
      </c>
      <c r="O664" s="6"/>
      <c r="S664" s="6" t="s">
        <v>42</v>
      </c>
      <c r="T664" s="11">
        <v>551262</v>
      </c>
      <c r="U664" s="7">
        <v>22</v>
      </c>
      <c r="V664" s="6" t="s">
        <v>36</v>
      </c>
      <c r="W664" s="7">
        <v>25.6</v>
      </c>
      <c r="X664" s="6" t="s">
        <v>35</v>
      </c>
      <c r="Y664" s="7"/>
      <c r="Z664" s="7">
        <v>1.5</v>
      </c>
      <c r="AA664" s="6"/>
      <c r="AB664" s="6" t="s">
        <v>38</v>
      </c>
      <c r="AD664" s="6" t="s">
        <v>39</v>
      </c>
      <c r="AE664" s="6"/>
      <c r="AG664" s="6" t="s">
        <v>37</v>
      </c>
      <c r="AH664" s="7"/>
      <c r="AI664" s="6" t="s">
        <v>40</v>
      </c>
      <c r="AJ664" s="6" t="s">
        <v>238</v>
      </c>
      <c r="AL664" s="6" t="s">
        <v>283</v>
      </c>
      <c r="AM664" s="6" t="s">
        <v>41</v>
      </c>
      <c r="AN664" s="6" t="s">
        <v>418</v>
      </c>
    </row>
    <row r="665" spans="1:40" hidden="1" x14ac:dyDescent="0.25">
      <c r="A665" s="4">
        <v>45856</v>
      </c>
      <c r="B665" s="6" t="s">
        <v>220</v>
      </c>
      <c r="C665" s="6" t="str">
        <f>_xlfn.XLOOKUP(Table3[[#This Row],[station]],station_waterbody_county!A:A, station_waterbody_county!B:B)</f>
        <v>Port La Tour</v>
      </c>
      <c r="D665" s="3" t="str">
        <f>_xlfn.XLOOKUP(Table3[[#This Row],[station]],station_waterbody_county!A:A, station_waterbody_county!C:C)</f>
        <v>Shelburne</v>
      </c>
      <c r="E665" s="6"/>
      <c r="F665" s="6" t="s">
        <v>34</v>
      </c>
      <c r="G665" s="12">
        <v>45847</v>
      </c>
      <c r="H665" s="5">
        <v>0.70277777777777772</v>
      </c>
      <c r="I665" s="4"/>
      <c r="J665" s="5"/>
      <c r="K665" s="10"/>
      <c r="O665" s="6" t="s">
        <v>1338</v>
      </c>
      <c r="P665" s="6" t="s">
        <v>1339</v>
      </c>
      <c r="S665" s="6" t="s">
        <v>239</v>
      </c>
      <c r="T665" s="11">
        <v>21650142</v>
      </c>
      <c r="U665" s="7">
        <v>2</v>
      </c>
      <c r="V665" s="6" t="s">
        <v>36</v>
      </c>
      <c r="W665" s="7">
        <v>26.5</v>
      </c>
      <c r="X665" s="6" t="s">
        <v>35</v>
      </c>
      <c r="Y665" s="7">
        <v>0.76</v>
      </c>
      <c r="Z665" s="7">
        <v>0.5</v>
      </c>
      <c r="AA665" s="6" t="s">
        <v>314</v>
      </c>
      <c r="AB665" s="6" t="s">
        <v>38</v>
      </c>
      <c r="AD665" s="6" t="s">
        <v>39</v>
      </c>
      <c r="AE665" s="6" t="s">
        <v>1244</v>
      </c>
      <c r="AF665" s="11">
        <v>1</v>
      </c>
      <c r="AG665" s="6" t="s">
        <v>37</v>
      </c>
      <c r="AH665" s="7">
        <v>60</v>
      </c>
      <c r="AI665" s="6" t="s">
        <v>40</v>
      </c>
      <c r="AJ665" s="6" t="s">
        <v>238</v>
      </c>
      <c r="AK665" s="6" t="s">
        <v>241</v>
      </c>
      <c r="AL665" s="6" t="s">
        <v>41</v>
      </c>
    </row>
    <row r="666" spans="1:40" hidden="1" x14ac:dyDescent="0.25">
      <c r="A666" s="4">
        <v>45856</v>
      </c>
      <c r="B666" s="6" t="s">
        <v>220</v>
      </c>
      <c r="C666" s="6" t="str">
        <f>_xlfn.XLOOKUP(Table3[[#This Row],[station]],station_waterbody_county!A:A, station_waterbody_county!B:B)</f>
        <v>Port La Tour</v>
      </c>
      <c r="D666" s="3" t="str">
        <f>_xlfn.XLOOKUP(Table3[[#This Row],[station]],station_waterbody_county!A:A, station_waterbody_county!C:C)</f>
        <v>Shelburne</v>
      </c>
      <c r="E666" s="6"/>
      <c r="F666" s="6" t="s">
        <v>34</v>
      </c>
      <c r="G666" s="12">
        <v>45847</v>
      </c>
      <c r="H666" s="5">
        <v>0.70277777777777772</v>
      </c>
      <c r="I666" s="4"/>
      <c r="J666" s="5"/>
      <c r="K666" s="10"/>
      <c r="O666" s="6" t="s">
        <v>1338</v>
      </c>
      <c r="P666" s="6" t="s">
        <v>1339</v>
      </c>
      <c r="S666" s="6" t="s">
        <v>239</v>
      </c>
      <c r="T666" s="11">
        <v>22285935</v>
      </c>
      <c r="U666" s="7">
        <v>5</v>
      </c>
      <c r="V666" s="6" t="s">
        <v>36</v>
      </c>
      <c r="W666" s="7">
        <v>26.5</v>
      </c>
      <c r="X666" s="6" t="s">
        <v>35</v>
      </c>
      <c r="Y666" s="7">
        <v>0.76</v>
      </c>
      <c r="Z666" s="7">
        <v>0.5</v>
      </c>
      <c r="AA666" s="6" t="s">
        <v>314</v>
      </c>
      <c r="AB666" s="6" t="s">
        <v>38</v>
      </c>
      <c r="AD666" s="6" t="s">
        <v>39</v>
      </c>
      <c r="AE666" s="6" t="s">
        <v>1244</v>
      </c>
      <c r="AF666" s="11">
        <v>1</v>
      </c>
      <c r="AG666" s="6" t="s">
        <v>37</v>
      </c>
      <c r="AH666" s="7">
        <v>60</v>
      </c>
      <c r="AI666" s="6" t="s">
        <v>40</v>
      </c>
      <c r="AJ666" s="6" t="s">
        <v>238</v>
      </c>
      <c r="AK666" s="6" t="s">
        <v>241</v>
      </c>
      <c r="AL666" s="6" t="s">
        <v>41</v>
      </c>
    </row>
    <row r="667" spans="1:40" hidden="1" x14ac:dyDescent="0.25">
      <c r="A667" s="4">
        <v>45856</v>
      </c>
      <c r="B667" s="6" t="s">
        <v>220</v>
      </c>
      <c r="C667" s="6" t="str">
        <f>_xlfn.XLOOKUP(Table3[[#This Row],[station]],station_waterbody_county!A:A, station_waterbody_county!B:B)</f>
        <v>Port La Tour</v>
      </c>
      <c r="D667" s="3" t="str">
        <f>_xlfn.XLOOKUP(Table3[[#This Row],[station]],station_waterbody_county!A:A, station_waterbody_county!C:C)</f>
        <v>Shelburne</v>
      </c>
      <c r="E667" s="6"/>
      <c r="F667" s="6" t="s">
        <v>34</v>
      </c>
      <c r="G667" s="12">
        <v>45847</v>
      </c>
      <c r="H667" s="5">
        <v>0.70277777777777772</v>
      </c>
      <c r="I667" s="4"/>
      <c r="J667" s="5"/>
      <c r="K667" s="10"/>
      <c r="O667" s="6" t="s">
        <v>1338</v>
      </c>
      <c r="P667" s="6" t="s">
        <v>1339</v>
      </c>
      <c r="S667" s="6" t="s">
        <v>239</v>
      </c>
      <c r="T667" s="11">
        <v>22278824</v>
      </c>
      <c r="U667" s="7">
        <v>10</v>
      </c>
      <c r="V667" s="6" t="s">
        <v>36</v>
      </c>
      <c r="W667" s="7">
        <v>26.5</v>
      </c>
      <c r="X667" s="6" t="s">
        <v>35</v>
      </c>
      <c r="Y667" s="7">
        <v>0.76</v>
      </c>
      <c r="Z667" s="7">
        <v>0.5</v>
      </c>
      <c r="AA667" s="6" t="s">
        <v>314</v>
      </c>
      <c r="AB667" s="6" t="s">
        <v>38</v>
      </c>
      <c r="AD667" s="6" t="s">
        <v>39</v>
      </c>
      <c r="AE667" s="6" t="s">
        <v>1244</v>
      </c>
      <c r="AF667" s="11">
        <v>1</v>
      </c>
      <c r="AG667" s="6" t="s">
        <v>37</v>
      </c>
      <c r="AH667" s="7">
        <v>60</v>
      </c>
      <c r="AI667" s="6" t="s">
        <v>40</v>
      </c>
      <c r="AJ667" s="6" t="s">
        <v>238</v>
      </c>
      <c r="AK667" s="6" t="s">
        <v>241</v>
      </c>
      <c r="AL667" s="6" t="s">
        <v>41</v>
      </c>
    </row>
    <row r="668" spans="1:40" hidden="1" x14ac:dyDescent="0.25">
      <c r="A668" s="4">
        <v>45856</v>
      </c>
      <c r="B668" s="6" t="s">
        <v>220</v>
      </c>
      <c r="C668" s="6" t="str">
        <f>_xlfn.XLOOKUP(Table3[[#This Row],[station]],station_waterbody_county!A:A, station_waterbody_county!B:B)</f>
        <v>Port La Tour</v>
      </c>
      <c r="D668" s="3" t="str">
        <f>_xlfn.XLOOKUP(Table3[[#This Row],[station]],station_waterbody_county!A:A, station_waterbody_county!C:C)</f>
        <v>Shelburne</v>
      </c>
      <c r="E668" s="6"/>
      <c r="F668" s="6" t="s">
        <v>34</v>
      </c>
      <c r="G668" s="12">
        <v>45847</v>
      </c>
      <c r="H668" s="5">
        <v>0.70277777777777772</v>
      </c>
      <c r="I668" s="4"/>
      <c r="J668" s="5"/>
      <c r="K668" s="10"/>
      <c r="O668" s="6" t="s">
        <v>1338</v>
      </c>
      <c r="P668" s="6" t="s">
        <v>1339</v>
      </c>
      <c r="S668" s="6" t="s">
        <v>239</v>
      </c>
      <c r="T668" s="11">
        <v>21465746</v>
      </c>
      <c r="U668" s="7">
        <v>15</v>
      </c>
      <c r="V668" s="6" t="s">
        <v>36</v>
      </c>
      <c r="W668" s="7">
        <v>26.5</v>
      </c>
      <c r="X668" s="6" t="s">
        <v>35</v>
      </c>
      <c r="Y668" s="7">
        <v>0.76</v>
      </c>
      <c r="Z668" s="7">
        <v>0.5</v>
      </c>
      <c r="AA668" s="6" t="s">
        <v>314</v>
      </c>
      <c r="AB668" s="6" t="s">
        <v>38</v>
      </c>
      <c r="AD668" s="6" t="s">
        <v>39</v>
      </c>
      <c r="AE668" s="6" t="s">
        <v>1244</v>
      </c>
      <c r="AF668" s="11">
        <v>1</v>
      </c>
      <c r="AG668" s="6" t="s">
        <v>37</v>
      </c>
      <c r="AH668" s="7">
        <v>60</v>
      </c>
      <c r="AI668" s="6" t="s">
        <v>40</v>
      </c>
      <c r="AJ668" s="6" t="s">
        <v>238</v>
      </c>
      <c r="AK668" s="6" t="s">
        <v>241</v>
      </c>
      <c r="AL668" s="6" t="s">
        <v>41</v>
      </c>
    </row>
    <row r="669" spans="1:40" hidden="1" x14ac:dyDescent="0.25">
      <c r="A669" s="4">
        <v>45856</v>
      </c>
      <c r="B669" s="6" t="s">
        <v>220</v>
      </c>
      <c r="C669" s="6" t="str">
        <f>_xlfn.XLOOKUP(Table3[[#This Row],[station]],station_waterbody_county!A:A, station_waterbody_county!B:B)</f>
        <v>Port La Tour</v>
      </c>
      <c r="D669" s="3" t="str">
        <f>_xlfn.XLOOKUP(Table3[[#This Row],[station]],station_waterbody_county!A:A, station_waterbody_county!C:C)</f>
        <v>Shelburne</v>
      </c>
      <c r="E669" s="6"/>
      <c r="F669" s="6" t="s">
        <v>34</v>
      </c>
      <c r="G669" s="12">
        <v>45847</v>
      </c>
      <c r="H669" s="5">
        <v>0.70277777777777772</v>
      </c>
      <c r="I669" s="4"/>
      <c r="J669" s="5"/>
      <c r="K669" s="10"/>
      <c r="O669" s="6" t="s">
        <v>1338</v>
      </c>
      <c r="P669" s="6" t="s">
        <v>1339</v>
      </c>
      <c r="S669" s="6" t="s">
        <v>42</v>
      </c>
      <c r="T669" s="11">
        <v>548563</v>
      </c>
      <c r="U669" s="7">
        <v>22</v>
      </c>
      <c r="V669" s="6" t="s">
        <v>36</v>
      </c>
      <c r="W669" s="7">
        <v>26.5</v>
      </c>
      <c r="X669" s="6" t="s">
        <v>35</v>
      </c>
      <c r="Y669" s="7">
        <v>0.76</v>
      </c>
      <c r="Z669" s="7">
        <v>0.5</v>
      </c>
      <c r="AA669" s="6" t="s">
        <v>314</v>
      </c>
      <c r="AB669" s="6" t="s">
        <v>38</v>
      </c>
      <c r="AD669" s="6" t="s">
        <v>39</v>
      </c>
      <c r="AE669" s="6" t="s">
        <v>1244</v>
      </c>
      <c r="AF669" s="11">
        <v>1</v>
      </c>
      <c r="AG669" s="6" t="s">
        <v>37</v>
      </c>
      <c r="AH669" s="7">
        <v>60</v>
      </c>
      <c r="AI669" s="6" t="s">
        <v>40</v>
      </c>
      <c r="AJ669" s="6" t="s">
        <v>238</v>
      </c>
      <c r="AK669" s="6" t="s">
        <v>241</v>
      </c>
      <c r="AL669" s="6" t="s">
        <v>41</v>
      </c>
    </row>
    <row r="670" spans="1:40" hidden="1" x14ac:dyDescent="0.25">
      <c r="A670" s="4">
        <v>45856</v>
      </c>
      <c r="B670" s="6" t="s">
        <v>220</v>
      </c>
      <c r="C670" s="6" t="str">
        <f>_xlfn.XLOOKUP(Table3[[#This Row],[station]],station_waterbody_county!A:A, station_waterbody_county!B:B)</f>
        <v>Port La Tour</v>
      </c>
      <c r="D670" s="3" t="str">
        <f>_xlfn.XLOOKUP(Table3[[#This Row],[station]],station_waterbody_county!A:A, station_waterbody_county!C:C)</f>
        <v>Shelburne</v>
      </c>
      <c r="E670" s="6"/>
      <c r="F670" s="6" t="s">
        <v>34</v>
      </c>
      <c r="G670" s="12">
        <v>45847</v>
      </c>
      <c r="H670" s="5">
        <v>0.70277777777777772</v>
      </c>
      <c r="I670" s="4"/>
      <c r="J670" s="5"/>
      <c r="K670" s="10"/>
      <c r="O670" s="6" t="s">
        <v>1338</v>
      </c>
      <c r="P670" s="6" t="s">
        <v>1339</v>
      </c>
      <c r="S670" s="6" t="s">
        <v>239</v>
      </c>
      <c r="T670" s="11">
        <v>22278860</v>
      </c>
      <c r="U670" s="7">
        <v>22</v>
      </c>
      <c r="V670" s="6" t="s">
        <v>36</v>
      </c>
      <c r="W670" s="7">
        <v>26.5</v>
      </c>
      <c r="X670" s="6" t="s">
        <v>35</v>
      </c>
      <c r="Y670" s="7">
        <v>0.76</v>
      </c>
      <c r="Z670" s="7">
        <v>0.5</v>
      </c>
      <c r="AA670" s="6" t="s">
        <v>314</v>
      </c>
      <c r="AB670" s="6" t="s">
        <v>38</v>
      </c>
      <c r="AD670" s="6" t="s">
        <v>39</v>
      </c>
      <c r="AE670" s="6" t="s">
        <v>1244</v>
      </c>
      <c r="AF670" s="11">
        <v>1</v>
      </c>
      <c r="AG670" s="6" t="s">
        <v>37</v>
      </c>
      <c r="AH670" s="7">
        <v>60</v>
      </c>
      <c r="AI670" s="6" t="s">
        <v>40</v>
      </c>
      <c r="AJ670" s="6" t="s">
        <v>238</v>
      </c>
      <c r="AK670" s="6" t="s">
        <v>241</v>
      </c>
      <c r="AL670" s="6" t="s">
        <v>41</v>
      </c>
    </row>
    <row r="671" spans="1:40" x14ac:dyDescent="0.25">
      <c r="A671" s="4">
        <v>45931</v>
      </c>
      <c r="B671" s="6" t="s">
        <v>221</v>
      </c>
      <c r="C671" t="str">
        <f>_xlfn.XLOOKUP(Table3[[#This Row],[station]],station_waterbody_county!A:A, station_waterbody_county!B:B)</f>
        <v>Whitehead Harbour</v>
      </c>
      <c r="D671" t="str">
        <f>_xlfn.XLOOKUP(Table3[[#This Row],[station]],station_waterbody_county!A:A, station_waterbody_county!C:C)</f>
        <v>Guysborough</v>
      </c>
      <c r="E671" s="6" t="s">
        <v>291</v>
      </c>
      <c r="F671" s="6" t="s">
        <v>310</v>
      </c>
      <c r="G671" s="4">
        <v>45600</v>
      </c>
      <c r="H671" s="5">
        <v>0.59583333333333333</v>
      </c>
      <c r="I671" s="4">
        <v>45919</v>
      </c>
      <c r="J671" s="5">
        <v>0.5229166666666667</v>
      </c>
      <c r="K671" s="10"/>
      <c r="O671" s="6" t="s">
        <v>562</v>
      </c>
      <c r="P671" s="6" t="s">
        <v>563</v>
      </c>
      <c r="Q671" s="6" t="s">
        <v>562</v>
      </c>
      <c r="R671" s="6" t="s">
        <v>563</v>
      </c>
      <c r="S671" s="6" t="s">
        <v>239</v>
      </c>
      <c r="T671" s="11">
        <v>22055889</v>
      </c>
      <c r="U671" s="7">
        <v>2</v>
      </c>
      <c r="V671" s="6" t="s">
        <v>246</v>
      </c>
      <c r="W671" s="7"/>
      <c r="X671" s="6" t="s">
        <v>241</v>
      </c>
      <c r="Y671" s="7"/>
      <c r="AA671" s="6"/>
      <c r="AE671" s="6"/>
      <c r="AH671" s="7"/>
      <c r="AI671" s="6" t="s">
        <v>40</v>
      </c>
      <c r="AJ671" s="6" t="s">
        <v>238</v>
      </c>
      <c r="AL671" s="6" t="s">
        <v>536</v>
      </c>
      <c r="AM671" s="6" t="s">
        <v>1424</v>
      </c>
    </row>
    <row r="672" spans="1:40" hidden="1" x14ac:dyDescent="0.25">
      <c r="A672" s="12">
        <v>45608</v>
      </c>
      <c r="B672" s="6" t="s">
        <v>221</v>
      </c>
      <c r="C672" t="str">
        <f>_xlfn.XLOOKUP(Table3[[#This Row],[station]],station_waterbody_county!A:A, station_waterbody_county!B:B)</f>
        <v>Whitehead Harbour</v>
      </c>
      <c r="D672" t="str">
        <f>_xlfn.XLOOKUP(Table3[[#This Row],[station]],station_waterbody_county!A:A, station_waterbody_county!C:C)</f>
        <v>Guysborough</v>
      </c>
      <c r="E672" s="6" t="s">
        <v>291</v>
      </c>
      <c r="F672" s="6" t="s">
        <v>310</v>
      </c>
      <c r="G672" s="12">
        <v>45244</v>
      </c>
      <c r="H672" s="5"/>
      <c r="I672" s="4">
        <v>45600</v>
      </c>
      <c r="J672" s="5">
        <v>0.59375</v>
      </c>
      <c r="K672" s="10">
        <v>45.237627000000003</v>
      </c>
      <c r="L672" s="10">
        <v>-61.149495999999999</v>
      </c>
      <c r="O672" s="6"/>
      <c r="Q672" s="6" t="s">
        <v>562</v>
      </c>
      <c r="R672" s="6" t="s">
        <v>563</v>
      </c>
      <c r="S672" s="6" t="s">
        <v>239</v>
      </c>
      <c r="T672" s="11">
        <v>21465789</v>
      </c>
      <c r="U672" s="7">
        <v>2</v>
      </c>
      <c r="V672" s="6" t="s">
        <v>246</v>
      </c>
      <c r="W672" s="7"/>
      <c r="X672" s="6" t="s">
        <v>241</v>
      </c>
      <c r="Y672" s="7"/>
      <c r="AA672" s="6"/>
      <c r="AE672" s="6"/>
      <c r="AH672" s="7"/>
      <c r="AI672" s="6" t="s">
        <v>40</v>
      </c>
      <c r="AJ672" s="6" t="s">
        <v>238</v>
      </c>
      <c r="AL672" s="6" t="s">
        <v>274</v>
      </c>
      <c r="AM672" s="6" t="s">
        <v>536</v>
      </c>
    </row>
    <row r="673" spans="1:40" hidden="1" x14ac:dyDescent="0.25">
      <c r="A673" s="12">
        <v>45616</v>
      </c>
      <c r="B673" s="6" t="s">
        <v>585</v>
      </c>
      <c r="C673" t="str">
        <f>_xlfn.XLOOKUP(Table3[[#This Row],[station]],station_waterbody_county!A:A, station_waterbody_county!B:B)</f>
        <v>Whitehead Harbour</v>
      </c>
      <c r="D673" t="str">
        <f>_xlfn.XLOOKUP(Table3[[#This Row],[station]],station_waterbody_county!A:A, station_waterbody_county!C:C)</f>
        <v>Guysborough</v>
      </c>
      <c r="E673" s="6" t="s">
        <v>291</v>
      </c>
      <c r="F673" s="6" t="s">
        <v>310</v>
      </c>
      <c r="G673" s="12">
        <v>45244</v>
      </c>
      <c r="H673" s="5"/>
      <c r="I673" s="4">
        <v>45600</v>
      </c>
      <c r="J673" s="5">
        <v>0.59027777777777779</v>
      </c>
      <c r="K673" s="10">
        <v>45.239089</v>
      </c>
      <c r="L673" s="10">
        <v>-61.149551000000002</v>
      </c>
      <c r="O673" s="6"/>
      <c r="Q673" s="6" t="s">
        <v>560</v>
      </c>
      <c r="R673" s="6" t="s">
        <v>561</v>
      </c>
      <c r="S673" s="6" t="s">
        <v>239</v>
      </c>
      <c r="T673" s="11">
        <v>21152417</v>
      </c>
      <c r="U673" s="7">
        <v>1</v>
      </c>
      <c r="V673" s="6" t="s">
        <v>246</v>
      </c>
      <c r="W673" s="7"/>
      <c r="X673" s="6" t="s">
        <v>241</v>
      </c>
      <c r="Y673" s="7"/>
      <c r="AA673" s="6"/>
      <c r="AE673" s="6"/>
      <c r="AH673" s="7"/>
      <c r="AI673" s="6" t="s">
        <v>40</v>
      </c>
      <c r="AJ673" s="6" t="s">
        <v>238</v>
      </c>
      <c r="AK673" s="6" t="s">
        <v>35</v>
      </c>
      <c r="AL673" s="6" t="s">
        <v>274</v>
      </c>
      <c r="AM673" s="6" t="s">
        <v>536</v>
      </c>
      <c r="AN673" s="6" t="s">
        <v>586</v>
      </c>
    </row>
    <row r="674" spans="1:40" x14ac:dyDescent="0.25">
      <c r="A674" s="4">
        <v>45944</v>
      </c>
      <c r="B674" s="6" t="s">
        <v>222</v>
      </c>
      <c r="C674" t="str">
        <f>_xlfn.XLOOKUP(Table3[[#This Row],[station]],station_waterbody_county!A:A, station_waterbody_county!B:B)</f>
        <v>New Harbour</v>
      </c>
      <c r="D674" t="str">
        <f>_xlfn.XLOOKUP(Table3[[#This Row],[station]],station_waterbody_county!A:A, station_waterbody_county!C:C)</f>
        <v>Guysborough</v>
      </c>
      <c r="E674" s="6"/>
      <c r="F674" s="6" t="s">
        <v>310</v>
      </c>
      <c r="G674" s="4">
        <v>45603</v>
      </c>
      <c r="H674" s="5">
        <v>0.48194444444444445</v>
      </c>
      <c r="I674" s="4">
        <v>45925</v>
      </c>
      <c r="J674" s="5">
        <v>0.47013888888888888</v>
      </c>
      <c r="K674" s="10"/>
      <c r="O674" s="6" t="s">
        <v>569</v>
      </c>
      <c r="P674" s="6" t="s">
        <v>570</v>
      </c>
      <c r="Q674" s="6" t="s">
        <v>1457</v>
      </c>
      <c r="R674" s="6" t="s">
        <v>1458</v>
      </c>
      <c r="S674" s="6" t="s">
        <v>239</v>
      </c>
      <c r="T674" s="11">
        <v>22048603</v>
      </c>
      <c r="U674" s="7">
        <v>2</v>
      </c>
      <c r="V674" s="6" t="s">
        <v>36</v>
      </c>
      <c r="W674" s="7">
        <v>31.7</v>
      </c>
      <c r="X674" s="6" t="s">
        <v>35</v>
      </c>
      <c r="Y674" s="7">
        <v>0.6</v>
      </c>
      <c r="Z674" s="7">
        <v>1</v>
      </c>
      <c r="AA674" s="6" t="s">
        <v>243</v>
      </c>
      <c r="AB674" s="6" t="s">
        <v>38</v>
      </c>
      <c r="AD674" s="6" t="s">
        <v>39</v>
      </c>
      <c r="AE674" s="6" t="s">
        <v>40</v>
      </c>
      <c r="AG674" s="6" t="s">
        <v>37</v>
      </c>
      <c r="AH674" s="7">
        <v>60</v>
      </c>
      <c r="AI674" s="6" t="s">
        <v>40</v>
      </c>
      <c r="AJ674" s="6" t="s">
        <v>238</v>
      </c>
      <c r="AL674" s="6" t="s">
        <v>41</v>
      </c>
      <c r="AM674" s="6" t="s">
        <v>41</v>
      </c>
    </row>
    <row r="675" spans="1:40" x14ac:dyDescent="0.25">
      <c r="A675" s="4">
        <v>45944</v>
      </c>
      <c r="B675" s="6" t="s">
        <v>222</v>
      </c>
      <c r="C675" t="str">
        <f>_xlfn.XLOOKUP(Table3[[#This Row],[station]],station_waterbody_county!A:A, station_waterbody_county!B:B)</f>
        <v>New Harbour</v>
      </c>
      <c r="D675" t="str">
        <f>_xlfn.XLOOKUP(Table3[[#This Row],[station]],station_waterbody_county!A:A, station_waterbody_county!C:C)</f>
        <v>Guysborough</v>
      </c>
      <c r="E675" s="6"/>
      <c r="F675" s="6" t="s">
        <v>310</v>
      </c>
      <c r="G675" s="4">
        <v>45603</v>
      </c>
      <c r="H675" s="5">
        <v>0.48194444444444445</v>
      </c>
      <c r="I675" s="4">
        <v>45925</v>
      </c>
      <c r="J675" s="5">
        <v>0.47013888888888888</v>
      </c>
      <c r="K675" s="10"/>
      <c r="O675" s="6" t="s">
        <v>569</v>
      </c>
      <c r="P675" s="6" t="s">
        <v>570</v>
      </c>
      <c r="Q675" s="6" t="s">
        <v>1457</v>
      </c>
      <c r="R675" s="6" t="s">
        <v>1458</v>
      </c>
      <c r="S675" s="6" t="s">
        <v>240</v>
      </c>
      <c r="T675" s="11">
        <v>678290</v>
      </c>
      <c r="U675" s="7">
        <v>5</v>
      </c>
      <c r="V675" s="6" t="s">
        <v>36</v>
      </c>
      <c r="W675" s="7">
        <v>31.7</v>
      </c>
      <c r="X675" s="6" t="s">
        <v>35</v>
      </c>
      <c r="Y675" s="7">
        <v>0.6</v>
      </c>
      <c r="Z675" s="7">
        <v>1</v>
      </c>
      <c r="AA675" s="6" t="s">
        <v>243</v>
      </c>
      <c r="AB675" s="6" t="s">
        <v>38</v>
      </c>
      <c r="AD675" s="6" t="s">
        <v>39</v>
      </c>
      <c r="AE675" s="6" t="s">
        <v>40</v>
      </c>
      <c r="AG675" s="6" t="s">
        <v>37</v>
      </c>
      <c r="AH675" s="7">
        <v>60</v>
      </c>
      <c r="AI675" s="6" t="s">
        <v>40</v>
      </c>
      <c r="AJ675" s="6" t="s">
        <v>238</v>
      </c>
      <c r="AL675" s="6" t="s">
        <v>41</v>
      </c>
      <c r="AM675" s="6" t="s">
        <v>41</v>
      </c>
    </row>
    <row r="676" spans="1:40" x14ac:dyDescent="0.25">
      <c r="A676" s="4">
        <v>45944</v>
      </c>
      <c r="B676" s="6" t="s">
        <v>222</v>
      </c>
      <c r="C676" t="str">
        <f>_xlfn.XLOOKUP(Table3[[#This Row],[station]],station_waterbody_county!A:A, station_waterbody_county!B:B)</f>
        <v>New Harbour</v>
      </c>
      <c r="D676" t="str">
        <f>_xlfn.XLOOKUP(Table3[[#This Row],[station]],station_waterbody_county!A:A, station_waterbody_county!C:C)</f>
        <v>Guysborough</v>
      </c>
      <c r="E676" s="6"/>
      <c r="F676" s="6" t="s">
        <v>310</v>
      </c>
      <c r="G676" s="4">
        <v>45603</v>
      </c>
      <c r="H676" s="5">
        <v>0.48194444444444445</v>
      </c>
      <c r="I676" s="4">
        <v>45925</v>
      </c>
      <c r="J676" s="5">
        <v>0.47013888888888888</v>
      </c>
      <c r="K676" s="10"/>
      <c r="O676" s="6" t="s">
        <v>569</v>
      </c>
      <c r="P676" s="6" t="s">
        <v>570</v>
      </c>
      <c r="Q676" s="6" t="s">
        <v>1457</v>
      </c>
      <c r="R676" s="6" t="s">
        <v>1458</v>
      </c>
      <c r="S676" s="6" t="s">
        <v>239</v>
      </c>
      <c r="T676" s="11">
        <v>22055892</v>
      </c>
      <c r="U676" s="7">
        <v>10</v>
      </c>
      <c r="V676" s="6" t="s">
        <v>36</v>
      </c>
      <c r="W676" s="7">
        <v>31.7</v>
      </c>
      <c r="X676" s="6" t="s">
        <v>35</v>
      </c>
      <c r="Y676" s="7">
        <v>0.6</v>
      </c>
      <c r="Z676" s="7">
        <v>1</v>
      </c>
      <c r="AA676" s="6" t="s">
        <v>243</v>
      </c>
      <c r="AB676" s="6" t="s">
        <v>38</v>
      </c>
      <c r="AD676" s="6" t="s">
        <v>39</v>
      </c>
      <c r="AE676" s="6" t="s">
        <v>40</v>
      </c>
      <c r="AG676" s="6" t="s">
        <v>37</v>
      </c>
      <c r="AH676" s="7">
        <v>60</v>
      </c>
      <c r="AI676" s="6" t="s">
        <v>40</v>
      </c>
      <c r="AJ676" s="6" t="s">
        <v>238</v>
      </c>
      <c r="AL676" s="6" t="s">
        <v>41</v>
      </c>
      <c r="AM676" s="6" t="s">
        <v>41</v>
      </c>
    </row>
    <row r="677" spans="1:40" x14ac:dyDescent="0.25">
      <c r="A677" s="4">
        <v>45944</v>
      </c>
      <c r="B677" s="6" t="s">
        <v>222</v>
      </c>
      <c r="C677" t="str">
        <f>_xlfn.XLOOKUP(Table3[[#This Row],[station]],station_waterbody_county!A:A, station_waterbody_county!B:B)</f>
        <v>New Harbour</v>
      </c>
      <c r="D677" t="str">
        <f>_xlfn.XLOOKUP(Table3[[#This Row],[station]],station_waterbody_county!A:A, station_waterbody_county!C:C)</f>
        <v>Guysborough</v>
      </c>
      <c r="E677" s="6"/>
      <c r="F677" s="6" t="s">
        <v>310</v>
      </c>
      <c r="G677" s="4">
        <v>45603</v>
      </c>
      <c r="H677" s="5">
        <v>0.48194444444444445</v>
      </c>
      <c r="I677" s="4">
        <v>45925</v>
      </c>
      <c r="J677" s="5">
        <v>0.47013888888888888</v>
      </c>
      <c r="K677" s="10"/>
      <c r="O677" s="6" t="s">
        <v>569</v>
      </c>
      <c r="P677" s="6" t="s">
        <v>570</v>
      </c>
      <c r="Q677" s="6" t="s">
        <v>1457</v>
      </c>
      <c r="R677" s="6" t="s">
        <v>1458</v>
      </c>
      <c r="S677" s="6" t="s">
        <v>239</v>
      </c>
      <c r="T677" s="11">
        <v>22055912</v>
      </c>
      <c r="U677" s="7">
        <v>15</v>
      </c>
      <c r="V677" s="6" t="s">
        <v>36</v>
      </c>
      <c r="W677" s="7">
        <v>31.7</v>
      </c>
      <c r="X677" s="6" t="s">
        <v>35</v>
      </c>
      <c r="Y677" s="7">
        <v>0.6</v>
      </c>
      <c r="Z677" s="7">
        <v>1</v>
      </c>
      <c r="AA677" s="6" t="s">
        <v>243</v>
      </c>
      <c r="AB677" s="6" t="s">
        <v>38</v>
      </c>
      <c r="AD677" s="6" t="s">
        <v>39</v>
      </c>
      <c r="AE677" s="6" t="s">
        <v>40</v>
      </c>
      <c r="AG677" s="6" t="s">
        <v>37</v>
      </c>
      <c r="AH677" s="7">
        <v>60</v>
      </c>
      <c r="AI677" s="6" t="s">
        <v>40</v>
      </c>
      <c r="AJ677" s="6" t="s">
        <v>238</v>
      </c>
      <c r="AL677" s="6" t="s">
        <v>41</v>
      </c>
      <c r="AM677" s="6" t="s">
        <v>41</v>
      </c>
    </row>
    <row r="678" spans="1:40" x14ac:dyDescent="0.25">
      <c r="A678" s="4">
        <v>45944</v>
      </c>
      <c r="B678" s="6" t="s">
        <v>222</v>
      </c>
      <c r="C678" t="str">
        <f>_xlfn.XLOOKUP(Table3[[#This Row],[station]],station_waterbody_county!A:A, station_waterbody_county!B:B)</f>
        <v>New Harbour</v>
      </c>
      <c r="D678" t="str">
        <f>_xlfn.XLOOKUP(Table3[[#This Row],[station]],station_waterbody_county!A:A, station_waterbody_county!C:C)</f>
        <v>Guysborough</v>
      </c>
      <c r="E678" s="6"/>
      <c r="F678" s="6" t="s">
        <v>310</v>
      </c>
      <c r="G678" s="4">
        <v>45603</v>
      </c>
      <c r="H678" s="5">
        <v>0.48194444444444445</v>
      </c>
      <c r="I678" s="4">
        <v>45925</v>
      </c>
      <c r="J678" s="5">
        <v>0.47013888888888888</v>
      </c>
      <c r="K678" s="10"/>
      <c r="O678" s="6" t="s">
        <v>569</v>
      </c>
      <c r="P678" s="6" t="s">
        <v>570</v>
      </c>
      <c r="Q678" s="6" t="s">
        <v>1457</v>
      </c>
      <c r="R678" s="6" t="s">
        <v>1458</v>
      </c>
      <c r="S678" s="6" t="s">
        <v>42</v>
      </c>
      <c r="T678" s="11">
        <v>548043</v>
      </c>
      <c r="U678" s="7">
        <v>28</v>
      </c>
      <c r="V678" s="6" t="s">
        <v>36</v>
      </c>
      <c r="W678" s="7">
        <v>31.7</v>
      </c>
      <c r="X678" s="6" t="s">
        <v>35</v>
      </c>
      <c r="Y678" s="7">
        <v>0.6</v>
      </c>
      <c r="Z678" s="7">
        <v>1</v>
      </c>
      <c r="AA678" s="6" t="s">
        <v>243</v>
      </c>
      <c r="AB678" s="6" t="s">
        <v>38</v>
      </c>
      <c r="AD678" s="6" t="s">
        <v>39</v>
      </c>
      <c r="AE678" s="6" t="s">
        <v>40</v>
      </c>
      <c r="AG678" s="6" t="s">
        <v>37</v>
      </c>
      <c r="AH678" s="7">
        <v>60</v>
      </c>
      <c r="AI678" s="6" t="s">
        <v>40</v>
      </c>
      <c r="AJ678" s="6" t="s">
        <v>238</v>
      </c>
      <c r="AL678" s="6" t="s">
        <v>41</v>
      </c>
      <c r="AM678" s="6" t="s">
        <v>41</v>
      </c>
    </row>
    <row r="679" spans="1:40" x14ac:dyDescent="0.25">
      <c r="A679" s="4">
        <v>45944</v>
      </c>
      <c r="B679" s="6" t="s">
        <v>222</v>
      </c>
      <c r="C679" t="str">
        <f>_xlfn.XLOOKUP(Table3[[#This Row],[station]],station_waterbody_county!A:A, station_waterbody_county!B:B)</f>
        <v>New Harbour</v>
      </c>
      <c r="D679" t="str">
        <f>_xlfn.XLOOKUP(Table3[[#This Row],[station]],station_waterbody_county!A:A, station_waterbody_county!C:C)</f>
        <v>Guysborough</v>
      </c>
      <c r="E679" s="6"/>
      <c r="F679" s="6" t="s">
        <v>310</v>
      </c>
      <c r="G679" s="4">
        <v>45603</v>
      </c>
      <c r="H679" s="5">
        <v>0.48194444444444445</v>
      </c>
      <c r="I679" s="4">
        <v>45925</v>
      </c>
      <c r="J679" s="5">
        <v>0.47013888888888888</v>
      </c>
      <c r="K679" s="10"/>
      <c r="O679" s="6" t="s">
        <v>569</v>
      </c>
      <c r="P679" s="6" t="s">
        <v>570</v>
      </c>
      <c r="Q679" s="6" t="s">
        <v>1457</v>
      </c>
      <c r="R679" s="6" t="s">
        <v>1458</v>
      </c>
      <c r="S679" s="6" t="s">
        <v>239</v>
      </c>
      <c r="T679" s="11">
        <v>22055891</v>
      </c>
      <c r="U679" s="7">
        <v>28</v>
      </c>
      <c r="V679" s="6" t="s">
        <v>36</v>
      </c>
      <c r="W679" s="7">
        <v>31.7</v>
      </c>
      <c r="X679" s="6" t="s">
        <v>35</v>
      </c>
      <c r="Y679" s="7">
        <v>0.6</v>
      </c>
      <c r="Z679" s="7">
        <v>1</v>
      </c>
      <c r="AA679" s="6" t="s">
        <v>243</v>
      </c>
      <c r="AB679" s="6" t="s">
        <v>38</v>
      </c>
      <c r="AD679" s="6" t="s">
        <v>39</v>
      </c>
      <c r="AE679" s="6" t="s">
        <v>40</v>
      </c>
      <c r="AG679" s="6" t="s">
        <v>37</v>
      </c>
      <c r="AH679" s="7">
        <v>60</v>
      </c>
      <c r="AI679" s="6" t="s">
        <v>40</v>
      </c>
      <c r="AJ679" s="6" t="s">
        <v>238</v>
      </c>
      <c r="AL679" s="6" t="s">
        <v>41</v>
      </c>
      <c r="AM679" s="6" t="s">
        <v>41</v>
      </c>
    </row>
    <row r="680" spans="1:40" hidden="1" x14ac:dyDescent="0.25">
      <c r="A680" s="12">
        <v>45678</v>
      </c>
      <c r="B680" s="6" t="s">
        <v>222</v>
      </c>
      <c r="C680" t="str">
        <f>_xlfn.XLOOKUP(Table3[[#This Row],[station]],station_waterbody_county!A:A, station_waterbody_county!B:B)</f>
        <v>New Harbour</v>
      </c>
      <c r="D680" t="str">
        <f>_xlfn.XLOOKUP(Table3[[#This Row],[station]],station_waterbody_county!A:A, station_waterbody_county!C:C)</f>
        <v>Guysborough</v>
      </c>
      <c r="E680" s="6"/>
      <c r="F680" s="6" t="s">
        <v>310</v>
      </c>
      <c r="G680" s="12">
        <v>45217</v>
      </c>
      <c r="H680" s="5"/>
      <c r="I680" s="4">
        <v>45603</v>
      </c>
      <c r="J680" s="5">
        <v>0.46736111111111112</v>
      </c>
      <c r="K680" s="10">
        <v>45.155124999999998</v>
      </c>
      <c r="L680" s="10">
        <v>-61.398634999999999</v>
      </c>
      <c r="O680" s="6"/>
      <c r="Q680" s="6" t="s">
        <v>567</v>
      </c>
      <c r="R680" s="6" t="s">
        <v>568</v>
      </c>
      <c r="S680" s="6" t="s">
        <v>239</v>
      </c>
      <c r="T680" s="11">
        <v>20291447</v>
      </c>
      <c r="U680" s="7">
        <v>2</v>
      </c>
      <c r="V680" s="6" t="s">
        <v>36</v>
      </c>
      <c r="W680" s="7">
        <v>30.8</v>
      </c>
      <c r="X680" s="6" t="s">
        <v>35</v>
      </c>
      <c r="Y680" s="7">
        <v>1.6</v>
      </c>
      <c r="Z680" s="7">
        <v>1</v>
      </c>
      <c r="AA680" s="6" t="s">
        <v>243</v>
      </c>
      <c r="AB680" s="6" t="s">
        <v>38</v>
      </c>
      <c r="AD680" s="6" t="s">
        <v>39</v>
      </c>
      <c r="AE680" s="6"/>
      <c r="AG680" s="6" t="s">
        <v>37</v>
      </c>
      <c r="AH680" s="7"/>
      <c r="AI680" s="6" t="s">
        <v>40</v>
      </c>
      <c r="AJ680" s="6" t="s">
        <v>238</v>
      </c>
      <c r="AL680" s="6" t="s">
        <v>268</v>
      </c>
      <c r="AM680" s="6" t="s">
        <v>41</v>
      </c>
      <c r="AN680" s="6" t="s">
        <v>587</v>
      </c>
    </row>
    <row r="681" spans="1:40" hidden="1" x14ac:dyDescent="0.25">
      <c r="A681" s="12">
        <v>45678</v>
      </c>
      <c r="B681" s="6" t="s">
        <v>222</v>
      </c>
      <c r="C681" t="str">
        <f>_xlfn.XLOOKUP(Table3[[#This Row],[station]],station_waterbody_county!A:A, station_waterbody_county!B:B)</f>
        <v>New Harbour</v>
      </c>
      <c r="D681" t="str">
        <f>_xlfn.XLOOKUP(Table3[[#This Row],[station]],station_waterbody_county!A:A, station_waterbody_county!C:C)</f>
        <v>Guysborough</v>
      </c>
      <c r="E681" s="6"/>
      <c r="F681" s="6" t="s">
        <v>310</v>
      </c>
      <c r="G681" s="12">
        <v>45217</v>
      </c>
      <c r="H681" s="5"/>
      <c r="I681" s="4">
        <v>45603</v>
      </c>
      <c r="J681" s="5">
        <v>0.46736111111111112</v>
      </c>
      <c r="K681" s="10">
        <v>45.155124999999998</v>
      </c>
      <c r="L681" s="10">
        <v>-61.398634999999999</v>
      </c>
      <c r="O681" s="6"/>
      <c r="Q681" s="6" t="s">
        <v>567</v>
      </c>
      <c r="R681" s="6" t="s">
        <v>568</v>
      </c>
      <c r="S681" s="6" t="s">
        <v>240</v>
      </c>
      <c r="T681" s="11">
        <v>670359</v>
      </c>
      <c r="U681" s="7">
        <v>5</v>
      </c>
      <c r="V681" s="6" t="s">
        <v>36</v>
      </c>
      <c r="W681" s="7">
        <v>30.8</v>
      </c>
      <c r="X681" s="6" t="s">
        <v>35</v>
      </c>
      <c r="Y681" s="7">
        <v>1.6</v>
      </c>
      <c r="Z681" s="7">
        <v>1</v>
      </c>
      <c r="AA681" s="6" t="s">
        <v>243</v>
      </c>
      <c r="AB681" s="6" t="s">
        <v>38</v>
      </c>
      <c r="AD681" s="6" t="s">
        <v>39</v>
      </c>
      <c r="AE681" s="6"/>
      <c r="AG681" s="6" t="s">
        <v>37</v>
      </c>
      <c r="AH681" s="7"/>
      <c r="AI681" s="6" t="s">
        <v>40</v>
      </c>
      <c r="AJ681" s="6" t="s">
        <v>238</v>
      </c>
      <c r="AL681" s="6" t="s">
        <v>268</v>
      </c>
      <c r="AM681" s="6" t="s">
        <v>41</v>
      </c>
      <c r="AN681" s="6" t="s">
        <v>587</v>
      </c>
    </row>
    <row r="682" spans="1:40" hidden="1" x14ac:dyDescent="0.25">
      <c r="A682" s="12">
        <v>45678</v>
      </c>
      <c r="B682" s="6" t="s">
        <v>222</v>
      </c>
      <c r="C682" t="str">
        <f>_xlfn.XLOOKUP(Table3[[#This Row],[station]],station_waterbody_county!A:A, station_waterbody_county!B:B)</f>
        <v>New Harbour</v>
      </c>
      <c r="D682" t="str">
        <f>_xlfn.XLOOKUP(Table3[[#This Row],[station]],station_waterbody_county!A:A, station_waterbody_county!C:C)</f>
        <v>Guysborough</v>
      </c>
      <c r="E682" s="6"/>
      <c r="F682" s="6" t="s">
        <v>310</v>
      </c>
      <c r="G682" s="12">
        <v>45217</v>
      </c>
      <c r="H682" s="5"/>
      <c r="I682" s="4">
        <v>45603</v>
      </c>
      <c r="J682" s="5">
        <v>0.46736111111111112</v>
      </c>
      <c r="K682" s="10">
        <v>45.155124999999998</v>
      </c>
      <c r="L682" s="10">
        <v>-61.398634999999999</v>
      </c>
      <c r="O682" s="6"/>
      <c r="Q682" s="6" t="s">
        <v>567</v>
      </c>
      <c r="R682" s="6" t="s">
        <v>568</v>
      </c>
      <c r="S682" s="6" t="s">
        <v>239</v>
      </c>
      <c r="T682" s="11">
        <v>20820327</v>
      </c>
      <c r="U682" s="7">
        <v>10</v>
      </c>
      <c r="V682" s="6" t="s">
        <v>36</v>
      </c>
      <c r="W682" s="7">
        <v>30.8</v>
      </c>
      <c r="X682" s="6" t="s">
        <v>35</v>
      </c>
      <c r="Y682" s="7">
        <v>1.6</v>
      </c>
      <c r="Z682" s="7">
        <v>1</v>
      </c>
      <c r="AA682" s="6" t="s">
        <v>243</v>
      </c>
      <c r="AB682" s="6" t="s">
        <v>38</v>
      </c>
      <c r="AD682" s="6" t="s">
        <v>39</v>
      </c>
      <c r="AE682" s="6"/>
      <c r="AG682" s="6" t="s">
        <v>37</v>
      </c>
      <c r="AH682" s="7"/>
      <c r="AI682" s="6" t="s">
        <v>40</v>
      </c>
      <c r="AJ682" s="6" t="s">
        <v>238</v>
      </c>
      <c r="AL682" s="6" t="s">
        <v>268</v>
      </c>
      <c r="AM682" s="6" t="s">
        <v>41</v>
      </c>
      <c r="AN682" s="6" t="s">
        <v>587</v>
      </c>
    </row>
    <row r="683" spans="1:40" hidden="1" x14ac:dyDescent="0.25">
      <c r="A683" s="12">
        <v>45678</v>
      </c>
      <c r="B683" s="6" t="s">
        <v>222</v>
      </c>
      <c r="C683" t="str">
        <f>_xlfn.XLOOKUP(Table3[[#This Row],[station]],station_waterbody_county!A:A, station_waterbody_county!B:B)</f>
        <v>New Harbour</v>
      </c>
      <c r="D683" t="str">
        <f>_xlfn.XLOOKUP(Table3[[#This Row],[station]],station_waterbody_county!A:A, station_waterbody_county!C:C)</f>
        <v>Guysborough</v>
      </c>
      <c r="E683" s="6"/>
      <c r="F683" s="6" t="s">
        <v>310</v>
      </c>
      <c r="G683" s="12">
        <v>45217</v>
      </c>
      <c r="H683" s="5"/>
      <c r="I683" s="4">
        <v>45603</v>
      </c>
      <c r="J683" s="5">
        <v>0.46736111111111112</v>
      </c>
      <c r="K683" s="10">
        <v>45.155124999999998</v>
      </c>
      <c r="L683" s="10">
        <v>-61.398634999999999</v>
      </c>
      <c r="O683" s="6"/>
      <c r="Q683" s="6" t="s">
        <v>567</v>
      </c>
      <c r="R683" s="6" t="s">
        <v>568</v>
      </c>
      <c r="S683" s="6" t="s">
        <v>239</v>
      </c>
      <c r="T683" s="11">
        <v>21043083</v>
      </c>
      <c r="U683" s="7">
        <v>15</v>
      </c>
      <c r="V683" s="6" t="s">
        <v>36</v>
      </c>
      <c r="W683" s="7">
        <v>30.8</v>
      </c>
      <c r="X683" s="6" t="s">
        <v>35</v>
      </c>
      <c r="Y683" s="7">
        <v>1.6</v>
      </c>
      <c r="Z683" s="7">
        <v>1</v>
      </c>
      <c r="AA683" s="6" t="s">
        <v>243</v>
      </c>
      <c r="AB683" s="6" t="s">
        <v>38</v>
      </c>
      <c r="AD683" s="6" t="s">
        <v>39</v>
      </c>
      <c r="AE683" s="6"/>
      <c r="AG683" s="6" t="s">
        <v>37</v>
      </c>
      <c r="AH683" s="7"/>
      <c r="AI683" s="6" t="s">
        <v>40</v>
      </c>
      <c r="AJ683" s="6" t="s">
        <v>238</v>
      </c>
      <c r="AL683" s="6" t="s">
        <v>268</v>
      </c>
      <c r="AM683" s="6" t="s">
        <v>41</v>
      </c>
      <c r="AN683" s="6" t="s">
        <v>587</v>
      </c>
    </row>
    <row r="684" spans="1:40" hidden="1" x14ac:dyDescent="0.25">
      <c r="A684" s="12">
        <v>45678</v>
      </c>
      <c r="B684" s="6" t="s">
        <v>222</v>
      </c>
      <c r="C684" t="str">
        <f>_xlfn.XLOOKUP(Table3[[#This Row],[station]],station_waterbody_county!A:A, station_waterbody_county!B:B)</f>
        <v>New Harbour</v>
      </c>
      <c r="D684" t="str">
        <f>_xlfn.XLOOKUP(Table3[[#This Row],[station]],station_waterbody_county!A:A, station_waterbody_county!C:C)</f>
        <v>Guysborough</v>
      </c>
      <c r="E684" s="6"/>
      <c r="F684" s="6" t="s">
        <v>310</v>
      </c>
      <c r="G684" s="12">
        <v>45217</v>
      </c>
      <c r="H684" s="5"/>
      <c r="I684" s="4">
        <v>45603</v>
      </c>
      <c r="J684" s="5">
        <v>0.46736111111111112</v>
      </c>
      <c r="K684" s="10">
        <v>45.155124999999998</v>
      </c>
      <c r="L684" s="10">
        <v>-61.398634999999999</v>
      </c>
      <c r="O684" s="6"/>
      <c r="Q684" s="6" t="s">
        <v>567</v>
      </c>
      <c r="R684" s="6" t="s">
        <v>568</v>
      </c>
      <c r="S684" s="6" t="s">
        <v>42</v>
      </c>
      <c r="T684" s="11">
        <v>547232</v>
      </c>
      <c r="U684" s="7">
        <v>28</v>
      </c>
      <c r="V684" s="6" t="s">
        <v>36</v>
      </c>
      <c r="W684" s="7">
        <v>30.8</v>
      </c>
      <c r="X684" s="6" t="s">
        <v>35</v>
      </c>
      <c r="Y684" s="7">
        <v>1.6</v>
      </c>
      <c r="Z684" s="7">
        <v>1</v>
      </c>
      <c r="AA684" s="6" t="s">
        <v>243</v>
      </c>
      <c r="AB684" s="6" t="s">
        <v>38</v>
      </c>
      <c r="AD684" s="6" t="s">
        <v>39</v>
      </c>
      <c r="AE684" s="6"/>
      <c r="AG684" s="6" t="s">
        <v>37</v>
      </c>
      <c r="AH684" s="7"/>
      <c r="AI684" s="6" t="s">
        <v>40</v>
      </c>
      <c r="AJ684" s="6" t="s">
        <v>238</v>
      </c>
      <c r="AL684" s="6" t="s">
        <v>268</v>
      </c>
      <c r="AM684" s="6" t="s">
        <v>41</v>
      </c>
      <c r="AN684" s="6" t="s">
        <v>587</v>
      </c>
    </row>
    <row r="685" spans="1:40" x14ac:dyDescent="0.25">
      <c r="A685" s="4">
        <v>45944</v>
      </c>
      <c r="B685" s="6" t="s">
        <v>223</v>
      </c>
      <c r="C685" t="str">
        <f>_xlfn.XLOOKUP(Table3[[#This Row],[station]],station_waterbody_county!A:A, station_waterbody_county!B:B)</f>
        <v>Whitehead Harbour</v>
      </c>
      <c r="D685" t="str">
        <f>_xlfn.XLOOKUP(Table3[[#This Row],[station]],station_waterbody_county!A:A, station_waterbody_county!C:C)</f>
        <v>Guysborough</v>
      </c>
      <c r="E685" s="6" t="s">
        <v>292</v>
      </c>
      <c r="F685" s="6" t="s">
        <v>310</v>
      </c>
      <c r="G685" s="4">
        <v>45600</v>
      </c>
      <c r="H685" s="5">
        <v>0.53125</v>
      </c>
      <c r="I685" s="4">
        <v>45919</v>
      </c>
      <c r="J685" s="5">
        <v>0.49375000000000002</v>
      </c>
      <c r="K685" s="10"/>
      <c r="O685" s="6" t="s">
        <v>547</v>
      </c>
      <c r="P685" s="6" t="s">
        <v>546</v>
      </c>
      <c r="Q685" s="6" t="s">
        <v>1448</v>
      </c>
      <c r="R685" s="6" t="s">
        <v>1449</v>
      </c>
      <c r="S685" s="6" t="s">
        <v>239</v>
      </c>
      <c r="T685" s="11">
        <v>22048574</v>
      </c>
      <c r="U685" s="7">
        <v>1</v>
      </c>
      <c r="V685" s="6" t="s">
        <v>246</v>
      </c>
      <c r="W685" s="7"/>
      <c r="X685" s="6" t="s">
        <v>241</v>
      </c>
      <c r="Y685" s="7"/>
      <c r="AA685" s="6"/>
      <c r="AE685" s="6"/>
      <c r="AH685" s="7"/>
      <c r="AI685" s="6" t="s">
        <v>40</v>
      </c>
      <c r="AJ685" s="6" t="s">
        <v>238</v>
      </c>
      <c r="AL685" s="6" t="s">
        <v>536</v>
      </c>
      <c r="AM685" s="6" t="s">
        <v>1424</v>
      </c>
      <c r="AN685" s="6" t="s">
        <v>548</v>
      </c>
    </row>
    <row r="686" spans="1:40" hidden="1" x14ac:dyDescent="0.25">
      <c r="A686" s="12">
        <v>45608</v>
      </c>
      <c r="B686" s="6" t="s">
        <v>223</v>
      </c>
      <c r="C686" t="str">
        <f>_xlfn.XLOOKUP(Table3[[#This Row],[station]],station_waterbody_county!A:A, station_waterbody_county!B:B)</f>
        <v>Whitehead Harbour</v>
      </c>
      <c r="D686" t="str">
        <f>_xlfn.XLOOKUP(Table3[[#This Row],[station]],station_waterbody_county!A:A, station_waterbody_county!C:C)</f>
        <v>Guysborough</v>
      </c>
      <c r="E686" s="6" t="s">
        <v>292</v>
      </c>
      <c r="F686" s="6" t="s">
        <v>310</v>
      </c>
      <c r="G686" s="12">
        <v>45244</v>
      </c>
      <c r="H686" s="5"/>
      <c r="I686" s="4">
        <v>45600</v>
      </c>
      <c r="J686" s="5">
        <v>0.53125</v>
      </c>
      <c r="K686" s="10">
        <v>45.249302999999998</v>
      </c>
      <c r="L686" s="10">
        <v>-61.146822999999998</v>
      </c>
      <c r="O686" s="6"/>
      <c r="Q686" s="6" t="s">
        <v>545</v>
      </c>
      <c r="R686" s="6" t="s">
        <v>546</v>
      </c>
      <c r="S686" s="6" t="s">
        <v>239</v>
      </c>
      <c r="T686" s="11">
        <v>21414890</v>
      </c>
      <c r="U686" s="7">
        <v>1</v>
      </c>
      <c r="V686" s="6" t="s">
        <v>246</v>
      </c>
      <c r="W686" s="7"/>
      <c r="X686" s="6" t="s">
        <v>241</v>
      </c>
      <c r="Y686" s="7"/>
      <c r="AA686" s="6"/>
      <c r="AE686" s="6"/>
      <c r="AH686" s="7"/>
      <c r="AI686" s="6" t="s">
        <v>40</v>
      </c>
      <c r="AJ686" s="6" t="s">
        <v>238</v>
      </c>
      <c r="AK686" s="6" t="s">
        <v>35</v>
      </c>
      <c r="AL686" s="6" t="s">
        <v>274</v>
      </c>
      <c r="AM686" s="6" t="s">
        <v>536</v>
      </c>
    </row>
    <row r="687" spans="1:40" hidden="1" x14ac:dyDescent="0.25">
      <c r="A687" s="4">
        <v>45856</v>
      </c>
      <c r="B687" s="6" t="s">
        <v>1066</v>
      </c>
      <c r="C687" s="6" t="str">
        <f>_xlfn.XLOOKUP(Table3[[#This Row],[station]],station_waterbody_county!A:A, station_waterbody_county!B:B)</f>
        <v>Ram Island Passage</v>
      </c>
      <c r="D687" s="3" t="str">
        <f>_xlfn.XLOOKUP(Table3[[#This Row],[station]],station_waterbody_county!A:A, station_waterbody_county!C:C)</f>
        <v>Shelburne</v>
      </c>
      <c r="E687" s="6"/>
      <c r="F687" s="6" t="s">
        <v>34</v>
      </c>
      <c r="G687" s="12">
        <v>45847</v>
      </c>
      <c r="H687" s="5">
        <v>0.85</v>
      </c>
      <c r="I687" s="4"/>
      <c r="J687" s="5"/>
      <c r="K687" s="10"/>
      <c r="O687" s="6" t="s">
        <v>1346</v>
      </c>
      <c r="P687" s="6" t="s">
        <v>1347</v>
      </c>
      <c r="S687" s="6" t="s">
        <v>239</v>
      </c>
      <c r="T687" s="11">
        <v>22311502</v>
      </c>
      <c r="U687" s="7">
        <v>2</v>
      </c>
      <c r="V687" s="6" t="s">
        <v>36</v>
      </c>
      <c r="W687" s="7">
        <v>27.2</v>
      </c>
      <c r="X687" s="6" t="s">
        <v>35</v>
      </c>
      <c r="Y687" s="7">
        <v>1.103</v>
      </c>
      <c r="Z687" s="7">
        <v>0.5</v>
      </c>
      <c r="AA687" s="6" t="s">
        <v>243</v>
      </c>
      <c r="AB687" s="6" t="s">
        <v>38</v>
      </c>
      <c r="AD687" s="6" t="s">
        <v>39</v>
      </c>
      <c r="AE687" s="6" t="s">
        <v>1244</v>
      </c>
      <c r="AF687" s="11">
        <v>1</v>
      </c>
      <c r="AG687" s="6" t="s">
        <v>37</v>
      </c>
      <c r="AH687" s="7">
        <v>60</v>
      </c>
      <c r="AI687" s="6" t="s">
        <v>40</v>
      </c>
      <c r="AJ687" s="6" t="s">
        <v>238</v>
      </c>
      <c r="AK687" s="6" t="s">
        <v>241</v>
      </c>
      <c r="AL687" s="6" t="s">
        <v>41</v>
      </c>
    </row>
    <row r="688" spans="1:40" hidden="1" x14ac:dyDescent="0.25">
      <c r="A688" s="4">
        <v>45856</v>
      </c>
      <c r="B688" s="6" t="s">
        <v>1066</v>
      </c>
      <c r="C688" s="6" t="str">
        <f>_xlfn.XLOOKUP(Table3[[#This Row],[station]],station_waterbody_county!A:A, station_waterbody_county!B:B)</f>
        <v>Ram Island Passage</v>
      </c>
      <c r="D688" s="3" t="str">
        <f>_xlfn.XLOOKUP(Table3[[#This Row],[station]],station_waterbody_county!A:A, station_waterbody_county!C:C)</f>
        <v>Shelburne</v>
      </c>
      <c r="E688" s="6"/>
      <c r="F688" s="6" t="s">
        <v>34</v>
      </c>
      <c r="G688" s="12">
        <v>45847</v>
      </c>
      <c r="H688" s="5">
        <v>0.85</v>
      </c>
      <c r="I688" s="4"/>
      <c r="J688" s="5"/>
      <c r="K688" s="10"/>
      <c r="O688" s="6" t="s">
        <v>1346</v>
      </c>
      <c r="P688" s="6" t="s">
        <v>1347</v>
      </c>
      <c r="S688" s="6" t="s">
        <v>239</v>
      </c>
      <c r="T688" s="11">
        <v>21465779</v>
      </c>
      <c r="U688" s="7">
        <v>5</v>
      </c>
      <c r="V688" s="6" t="s">
        <v>36</v>
      </c>
      <c r="W688" s="7">
        <v>27.2</v>
      </c>
      <c r="X688" s="6" t="s">
        <v>35</v>
      </c>
      <c r="Y688" s="7">
        <v>1.103</v>
      </c>
      <c r="Z688" s="7">
        <v>0.5</v>
      </c>
      <c r="AA688" s="6" t="s">
        <v>243</v>
      </c>
      <c r="AB688" s="6" t="s">
        <v>38</v>
      </c>
      <c r="AD688" s="6" t="s">
        <v>39</v>
      </c>
      <c r="AE688" s="6" t="s">
        <v>1244</v>
      </c>
      <c r="AF688" s="11">
        <v>1</v>
      </c>
      <c r="AG688" s="6" t="s">
        <v>37</v>
      </c>
      <c r="AH688" s="7">
        <v>60</v>
      </c>
      <c r="AI688" s="6" t="s">
        <v>40</v>
      </c>
      <c r="AJ688" s="6" t="s">
        <v>238</v>
      </c>
      <c r="AK688" s="6" t="s">
        <v>241</v>
      </c>
      <c r="AL688" s="6" t="s">
        <v>41</v>
      </c>
    </row>
    <row r="689" spans="1:40" hidden="1" x14ac:dyDescent="0.25">
      <c r="A689" s="4">
        <v>45856</v>
      </c>
      <c r="B689" s="6" t="s">
        <v>1066</v>
      </c>
      <c r="C689" s="6" t="str">
        <f>_xlfn.XLOOKUP(Table3[[#This Row],[station]],station_waterbody_county!A:A, station_waterbody_county!B:B)</f>
        <v>Ram Island Passage</v>
      </c>
      <c r="D689" s="3" t="str">
        <f>_xlfn.XLOOKUP(Table3[[#This Row],[station]],station_waterbody_county!A:A, station_waterbody_county!C:C)</f>
        <v>Shelburne</v>
      </c>
      <c r="E689" s="6"/>
      <c r="F689" s="6" t="s">
        <v>34</v>
      </c>
      <c r="G689" s="12">
        <v>45847</v>
      </c>
      <c r="H689" s="5">
        <v>0.85</v>
      </c>
      <c r="I689" s="4"/>
      <c r="J689" s="5"/>
      <c r="K689" s="10"/>
      <c r="O689" s="6" t="s">
        <v>1346</v>
      </c>
      <c r="P689" s="6" t="s">
        <v>1347</v>
      </c>
      <c r="S689" s="6" t="s">
        <v>239</v>
      </c>
      <c r="T689" s="11">
        <v>21488196</v>
      </c>
      <c r="U689" s="7">
        <v>10</v>
      </c>
      <c r="V689" s="6" t="s">
        <v>36</v>
      </c>
      <c r="W689" s="7">
        <v>27.2</v>
      </c>
      <c r="X689" s="6" t="s">
        <v>35</v>
      </c>
      <c r="Y689" s="7">
        <v>1.103</v>
      </c>
      <c r="Z689" s="7">
        <v>0.5</v>
      </c>
      <c r="AA689" s="6" t="s">
        <v>243</v>
      </c>
      <c r="AB689" s="6" t="s">
        <v>38</v>
      </c>
      <c r="AD689" s="6" t="s">
        <v>39</v>
      </c>
      <c r="AE689" s="6" t="s">
        <v>1244</v>
      </c>
      <c r="AF689" s="11">
        <v>1</v>
      </c>
      <c r="AG689" s="6" t="s">
        <v>37</v>
      </c>
      <c r="AH689" s="7">
        <v>60</v>
      </c>
      <c r="AI689" s="6" t="s">
        <v>40</v>
      </c>
      <c r="AJ689" s="6" t="s">
        <v>238</v>
      </c>
      <c r="AK689" s="6" t="s">
        <v>241</v>
      </c>
      <c r="AL689" s="6" t="s">
        <v>41</v>
      </c>
    </row>
    <row r="690" spans="1:40" hidden="1" x14ac:dyDescent="0.25">
      <c r="A690" s="4">
        <v>45856</v>
      </c>
      <c r="B690" s="6" t="s">
        <v>1066</v>
      </c>
      <c r="C690" s="6" t="str">
        <f>_xlfn.XLOOKUP(Table3[[#This Row],[station]],station_waterbody_county!A:A, station_waterbody_county!B:B)</f>
        <v>Ram Island Passage</v>
      </c>
      <c r="D690" s="3" t="str">
        <f>_xlfn.XLOOKUP(Table3[[#This Row],[station]],station_waterbody_county!A:A, station_waterbody_county!C:C)</f>
        <v>Shelburne</v>
      </c>
      <c r="E690" s="6"/>
      <c r="F690" s="6" t="s">
        <v>34</v>
      </c>
      <c r="G690" s="12">
        <v>45847</v>
      </c>
      <c r="H690" s="5">
        <v>0.85</v>
      </c>
      <c r="I690" s="4"/>
      <c r="J690" s="5"/>
      <c r="K690" s="10"/>
      <c r="O690" s="6" t="s">
        <v>1346</v>
      </c>
      <c r="P690" s="6" t="s">
        <v>1347</v>
      </c>
      <c r="S690" s="6" t="s">
        <v>239</v>
      </c>
      <c r="T690" s="11">
        <v>20495245</v>
      </c>
      <c r="U690" s="7">
        <v>15</v>
      </c>
      <c r="V690" s="6" t="s">
        <v>36</v>
      </c>
      <c r="W690" s="7">
        <v>27.2</v>
      </c>
      <c r="X690" s="6" t="s">
        <v>35</v>
      </c>
      <c r="Y690" s="7">
        <v>1.103</v>
      </c>
      <c r="Z690" s="7">
        <v>0.5</v>
      </c>
      <c r="AA690" s="6" t="s">
        <v>243</v>
      </c>
      <c r="AB690" s="6" t="s">
        <v>38</v>
      </c>
      <c r="AD690" s="6" t="s">
        <v>39</v>
      </c>
      <c r="AE690" s="6" t="s">
        <v>1244</v>
      </c>
      <c r="AF690" s="11">
        <v>1</v>
      </c>
      <c r="AG690" s="6" t="s">
        <v>37</v>
      </c>
      <c r="AH690" s="7">
        <v>60</v>
      </c>
      <c r="AI690" s="6" t="s">
        <v>40</v>
      </c>
      <c r="AJ690" s="6" t="s">
        <v>238</v>
      </c>
      <c r="AK690" s="6" t="s">
        <v>241</v>
      </c>
      <c r="AL690" s="6" t="s">
        <v>41</v>
      </c>
    </row>
    <row r="691" spans="1:40" hidden="1" x14ac:dyDescent="0.25">
      <c r="A691" s="4">
        <v>45856</v>
      </c>
      <c r="B691" s="6" t="s">
        <v>1066</v>
      </c>
      <c r="C691" s="6" t="str">
        <f>_xlfn.XLOOKUP(Table3[[#This Row],[station]],station_waterbody_county!A:A, station_waterbody_county!B:B)</f>
        <v>Ram Island Passage</v>
      </c>
      <c r="D691" s="3" t="str">
        <f>_xlfn.XLOOKUP(Table3[[#This Row],[station]],station_waterbody_county!A:A, station_waterbody_county!C:C)</f>
        <v>Shelburne</v>
      </c>
      <c r="E691" s="6"/>
      <c r="F691" s="6" t="s">
        <v>34</v>
      </c>
      <c r="G691" s="12">
        <v>45847</v>
      </c>
      <c r="H691" s="5">
        <v>0.85</v>
      </c>
      <c r="I691" s="4"/>
      <c r="J691" s="5"/>
      <c r="K691" s="10"/>
      <c r="O691" s="6" t="s">
        <v>1346</v>
      </c>
      <c r="P691" s="6" t="s">
        <v>1347</v>
      </c>
      <c r="S691" s="6" t="s">
        <v>42</v>
      </c>
      <c r="T691" s="11">
        <v>548588</v>
      </c>
      <c r="U691" s="7">
        <v>20</v>
      </c>
      <c r="V691" s="6" t="s">
        <v>36</v>
      </c>
      <c r="W691" s="7">
        <v>27.2</v>
      </c>
      <c r="X691" s="6" t="s">
        <v>35</v>
      </c>
      <c r="Y691" s="7">
        <v>1.103</v>
      </c>
      <c r="Z691" s="7">
        <v>0.5</v>
      </c>
      <c r="AA691" s="6" t="s">
        <v>243</v>
      </c>
      <c r="AB691" s="6" t="s">
        <v>38</v>
      </c>
      <c r="AD691" s="6" t="s">
        <v>39</v>
      </c>
      <c r="AE691" s="6" t="s">
        <v>1244</v>
      </c>
      <c r="AF691" s="11">
        <v>1</v>
      </c>
      <c r="AG691" s="6" t="s">
        <v>37</v>
      </c>
      <c r="AH691" s="7">
        <v>60</v>
      </c>
      <c r="AI691" s="6" t="s">
        <v>40</v>
      </c>
      <c r="AJ691" s="6" t="s">
        <v>238</v>
      </c>
      <c r="AK691" s="6" t="s">
        <v>241</v>
      </c>
      <c r="AL691" s="6" t="s">
        <v>41</v>
      </c>
    </row>
    <row r="692" spans="1:40" hidden="1" x14ac:dyDescent="0.25">
      <c r="A692" s="4">
        <v>45856</v>
      </c>
      <c r="B692" s="6" t="s">
        <v>1066</v>
      </c>
      <c r="C692" s="6" t="str">
        <f>_xlfn.XLOOKUP(Table3[[#This Row],[station]],station_waterbody_county!A:A, station_waterbody_county!B:B)</f>
        <v>Ram Island Passage</v>
      </c>
      <c r="D692" s="3" t="str">
        <f>_xlfn.XLOOKUP(Table3[[#This Row],[station]],station_waterbody_county!A:A, station_waterbody_county!C:C)</f>
        <v>Shelburne</v>
      </c>
      <c r="E692" s="6"/>
      <c r="F692" s="6" t="s">
        <v>34</v>
      </c>
      <c r="G692" s="12">
        <v>45847</v>
      </c>
      <c r="H692" s="5">
        <v>0.85</v>
      </c>
      <c r="I692" s="4"/>
      <c r="J692" s="5"/>
      <c r="K692" s="10"/>
      <c r="O692" s="6" t="s">
        <v>1346</v>
      </c>
      <c r="P692" s="6" t="s">
        <v>1347</v>
      </c>
      <c r="S692" s="6" t="s">
        <v>239</v>
      </c>
      <c r="T692" s="11">
        <v>22309995</v>
      </c>
      <c r="U692" s="7">
        <v>20</v>
      </c>
      <c r="V692" s="6" t="s">
        <v>36</v>
      </c>
      <c r="W692" s="7">
        <v>27.2</v>
      </c>
      <c r="X692" s="6" t="s">
        <v>35</v>
      </c>
      <c r="Y692" s="7">
        <v>1.103</v>
      </c>
      <c r="Z692" s="7">
        <v>0.5</v>
      </c>
      <c r="AA692" s="6" t="s">
        <v>243</v>
      </c>
      <c r="AB692" s="6" t="s">
        <v>38</v>
      </c>
      <c r="AD692" s="6" t="s">
        <v>39</v>
      </c>
      <c r="AE692" s="6" t="s">
        <v>1244</v>
      </c>
      <c r="AF692" s="11">
        <v>1</v>
      </c>
      <c r="AG692" s="6" t="s">
        <v>37</v>
      </c>
      <c r="AH692" s="7">
        <v>60</v>
      </c>
      <c r="AI692" s="6" t="s">
        <v>40</v>
      </c>
      <c r="AJ692" s="6" t="s">
        <v>238</v>
      </c>
      <c r="AK692" s="6" t="s">
        <v>241</v>
      </c>
      <c r="AL692" s="6" t="s">
        <v>41</v>
      </c>
    </row>
    <row r="693" spans="1:40" hidden="1" x14ac:dyDescent="0.25">
      <c r="A693" s="12">
        <v>45677</v>
      </c>
      <c r="B693" s="6" t="s">
        <v>225</v>
      </c>
      <c r="C693" t="str">
        <f>_xlfn.XLOOKUP(Table3[[#This Row],[station]],station_waterbody_county!A:A, station_waterbody_county!B:B)</f>
        <v>Chedabucto Bay</v>
      </c>
      <c r="D693" t="str">
        <f>_xlfn.XLOOKUP(Table3[[#This Row],[station]],station_waterbody_county!A:A, station_waterbody_county!C:C)</f>
        <v>Guysborough</v>
      </c>
      <c r="E693" s="6"/>
      <c r="F693" s="6" t="s">
        <v>311</v>
      </c>
      <c r="G693" s="12">
        <v>45112</v>
      </c>
      <c r="H693" s="5"/>
      <c r="I693" s="4"/>
      <c r="J693" s="5"/>
      <c r="K693" s="10">
        <v>45.362285</v>
      </c>
      <c r="L693" s="10">
        <v>-61.044972999999999</v>
      </c>
      <c r="O693" s="6"/>
      <c r="S693" s="6" t="s">
        <v>239</v>
      </c>
      <c r="T693" s="11">
        <v>20330416</v>
      </c>
      <c r="U693" s="7">
        <v>2</v>
      </c>
      <c r="V693" s="6" t="s">
        <v>36</v>
      </c>
      <c r="W693" s="7">
        <v>79.3</v>
      </c>
      <c r="X693" s="6" t="s">
        <v>35</v>
      </c>
      <c r="Y693" s="7">
        <v>1.1000000000000001</v>
      </c>
      <c r="Z693" s="7">
        <v>1.8</v>
      </c>
      <c r="AA693" s="6" t="s">
        <v>251</v>
      </c>
      <c r="AB693" s="6" t="s">
        <v>321</v>
      </c>
      <c r="AD693" s="6" t="s">
        <v>39</v>
      </c>
      <c r="AE693" s="6"/>
      <c r="AG693" s="6" t="s">
        <v>293</v>
      </c>
      <c r="AH693" s="7"/>
      <c r="AI693" s="6" t="s">
        <v>40</v>
      </c>
      <c r="AJ693" s="6" t="s">
        <v>238</v>
      </c>
      <c r="AL693" s="6" t="s">
        <v>275</v>
      </c>
      <c r="AN693" s="6" t="s">
        <v>479</v>
      </c>
    </row>
    <row r="694" spans="1:40" hidden="1" x14ac:dyDescent="0.25">
      <c r="A694" s="12">
        <v>45677</v>
      </c>
      <c r="B694" s="6" t="s">
        <v>225</v>
      </c>
      <c r="C694" t="str">
        <f>_xlfn.XLOOKUP(Table3[[#This Row],[station]],station_waterbody_county!A:A, station_waterbody_county!B:B)</f>
        <v>Chedabucto Bay</v>
      </c>
      <c r="D694" t="str">
        <f>_xlfn.XLOOKUP(Table3[[#This Row],[station]],station_waterbody_county!A:A, station_waterbody_county!C:C)</f>
        <v>Guysborough</v>
      </c>
      <c r="E694" s="6"/>
      <c r="F694" s="6" t="s">
        <v>311</v>
      </c>
      <c r="G694" s="12">
        <v>45112</v>
      </c>
      <c r="H694" s="5"/>
      <c r="I694" s="4"/>
      <c r="J694" s="5"/>
      <c r="K694" s="10">
        <v>45.362285</v>
      </c>
      <c r="L694" s="10">
        <v>-61.044972999999999</v>
      </c>
      <c r="O694" s="6"/>
      <c r="S694" s="6" t="s">
        <v>240</v>
      </c>
      <c r="T694" s="11">
        <v>671310</v>
      </c>
      <c r="U694" s="7">
        <v>5</v>
      </c>
      <c r="V694" s="6" t="s">
        <v>36</v>
      </c>
      <c r="W694" s="7">
        <v>79.3</v>
      </c>
      <c r="X694" s="6" t="s">
        <v>35</v>
      </c>
      <c r="Y694" s="7">
        <v>1.1000000000000001</v>
      </c>
      <c r="Z694" s="7">
        <v>1.8</v>
      </c>
      <c r="AA694" s="6" t="s">
        <v>251</v>
      </c>
      <c r="AB694" s="6" t="s">
        <v>321</v>
      </c>
      <c r="AD694" s="6" t="s">
        <v>39</v>
      </c>
      <c r="AE694" s="6"/>
      <c r="AG694" s="6" t="s">
        <v>293</v>
      </c>
      <c r="AH694" s="7"/>
      <c r="AI694" s="6" t="s">
        <v>40</v>
      </c>
      <c r="AJ694" s="6" t="s">
        <v>238</v>
      </c>
      <c r="AL694" s="6" t="s">
        <v>275</v>
      </c>
      <c r="AN694" s="6" t="s">
        <v>479</v>
      </c>
    </row>
    <row r="695" spans="1:40" hidden="1" x14ac:dyDescent="0.25">
      <c r="A695" s="12">
        <v>45677</v>
      </c>
      <c r="B695" s="6" t="s">
        <v>225</v>
      </c>
      <c r="C695" t="str">
        <f>_xlfn.XLOOKUP(Table3[[#This Row],[station]],station_waterbody_county!A:A, station_waterbody_county!B:B)</f>
        <v>Chedabucto Bay</v>
      </c>
      <c r="D695" t="str">
        <f>_xlfn.XLOOKUP(Table3[[#This Row],[station]],station_waterbody_county!A:A, station_waterbody_county!C:C)</f>
        <v>Guysborough</v>
      </c>
      <c r="E695" s="6"/>
      <c r="F695" s="6" t="s">
        <v>311</v>
      </c>
      <c r="G695" s="12">
        <v>45112</v>
      </c>
      <c r="H695" s="5"/>
      <c r="I695" s="4"/>
      <c r="J695" s="5"/>
      <c r="K695" s="10">
        <v>45.362285</v>
      </c>
      <c r="L695" s="10">
        <v>-61.044972999999999</v>
      </c>
      <c r="O695" s="6"/>
      <c r="S695" s="6" t="s">
        <v>239</v>
      </c>
      <c r="T695" s="11">
        <v>21083048</v>
      </c>
      <c r="U695" s="7">
        <v>10</v>
      </c>
      <c r="V695" s="6" t="s">
        <v>36</v>
      </c>
      <c r="W695" s="7">
        <v>79.3</v>
      </c>
      <c r="X695" s="6" t="s">
        <v>35</v>
      </c>
      <c r="Y695" s="7">
        <v>1.1000000000000001</v>
      </c>
      <c r="Z695" s="7">
        <v>1.8</v>
      </c>
      <c r="AA695" s="6" t="s">
        <v>251</v>
      </c>
      <c r="AB695" s="6" t="s">
        <v>321</v>
      </c>
      <c r="AD695" s="6" t="s">
        <v>39</v>
      </c>
      <c r="AE695" s="6"/>
      <c r="AG695" s="6" t="s">
        <v>293</v>
      </c>
      <c r="AH695" s="7"/>
      <c r="AI695" s="6" t="s">
        <v>40</v>
      </c>
      <c r="AJ695" s="6" t="s">
        <v>238</v>
      </c>
      <c r="AL695" s="6" t="s">
        <v>275</v>
      </c>
      <c r="AN695" s="6" t="s">
        <v>479</v>
      </c>
    </row>
    <row r="696" spans="1:40" hidden="1" x14ac:dyDescent="0.25">
      <c r="A696" s="12">
        <v>45677</v>
      </c>
      <c r="B696" s="6" t="s">
        <v>225</v>
      </c>
      <c r="C696" t="str">
        <f>_xlfn.XLOOKUP(Table3[[#This Row],[station]],station_waterbody_county!A:A, station_waterbody_county!B:B)</f>
        <v>Chedabucto Bay</v>
      </c>
      <c r="D696" t="str">
        <f>_xlfn.XLOOKUP(Table3[[#This Row],[station]],station_waterbody_county!A:A, station_waterbody_county!C:C)</f>
        <v>Guysborough</v>
      </c>
      <c r="E696" s="6"/>
      <c r="F696" s="6" t="s">
        <v>311</v>
      </c>
      <c r="G696" s="12">
        <v>45112</v>
      </c>
      <c r="H696" s="5"/>
      <c r="I696" s="4"/>
      <c r="J696" s="5"/>
      <c r="K696" s="10">
        <v>45.362285</v>
      </c>
      <c r="L696" s="10">
        <v>-61.044972999999999</v>
      </c>
      <c r="O696" s="6"/>
      <c r="S696" s="6" t="s">
        <v>239</v>
      </c>
      <c r="T696" s="11">
        <v>21391371</v>
      </c>
      <c r="U696" s="7">
        <v>15</v>
      </c>
      <c r="V696" s="6" t="s">
        <v>36</v>
      </c>
      <c r="W696" s="7">
        <v>79.3</v>
      </c>
      <c r="X696" s="6" t="s">
        <v>35</v>
      </c>
      <c r="Y696" s="7">
        <v>1.1000000000000001</v>
      </c>
      <c r="Z696" s="7">
        <v>1.8</v>
      </c>
      <c r="AA696" s="6" t="s">
        <v>251</v>
      </c>
      <c r="AB696" s="6" t="s">
        <v>321</v>
      </c>
      <c r="AD696" s="6" t="s">
        <v>39</v>
      </c>
      <c r="AE696" s="6"/>
      <c r="AG696" s="6" t="s">
        <v>293</v>
      </c>
      <c r="AH696" s="7"/>
      <c r="AI696" s="6" t="s">
        <v>40</v>
      </c>
      <c r="AJ696" s="6" t="s">
        <v>238</v>
      </c>
      <c r="AL696" s="6" t="s">
        <v>275</v>
      </c>
      <c r="AN696" s="6" t="s">
        <v>479</v>
      </c>
    </row>
    <row r="697" spans="1:40" hidden="1" x14ac:dyDescent="0.25">
      <c r="A697" s="12">
        <v>45677</v>
      </c>
      <c r="B697" s="6" t="s">
        <v>225</v>
      </c>
      <c r="C697" t="str">
        <f>_xlfn.XLOOKUP(Table3[[#This Row],[station]],station_waterbody_county!A:A, station_waterbody_county!B:B)</f>
        <v>Chedabucto Bay</v>
      </c>
      <c r="D697" t="str">
        <f>_xlfn.XLOOKUP(Table3[[#This Row],[station]],station_waterbody_county!A:A, station_waterbody_county!C:C)</f>
        <v>Guysborough</v>
      </c>
      <c r="E697" s="6"/>
      <c r="F697" s="6" t="s">
        <v>311</v>
      </c>
      <c r="G697" s="12">
        <v>45112</v>
      </c>
      <c r="H697" s="5"/>
      <c r="I697" s="4"/>
      <c r="J697" s="5"/>
      <c r="K697" s="10">
        <v>45.362285</v>
      </c>
      <c r="L697" s="10">
        <v>-61.044972999999999</v>
      </c>
      <c r="O697" s="6"/>
      <c r="S697" s="6" t="s">
        <v>239</v>
      </c>
      <c r="T697" s="11">
        <v>20495252</v>
      </c>
      <c r="U697" s="7">
        <v>20</v>
      </c>
      <c r="V697" s="6" t="s">
        <v>36</v>
      </c>
      <c r="W697" s="7">
        <v>79.3</v>
      </c>
      <c r="X697" s="6" t="s">
        <v>35</v>
      </c>
      <c r="Y697" s="7">
        <v>1.1000000000000001</v>
      </c>
      <c r="Z697" s="7">
        <v>1.8</v>
      </c>
      <c r="AA697" s="6" t="s">
        <v>251</v>
      </c>
      <c r="AB697" s="6" t="s">
        <v>321</v>
      </c>
      <c r="AD697" s="6" t="s">
        <v>39</v>
      </c>
      <c r="AE697" s="6"/>
      <c r="AG697" s="6" t="s">
        <v>293</v>
      </c>
      <c r="AH697" s="7"/>
      <c r="AI697" s="6" t="s">
        <v>40</v>
      </c>
      <c r="AJ697" s="6" t="s">
        <v>238</v>
      </c>
      <c r="AL697" s="6" t="s">
        <v>275</v>
      </c>
      <c r="AN697" s="6" t="s">
        <v>479</v>
      </c>
    </row>
    <row r="698" spans="1:40" hidden="1" x14ac:dyDescent="0.25">
      <c r="A698" s="12">
        <v>45677</v>
      </c>
      <c r="B698" s="6" t="s">
        <v>225</v>
      </c>
      <c r="C698" t="str">
        <f>_xlfn.XLOOKUP(Table3[[#This Row],[station]],station_waterbody_county!A:A, station_waterbody_county!B:B)</f>
        <v>Chedabucto Bay</v>
      </c>
      <c r="D698" t="str">
        <f>_xlfn.XLOOKUP(Table3[[#This Row],[station]],station_waterbody_county!A:A, station_waterbody_county!C:C)</f>
        <v>Guysborough</v>
      </c>
      <c r="E698" s="6"/>
      <c r="F698" s="6" t="s">
        <v>311</v>
      </c>
      <c r="G698" s="12">
        <v>45112</v>
      </c>
      <c r="H698" s="5"/>
      <c r="I698" s="4"/>
      <c r="J698" s="5"/>
      <c r="K698" s="10">
        <v>45.362285</v>
      </c>
      <c r="L698" s="10">
        <v>-61.044972999999999</v>
      </c>
      <c r="O698" s="6"/>
      <c r="S698" s="6" t="s">
        <v>239</v>
      </c>
      <c r="T698" s="11">
        <v>20291488</v>
      </c>
      <c r="U698" s="7">
        <v>30</v>
      </c>
      <c r="V698" s="6" t="s">
        <v>36</v>
      </c>
      <c r="W698" s="7">
        <v>79.3</v>
      </c>
      <c r="X698" s="6" t="s">
        <v>35</v>
      </c>
      <c r="Y698" s="7">
        <v>1.1000000000000001</v>
      </c>
      <c r="Z698" s="7">
        <v>1.8</v>
      </c>
      <c r="AA698" s="6" t="s">
        <v>251</v>
      </c>
      <c r="AB698" s="6" t="s">
        <v>321</v>
      </c>
      <c r="AD698" s="6" t="s">
        <v>39</v>
      </c>
      <c r="AE698" s="6"/>
      <c r="AG698" s="6" t="s">
        <v>293</v>
      </c>
      <c r="AH698" s="7"/>
      <c r="AI698" s="6" t="s">
        <v>40</v>
      </c>
      <c r="AJ698" s="6" t="s">
        <v>238</v>
      </c>
      <c r="AL698" s="6" t="s">
        <v>275</v>
      </c>
      <c r="AN698" s="6" t="s">
        <v>479</v>
      </c>
    </row>
    <row r="699" spans="1:40" hidden="1" x14ac:dyDescent="0.25">
      <c r="A699" s="12">
        <v>45677</v>
      </c>
      <c r="B699" s="6" t="s">
        <v>225</v>
      </c>
      <c r="C699" t="str">
        <f>_xlfn.XLOOKUP(Table3[[#This Row],[station]],station_waterbody_county!A:A, station_waterbody_county!B:B)</f>
        <v>Chedabucto Bay</v>
      </c>
      <c r="D699" t="str">
        <f>_xlfn.XLOOKUP(Table3[[#This Row],[station]],station_waterbody_county!A:A, station_waterbody_county!C:C)</f>
        <v>Guysborough</v>
      </c>
      <c r="E699" s="6"/>
      <c r="F699" s="6" t="s">
        <v>311</v>
      </c>
      <c r="G699" s="12">
        <v>45112</v>
      </c>
      <c r="H699" s="5"/>
      <c r="I699" s="4"/>
      <c r="J699" s="5"/>
      <c r="K699" s="10">
        <v>45.362285</v>
      </c>
      <c r="L699" s="10">
        <v>-61.044972999999999</v>
      </c>
      <c r="O699" s="6"/>
      <c r="S699" s="6" t="s">
        <v>239</v>
      </c>
      <c r="T699" s="11">
        <v>20308047</v>
      </c>
      <c r="U699" s="7">
        <v>40</v>
      </c>
      <c r="V699" s="6" t="s">
        <v>36</v>
      </c>
      <c r="W699" s="7">
        <v>79.3</v>
      </c>
      <c r="X699" s="6" t="s">
        <v>35</v>
      </c>
      <c r="Y699" s="7">
        <v>1.1000000000000001</v>
      </c>
      <c r="Z699" s="7">
        <v>1.8</v>
      </c>
      <c r="AA699" s="6" t="s">
        <v>251</v>
      </c>
      <c r="AB699" s="6" t="s">
        <v>321</v>
      </c>
      <c r="AD699" s="6" t="s">
        <v>39</v>
      </c>
      <c r="AE699" s="6"/>
      <c r="AG699" s="6" t="s">
        <v>293</v>
      </c>
      <c r="AH699" s="7"/>
      <c r="AI699" s="6" t="s">
        <v>40</v>
      </c>
      <c r="AJ699" s="6" t="s">
        <v>238</v>
      </c>
      <c r="AL699" s="6" t="s">
        <v>275</v>
      </c>
      <c r="AN699" s="6" t="s">
        <v>479</v>
      </c>
    </row>
    <row r="700" spans="1:40" hidden="1" x14ac:dyDescent="0.25">
      <c r="A700" s="12">
        <v>45677</v>
      </c>
      <c r="B700" s="6" t="s">
        <v>225</v>
      </c>
      <c r="C700" t="str">
        <f>_xlfn.XLOOKUP(Table3[[#This Row],[station]],station_waterbody_county!A:A, station_waterbody_county!B:B)</f>
        <v>Chedabucto Bay</v>
      </c>
      <c r="D700" t="str">
        <f>_xlfn.XLOOKUP(Table3[[#This Row],[station]],station_waterbody_county!A:A, station_waterbody_county!C:C)</f>
        <v>Guysborough</v>
      </c>
      <c r="E700" s="6"/>
      <c r="F700" s="6" t="s">
        <v>311</v>
      </c>
      <c r="G700" s="12">
        <v>45112</v>
      </c>
      <c r="H700" s="5"/>
      <c r="I700" s="4"/>
      <c r="J700" s="5"/>
      <c r="K700" s="10">
        <v>45.362285</v>
      </c>
      <c r="L700" s="10">
        <v>-61.044972999999999</v>
      </c>
      <c r="O700" s="6"/>
      <c r="S700" s="6" t="s">
        <v>239</v>
      </c>
      <c r="T700" s="11">
        <v>21082886</v>
      </c>
      <c r="U700" s="7">
        <v>50</v>
      </c>
      <c r="V700" s="6" t="s">
        <v>36</v>
      </c>
      <c r="W700" s="7">
        <v>79.3</v>
      </c>
      <c r="X700" s="6" t="s">
        <v>35</v>
      </c>
      <c r="Y700" s="7">
        <v>1.1000000000000001</v>
      </c>
      <c r="Z700" s="7">
        <v>1.8</v>
      </c>
      <c r="AA700" s="6" t="s">
        <v>251</v>
      </c>
      <c r="AB700" s="6" t="s">
        <v>321</v>
      </c>
      <c r="AD700" s="6" t="s">
        <v>39</v>
      </c>
      <c r="AE700" s="6"/>
      <c r="AG700" s="6" t="s">
        <v>293</v>
      </c>
      <c r="AH700" s="7"/>
      <c r="AI700" s="6" t="s">
        <v>40</v>
      </c>
      <c r="AJ700" s="6" t="s">
        <v>238</v>
      </c>
      <c r="AL700" s="6" t="s">
        <v>275</v>
      </c>
      <c r="AN700" s="6" t="s">
        <v>479</v>
      </c>
    </row>
    <row r="701" spans="1:40" hidden="1" x14ac:dyDescent="0.25">
      <c r="A701" s="12">
        <v>45677</v>
      </c>
      <c r="B701" s="6" t="s">
        <v>225</v>
      </c>
      <c r="C701" t="str">
        <f>_xlfn.XLOOKUP(Table3[[#This Row],[station]],station_waterbody_county!A:A, station_waterbody_county!B:B)</f>
        <v>Chedabucto Bay</v>
      </c>
      <c r="D701" t="str">
        <f>_xlfn.XLOOKUP(Table3[[#This Row],[station]],station_waterbody_county!A:A, station_waterbody_county!C:C)</f>
        <v>Guysborough</v>
      </c>
      <c r="E701" s="6"/>
      <c r="F701" s="6" t="s">
        <v>311</v>
      </c>
      <c r="G701" s="12">
        <v>45112</v>
      </c>
      <c r="H701" s="5"/>
      <c r="I701" s="4"/>
      <c r="J701" s="5"/>
      <c r="K701" s="10">
        <v>45.362285</v>
      </c>
      <c r="L701" s="10">
        <v>-61.044972999999999</v>
      </c>
      <c r="O701" s="6"/>
      <c r="S701" s="6" t="s">
        <v>239</v>
      </c>
      <c r="T701" s="11">
        <v>21650152</v>
      </c>
      <c r="U701" s="7">
        <v>60</v>
      </c>
      <c r="V701" s="6" t="s">
        <v>36</v>
      </c>
      <c r="W701" s="7">
        <v>79.3</v>
      </c>
      <c r="X701" s="6" t="s">
        <v>35</v>
      </c>
      <c r="Y701" s="7">
        <v>1.1000000000000001</v>
      </c>
      <c r="Z701" s="7">
        <v>1.8</v>
      </c>
      <c r="AA701" s="6" t="s">
        <v>251</v>
      </c>
      <c r="AB701" s="6" t="s">
        <v>321</v>
      </c>
      <c r="AD701" s="6" t="s">
        <v>39</v>
      </c>
      <c r="AE701" s="6"/>
      <c r="AG701" s="6" t="s">
        <v>293</v>
      </c>
      <c r="AH701" s="7"/>
      <c r="AI701" s="6" t="s">
        <v>40</v>
      </c>
      <c r="AJ701" s="6" t="s">
        <v>238</v>
      </c>
      <c r="AL701" s="6" t="s">
        <v>275</v>
      </c>
      <c r="AN701" s="6" t="s">
        <v>479</v>
      </c>
    </row>
    <row r="702" spans="1:40" hidden="1" x14ac:dyDescent="0.25">
      <c r="A702" s="12">
        <v>45677</v>
      </c>
      <c r="B702" s="6" t="s">
        <v>225</v>
      </c>
      <c r="C702" t="str">
        <f>_xlfn.XLOOKUP(Table3[[#This Row],[station]],station_waterbody_county!A:A, station_waterbody_county!B:B)</f>
        <v>Chedabucto Bay</v>
      </c>
      <c r="D702" t="str">
        <f>_xlfn.XLOOKUP(Table3[[#This Row],[station]],station_waterbody_county!A:A, station_waterbody_county!C:C)</f>
        <v>Guysborough</v>
      </c>
      <c r="E702" s="6"/>
      <c r="F702" s="6" t="s">
        <v>311</v>
      </c>
      <c r="G702" s="12">
        <v>45112</v>
      </c>
      <c r="H702" s="5"/>
      <c r="I702" s="4"/>
      <c r="J702" s="5"/>
      <c r="K702" s="10">
        <v>45.362285</v>
      </c>
      <c r="L702" s="10">
        <v>-61.044972999999999</v>
      </c>
      <c r="O702" s="6"/>
      <c r="S702" s="6" t="s">
        <v>42</v>
      </c>
      <c r="T702" s="11">
        <v>548039</v>
      </c>
      <c r="U702" s="7">
        <v>75</v>
      </c>
      <c r="V702" s="6" t="s">
        <v>36</v>
      </c>
      <c r="W702" s="7">
        <v>79.3</v>
      </c>
      <c r="X702" s="6" t="s">
        <v>35</v>
      </c>
      <c r="Y702" s="7">
        <v>1.1000000000000001</v>
      </c>
      <c r="Z702" s="7">
        <v>1.8</v>
      </c>
      <c r="AA702" s="6" t="s">
        <v>251</v>
      </c>
      <c r="AB702" s="6" t="s">
        <v>321</v>
      </c>
      <c r="AD702" s="6" t="s">
        <v>39</v>
      </c>
      <c r="AE702" s="6"/>
      <c r="AG702" s="6" t="s">
        <v>293</v>
      </c>
      <c r="AH702" s="7"/>
      <c r="AI702" s="6" t="s">
        <v>40</v>
      </c>
      <c r="AJ702" s="6" t="s">
        <v>238</v>
      </c>
      <c r="AL702" s="6" t="s">
        <v>275</v>
      </c>
      <c r="AN702" s="6" t="s">
        <v>479</v>
      </c>
    </row>
    <row r="703" spans="1:40" x14ac:dyDescent="0.25">
      <c r="A703" s="4">
        <v>45798</v>
      </c>
      <c r="B703" s="6" t="s">
        <v>225</v>
      </c>
      <c r="C703" t="str">
        <f>_xlfn.XLOOKUP(Table3[[#This Row],[station]],station_waterbody_county!A:A, station_waterbody_county!B:B)</f>
        <v>Chedabucto Bay</v>
      </c>
      <c r="D703" t="str">
        <f>_xlfn.XLOOKUP(Table3[[#This Row],[station]],station_waterbody_county!A:A, station_waterbody_county!C:C)</f>
        <v>Guysborough</v>
      </c>
      <c r="E703" s="6"/>
      <c r="F703" s="6" t="s">
        <v>311</v>
      </c>
      <c r="G703" s="4">
        <v>45541</v>
      </c>
      <c r="H703" s="5">
        <v>0.66041666666666665</v>
      </c>
      <c r="I703" s="4"/>
      <c r="J703" s="5"/>
      <c r="K703" s="10"/>
      <c r="O703" s="6" t="s">
        <v>480</v>
      </c>
      <c r="P703" s="6" t="s">
        <v>481</v>
      </c>
      <c r="S703" s="6" t="s">
        <v>239</v>
      </c>
      <c r="T703" s="11">
        <v>10817504</v>
      </c>
      <c r="U703" s="7">
        <v>2</v>
      </c>
      <c r="V703" s="6" t="s">
        <v>36</v>
      </c>
      <c r="W703" s="7"/>
      <c r="X703" s="6" t="s">
        <v>35</v>
      </c>
      <c r="Y703" s="7">
        <v>1.1000000000000001</v>
      </c>
      <c r="Z703" s="7">
        <v>0.5</v>
      </c>
      <c r="AA703" s="6" t="s">
        <v>251</v>
      </c>
      <c r="AB703" s="6" t="s">
        <v>38</v>
      </c>
      <c r="AD703" s="6" t="s">
        <v>39</v>
      </c>
      <c r="AE703" s="6"/>
      <c r="AG703" s="6" t="s">
        <v>286</v>
      </c>
      <c r="AH703" s="7">
        <v>77</v>
      </c>
      <c r="AI703" s="6" t="s">
        <v>40</v>
      </c>
      <c r="AJ703" s="6" t="s">
        <v>238</v>
      </c>
      <c r="AL703" s="6" t="s">
        <v>337</v>
      </c>
      <c r="AN703" s="6" t="s">
        <v>1258</v>
      </c>
    </row>
    <row r="704" spans="1:40" x14ac:dyDescent="0.25">
      <c r="A704" s="4">
        <v>45798</v>
      </c>
      <c r="B704" s="6" t="s">
        <v>225</v>
      </c>
      <c r="C704" t="str">
        <f>_xlfn.XLOOKUP(Table3[[#This Row],[station]],station_waterbody_county!A:A, station_waterbody_county!B:B)</f>
        <v>Chedabucto Bay</v>
      </c>
      <c r="D704" t="str">
        <f>_xlfn.XLOOKUP(Table3[[#This Row],[station]],station_waterbody_county!A:A, station_waterbody_county!C:C)</f>
        <v>Guysborough</v>
      </c>
      <c r="E704" s="6"/>
      <c r="F704" s="6" t="s">
        <v>311</v>
      </c>
      <c r="G704" s="4">
        <v>45541</v>
      </c>
      <c r="H704" s="5">
        <v>0.66041666666666665</v>
      </c>
      <c r="I704" s="4"/>
      <c r="J704" s="5"/>
      <c r="K704" s="10"/>
      <c r="O704" s="6" t="s">
        <v>480</v>
      </c>
      <c r="P704" s="6" t="s">
        <v>481</v>
      </c>
      <c r="S704" s="6" t="s">
        <v>240</v>
      </c>
      <c r="T704" s="11">
        <v>675012</v>
      </c>
      <c r="U704" s="7">
        <v>5</v>
      </c>
      <c r="V704" s="6" t="s">
        <v>36</v>
      </c>
      <c r="W704" s="7"/>
      <c r="X704" s="6" t="s">
        <v>35</v>
      </c>
      <c r="Y704" s="7">
        <v>1.1000000000000001</v>
      </c>
      <c r="Z704" s="7">
        <v>0.5</v>
      </c>
      <c r="AA704" s="6" t="s">
        <v>251</v>
      </c>
      <c r="AB704" s="6" t="s">
        <v>38</v>
      </c>
      <c r="AD704" s="6" t="s">
        <v>39</v>
      </c>
      <c r="AE704" s="6"/>
      <c r="AG704" s="6" t="s">
        <v>286</v>
      </c>
      <c r="AH704" s="7">
        <v>77</v>
      </c>
      <c r="AI704" s="6" t="s">
        <v>40</v>
      </c>
      <c r="AJ704" s="6" t="s">
        <v>238</v>
      </c>
      <c r="AL704" s="6" t="s">
        <v>337</v>
      </c>
      <c r="AN704" s="6" t="s">
        <v>1258</v>
      </c>
    </row>
    <row r="705" spans="1:40" x14ac:dyDescent="0.25">
      <c r="A705" s="4">
        <v>45798</v>
      </c>
      <c r="B705" s="6" t="s">
        <v>225</v>
      </c>
      <c r="C705" t="str">
        <f>_xlfn.XLOOKUP(Table3[[#This Row],[station]],station_waterbody_county!A:A, station_waterbody_county!B:B)</f>
        <v>Chedabucto Bay</v>
      </c>
      <c r="D705" t="str">
        <f>_xlfn.XLOOKUP(Table3[[#This Row],[station]],station_waterbody_county!A:A, station_waterbody_county!C:C)</f>
        <v>Guysborough</v>
      </c>
      <c r="E705" s="6"/>
      <c r="F705" s="6" t="s">
        <v>311</v>
      </c>
      <c r="G705" s="4">
        <v>45541</v>
      </c>
      <c r="H705" s="5">
        <v>0.66041666666666665</v>
      </c>
      <c r="I705" s="4"/>
      <c r="J705" s="5"/>
      <c r="K705" s="10"/>
      <c r="O705" s="6" t="s">
        <v>480</v>
      </c>
      <c r="P705" s="6" t="s">
        <v>481</v>
      </c>
      <c r="S705" s="6" t="s">
        <v>239</v>
      </c>
      <c r="T705" s="11">
        <v>21488193</v>
      </c>
      <c r="U705" s="7">
        <v>10</v>
      </c>
      <c r="V705" s="6" t="s">
        <v>36</v>
      </c>
      <c r="W705" s="7"/>
      <c r="X705" s="6" t="s">
        <v>35</v>
      </c>
      <c r="Y705" s="7">
        <v>1.1000000000000001</v>
      </c>
      <c r="Z705" s="7">
        <v>0.5</v>
      </c>
      <c r="AA705" s="6" t="s">
        <v>251</v>
      </c>
      <c r="AB705" s="6" t="s">
        <v>38</v>
      </c>
      <c r="AD705" s="6" t="s">
        <v>39</v>
      </c>
      <c r="AE705" s="6"/>
      <c r="AG705" s="6" t="s">
        <v>286</v>
      </c>
      <c r="AH705" s="7">
        <v>77</v>
      </c>
      <c r="AI705" s="6" t="s">
        <v>40</v>
      </c>
      <c r="AJ705" s="6" t="s">
        <v>238</v>
      </c>
      <c r="AL705" s="6" t="s">
        <v>337</v>
      </c>
      <c r="AN705" s="6" t="s">
        <v>1258</v>
      </c>
    </row>
    <row r="706" spans="1:40" x14ac:dyDescent="0.25">
      <c r="A706" s="4">
        <v>45798</v>
      </c>
      <c r="B706" s="6" t="s">
        <v>225</v>
      </c>
      <c r="C706" t="str">
        <f>_xlfn.XLOOKUP(Table3[[#This Row],[station]],station_waterbody_county!A:A, station_waterbody_county!B:B)</f>
        <v>Chedabucto Bay</v>
      </c>
      <c r="D706" t="str">
        <f>_xlfn.XLOOKUP(Table3[[#This Row],[station]],station_waterbody_county!A:A, station_waterbody_county!C:C)</f>
        <v>Guysborough</v>
      </c>
      <c r="E706" s="6"/>
      <c r="F706" s="6" t="s">
        <v>311</v>
      </c>
      <c r="G706" s="4">
        <v>45541</v>
      </c>
      <c r="H706" s="5">
        <v>0.66041666666666665</v>
      </c>
      <c r="I706" s="4"/>
      <c r="J706" s="5"/>
      <c r="K706" s="10"/>
      <c r="O706" s="6" t="s">
        <v>480</v>
      </c>
      <c r="P706" s="6" t="s">
        <v>481</v>
      </c>
      <c r="S706" s="6" t="s">
        <v>239</v>
      </c>
      <c r="T706" s="11">
        <v>21488198</v>
      </c>
      <c r="U706" s="7">
        <v>15</v>
      </c>
      <c r="V706" s="6" t="s">
        <v>36</v>
      </c>
      <c r="W706" s="7"/>
      <c r="X706" s="6" t="s">
        <v>35</v>
      </c>
      <c r="Y706" s="7">
        <v>1.1000000000000001</v>
      </c>
      <c r="Z706" s="7">
        <v>0.5</v>
      </c>
      <c r="AA706" s="6" t="s">
        <v>251</v>
      </c>
      <c r="AB706" s="6" t="s">
        <v>38</v>
      </c>
      <c r="AD706" s="6" t="s">
        <v>39</v>
      </c>
      <c r="AE706" s="6"/>
      <c r="AG706" s="6" t="s">
        <v>286</v>
      </c>
      <c r="AH706" s="7">
        <v>77</v>
      </c>
      <c r="AI706" s="6" t="s">
        <v>40</v>
      </c>
      <c r="AJ706" s="6" t="s">
        <v>238</v>
      </c>
      <c r="AL706" s="6" t="s">
        <v>337</v>
      </c>
      <c r="AN706" s="6" t="s">
        <v>1258</v>
      </c>
    </row>
    <row r="707" spans="1:40" x14ac:dyDescent="0.25">
      <c r="A707" s="4">
        <v>45798</v>
      </c>
      <c r="B707" s="6" t="s">
        <v>225</v>
      </c>
      <c r="C707" t="str">
        <f>_xlfn.XLOOKUP(Table3[[#This Row],[station]],station_waterbody_county!A:A, station_waterbody_county!B:B)</f>
        <v>Chedabucto Bay</v>
      </c>
      <c r="D707" t="str">
        <f>_xlfn.XLOOKUP(Table3[[#This Row],[station]],station_waterbody_county!A:A, station_waterbody_county!C:C)</f>
        <v>Guysborough</v>
      </c>
      <c r="E707" s="6"/>
      <c r="F707" s="6" t="s">
        <v>311</v>
      </c>
      <c r="G707" s="4">
        <v>45541</v>
      </c>
      <c r="H707" s="5">
        <v>0.66041666666666665</v>
      </c>
      <c r="I707" s="4"/>
      <c r="J707" s="5"/>
      <c r="K707" s="10"/>
      <c r="O707" s="6" t="s">
        <v>480</v>
      </c>
      <c r="P707" s="6" t="s">
        <v>481</v>
      </c>
      <c r="S707" s="6" t="s">
        <v>239</v>
      </c>
      <c r="T707" s="11">
        <v>21488195</v>
      </c>
      <c r="U707" s="7">
        <v>20</v>
      </c>
      <c r="V707" s="6" t="s">
        <v>36</v>
      </c>
      <c r="W707" s="7"/>
      <c r="X707" s="6" t="s">
        <v>35</v>
      </c>
      <c r="Y707" s="7">
        <v>1.1000000000000001</v>
      </c>
      <c r="Z707" s="7">
        <v>0.5</v>
      </c>
      <c r="AA707" s="6" t="s">
        <v>251</v>
      </c>
      <c r="AB707" s="6" t="s">
        <v>38</v>
      </c>
      <c r="AD707" s="6" t="s">
        <v>39</v>
      </c>
      <c r="AE707" s="6"/>
      <c r="AG707" s="6" t="s">
        <v>286</v>
      </c>
      <c r="AH707" s="7">
        <v>77</v>
      </c>
      <c r="AI707" s="6" t="s">
        <v>40</v>
      </c>
      <c r="AJ707" s="6" t="s">
        <v>238</v>
      </c>
      <c r="AL707" s="6" t="s">
        <v>337</v>
      </c>
      <c r="AN707" s="6" t="s">
        <v>1258</v>
      </c>
    </row>
    <row r="708" spans="1:40" x14ac:dyDescent="0.25">
      <c r="A708" s="4">
        <v>45798</v>
      </c>
      <c r="B708" s="6" t="s">
        <v>225</v>
      </c>
      <c r="C708" t="str">
        <f>_xlfn.XLOOKUP(Table3[[#This Row],[station]],station_waterbody_county!A:A, station_waterbody_county!B:B)</f>
        <v>Chedabucto Bay</v>
      </c>
      <c r="D708" t="str">
        <f>_xlfn.XLOOKUP(Table3[[#This Row],[station]],station_waterbody_county!A:A, station_waterbody_county!C:C)</f>
        <v>Guysborough</v>
      </c>
      <c r="E708" s="6"/>
      <c r="F708" s="6" t="s">
        <v>311</v>
      </c>
      <c r="G708" s="4">
        <v>45541</v>
      </c>
      <c r="H708" s="5">
        <v>0.66041666666666665</v>
      </c>
      <c r="I708" s="4"/>
      <c r="J708" s="5"/>
      <c r="K708" s="10"/>
      <c r="O708" s="6" t="s">
        <v>480</v>
      </c>
      <c r="P708" s="6" t="s">
        <v>481</v>
      </c>
      <c r="S708" s="6" t="s">
        <v>239</v>
      </c>
      <c r="T708" s="11">
        <v>20291441</v>
      </c>
      <c r="U708" s="7">
        <v>30</v>
      </c>
      <c r="V708" s="6" t="s">
        <v>36</v>
      </c>
      <c r="W708" s="7"/>
      <c r="X708" s="6" t="s">
        <v>35</v>
      </c>
      <c r="Y708" s="7">
        <v>1.1000000000000001</v>
      </c>
      <c r="Z708" s="7">
        <v>0.5</v>
      </c>
      <c r="AA708" s="6" t="s">
        <v>251</v>
      </c>
      <c r="AB708" s="6" t="s">
        <v>38</v>
      </c>
      <c r="AD708" s="6" t="s">
        <v>39</v>
      </c>
      <c r="AE708" s="6"/>
      <c r="AG708" s="6" t="s">
        <v>286</v>
      </c>
      <c r="AH708" s="7">
        <v>77</v>
      </c>
      <c r="AI708" s="6" t="s">
        <v>40</v>
      </c>
      <c r="AJ708" s="6" t="s">
        <v>238</v>
      </c>
      <c r="AL708" s="6" t="s">
        <v>337</v>
      </c>
      <c r="AN708" s="6" t="s">
        <v>1258</v>
      </c>
    </row>
    <row r="709" spans="1:40" x14ac:dyDescent="0.25">
      <c r="A709" s="4">
        <v>45798</v>
      </c>
      <c r="B709" s="6" t="s">
        <v>225</v>
      </c>
      <c r="C709" t="str">
        <f>_xlfn.XLOOKUP(Table3[[#This Row],[station]],station_waterbody_county!A:A, station_waterbody_county!B:B)</f>
        <v>Chedabucto Bay</v>
      </c>
      <c r="D709" t="str">
        <f>_xlfn.XLOOKUP(Table3[[#This Row],[station]],station_waterbody_county!A:A, station_waterbody_county!C:C)</f>
        <v>Guysborough</v>
      </c>
      <c r="E709" s="6"/>
      <c r="F709" s="6" t="s">
        <v>311</v>
      </c>
      <c r="G709" s="4">
        <v>45541</v>
      </c>
      <c r="H709" s="5">
        <v>0.66041666666666665</v>
      </c>
      <c r="I709" s="4"/>
      <c r="J709" s="5"/>
      <c r="K709" s="10"/>
      <c r="O709" s="6" t="s">
        <v>480</v>
      </c>
      <c r="P709" s="6" t="s">
        <v>481</v>
      </c>
      <c r="S709" s="6" t="s">
        <v>239</v>
      </c>
      <c r="T709" s="11">
        <v>21082881</v>
      </c>
      <c r="U709" s="7">
        <v>40</v>
      </c>
      <c r="V709" s="6" t="s">
        <v>36</v>
      </c>
      <c r="W709" s="7"/>
      <c r="X709" s="6" t="s">
        <v>35</v>
      </c>
      <c r="Y709" s="7">
        <v>1.1000000000000001</v>
      </c>
      <c r="Z709" s="7">
        <v>0.5</v>
      </c>
      <c r="AA709" s="6" t="s">
        <v>251</v>
      </c>
      <c r="AB709" s="6" t="s">
        <v>38</v>
      </c>
      <c r="AD709" s="6" t="s">
        <v>39</v>
      </c>
      <c r="AE709" s="6"/>
      <c r="AG709" s="6" t="s">
        <v>286</v>
      </c>
      <c r="AH709" s="7">
        <v>77</v>
      </c>
      <c r="AI709" s="6" t="s">
        <v>40</v>
      </c>
      <c r="AJ709" s="6" t="s">
        <v>238</v>
      </c>
      <c r="AL709" s="6" t="s">
        <v>337</v>
      </c>
      <c r="AN709" s="6" t="s">
        <v>1258</v>
      </c>
    </row>
    <row r="710" spans="1:40" x14ac:dyDescent="0.25">
      <c r="A710" s="4">
        <v>45798</v>
      </c>
      <c r="B710" s="6" t="s">
        <v>225</v>
      </c>
      <c r="C710" t="str">
        <f>_xlfn.XLOOKUP(Table3[[#This Row],[station]],station_waterbody_county!A:A, station_waterbody_county!B:B)</f>
        <v>Chedabucto Bay</v>
      </c>
      <c r="D710" t="str">
        <f>_xlfn.XLOOKUP(Table3[[#This Row],[station]],station_waterbody_county!A:A, station_waterbody_county!C:C)</f>
        <v>Guysborough</v>
      </c>
      <c r="E710" s="6"/>
      <c r="F710" s="6" t="s">
        <v>311</v>
      </c>
      <c r="G710" s="4">
        <v>45541</v>
      </c>
      <c r="H710" s="5">
        <v>0.66041666666666665</v>
      </c>
      <c r="I710" s="4"/>
      <c r="J710" s="5"/>
      <c r="K710" s="10"/>
      <c r="O710" s="6" t="s">
        <v>480</v>
      </c>
      <c r="P710" s="6" t="s">
        <v>481</v>
      </c>
      <c r="S710" s="6" t="s">
        <v>239</v>
      </c>
      <c r="T710" s="11">
        <v>21465801</v>
      </c>
      <c r="U710" s="7">
        <v>50</v>
      </c>
      <c r="V710" s="6" t="s">
        <v>36</v>
      </c>
      <c r="W710" s="7"/>
      <c r="X710" s="6" t="s">
        <v>35</v>
      </c>
      <c r="Y710" s="7">
        <v>1.1000000000000001</v>
      </c>
      <c r="Z710" s="7">
        <v>0.5</v>
      </c>
      <c r="AA710" s="6" t="s">
        <v>251</v>
      </c>
      <c r="AB710" s="6" t="s">
        <v>38</v>
      </c>
      <c r="AD710" s="6" t="s">
        <v>39</v>
      </c>
      <c r="AE710" s="6"/>
      <c r="AG710" s="6" t="s">
        <v>286</v>
      </c>
      <c r="AH710" s="7">
        <v>77</v>
      </c>
      <c r="AI710" s="6" t="s">
        <v>40</v>
      </c>
      <c r="AJ710" s="6" t="s">
        <v>238</v>
      </c>
      <c r="AL710" s="6" t="s">
        <v>337</v>
      </c>
      <c r="AN710" s="6" t="s">
        <v>1258</v>
      </c>
    </row>
    <row r="711" spans="1:40" x14ac:dyDescent="0.25">
      <c r="A711" s="4">
        <v>45798</v>
      </c>
      <c r="B711" s="6" t="s">
        <v>225</v>
      </c>
      <c r="C711" t="str">
        <f>_xlfn.XLOOKUP(Table3[[#This Row],[station]],station_waterbody_county!A:A, station_waterbody_county!B:B)</f>
        <v>Chedabucto Bay</v>
      </c>
      <c r="D711" t="str">
        <f>_xlfn.XLOOKUP(Table3[[#This Row],[station]],station_waterbody_county!A:A, station_waterbody_county!C:C)</f>
        <v>Guysborough</v>
      </c>
      <c r="E711" s="6"/>
      <c r="F711" s="6" t="s">
        <v>311</v>
      </c>
      <c r="G711" s="4">
        <v>45541</v>
      </c>
      <c r="H711" s="5">
        <v>0.66041666666666665</v>
      </c>
      <c r="I711" s="4"/>
      <c r="J711" s="5"/>
      <c r="K711" s="10"/>
      <c r="O711" s="6" t="s">
        <v>480</v>
      </c>
      <c r="P711" s="6" t="s">
        <v>481</v>
      </c>
      <c r="S711" s="6" t="s">
        <v>239</v>
      </c>
      <c r="T711" s="11">
        <v>21927310</v>
      </c>
      <c r="U711" s="7">
        <v>60</v>
      </c>
      <c r="V711" s="6" t="s">
        <v>36</v>
      </c>
      <c r="W711" s="7"/>
      <c r="X711" s="6" t="s">
        <v>35</v>
      </c>
      <c r="Y711" s="7">
        <v>1.1000000000000001</v>
      </c>
      <c r="Z711" s="7">
        <v>0.5</v>
      </c>
      <c r="AA711" s="6" t="s">
        <v>251</v>
      </c>
      <c r="AB711" s="6" t="s">
        <v>38</v>
      </c>
      <c r="AD711" s="6" t="s">
        <v>39</v>
      </c>
      <c r="AE711" s="6"/>
      <c r="AG711" s="6" t="s">
        <v>286</v>
      </c>
      <c r="AH711" s="7">
        <v>77</v>
      </c>
      <c r="AI711" s="6" t="s">
        <v>40</v>
      </c>
      <c r="AJ711" s="6" t="s">
        <v>238</v>
      </c>
      <c r="AL711" s="6" t="s">
        <v>337</v>
      </c>
      <c r="AN711" s="6" t="s">
        <v>1258</v>
      </c>
    </row>
    <row r="712" spans="1:40" x14ac:dyDescent="0.25">
      <c r="A712" s="4">
        <v>45798</v>
      </c>
      <c r="B712" s="6" t="s">
        <v>225</v>
      </c>
      <c r="C712" t="str">
        <f>_xlfn.XLOOKUP(Table3[[#This Row],[station]],station_waterbody_county!A:A, station_waterbody_county!B:B)</f>
        <v>Chedabucto Bay</v>
      </c>
      <c r="D712" t="str">
        <f>_xlfn.XLOOKUP(Table3[[#This Row],[station]],station_waterbody_county!A:A, station_waterbody_county!C:C)</f>
        <v>Guysborough</v>
      </c>
      <c r="E712" s="6"/>
      <c r="F712" s="6" t="s">
        <v>311</v>
      </c>
      <c r="G712" s="4">
        <v>45541</v>
      </c>
      <c r="H712" s="5">
        <v>0.66041666666666665</v>
      </c>
      <c r="I712" s="4"/>
      <c r="J712" s="5"/>
      <c r="K712" s="10"/>
      <c r="O712" s="6" t="s">
        <v>480</v>
      </c>
      <c r="P712" s="6" t="s">
        <v>481</v>
      </c>
      <c r="S712" s="6" t="s">
        <v>259</v>
      </c>
      <c r="T712" s="11">
        <v>600015</v>
      </c>
      <c r="U712" s="7">
        <v>75</v>
      </c>
      <c r="V712" s="6" t="s">
        <v>36</v>
      </c>
      <c r="W712" s="7"/>
      <c r="X712" s="6" t="s">
        <v>35</v>
      </c>
      <c r="Y712" s="7">
        <v>1.1000000000000001</v>
      </c>
      <c r="Z712" s="7">
        <v>0.5</v>
      </c>
      <c r="AA712" s="6" t="s">
        <v>251</v>
      </c>
      <c r="AB712" s="6" t="s">
        <v>38</v>
      </c>
      <c r="AD712" s="6" t="s">
        <v>39</v>
      </c>
      <c r="AE712" s="6"/>
      <c r="AG712" s="6" t="s">
        <v>286</v>
      </c>
      <c r="AH712" s="7">
        <v>77</v>
      </c>
      <c r="AI712" s="6" t="s">
        <v>40</v>
      </c>
      <c r="AJ712" s="6" t="s">
        <v>238</v>
      </c>
      <c r="AL712" s="6" t="s">
        <v>337</v>
      </c>
      <c r="AN712" s="6" t="s">
        <v>1258</v>
      </c>
    </row>
    <row r="713" spans="1:40" hidden="1" x14ac:dyDescent="0.25">
      <c r="A713" s="4">
        <v>45890</v>
      </c>
      <c r="B713" s="6" t="s">
        <v>1414</v>
      </c>
      <c r="C713" s="6" t="str">
        <f>_xlfn.XLOOKUP(Table3[[#This Row],[station]],station_waterbody_county!A:A, station_waterbody_county!B:B)</f>
        <v>St. Marys Bay</v>
      </c>
      <c r="D713" s="3" t="str">
        <f>_xlfn.XLOOKUP(Table3[[#This Row],[station]],station_waterbody_county!A:A, station_waterbody_county!C:C)</f>
        <v>Digby</v>
      </c>
      <c r="E713" s="6"/>
      <c r="F713" s="6" t="s">
        <v>34</v>
      </c>
      <c r="G713" s="12">
        <v>45888</v>
      </c>
      <c r="H713" s="5">
        <v>0.56597222222222221</v>
      </c>
      <c r="I713" s="4"/>
      <c r="J713" s="5"/>
      <c r="K713" s="10"/>
      <c r="O713" s="6" t="s">
        <v>1415</v>
      </c>
      <c r="P713" s="6" t="s">
        <v>1416</v>
      </c>
      <c r="S713" s="6" t="s">
        <v>239</v>
      </c>
      <c r="T713" s="11">
        <v>22285904</v>
      </c>
      <c r="U713" s="7">
        <v>2</v>
      </c>
      <c r="V713" s="6" t="s">
        <v>36</v>
      </c>
      <c r="W713" s="7">
        <v>30.8</v>
      </c>
      <c r="X713" s="6" t="s">
        <v>35</v>
      </c>
      <c r="Y713" s="7">
        <v>3.8</v>
      </c>
      <c r="Z713" s="7">
        <v>1</v>
      </c>
      <c r="AA713" s="6" t="s">
        <v>251</v>
      </c>
      <c r="AB713" s="6" t="s">
        <v>1417</v>
      </c>
      <c r="AD713" s="6" t="s">
        <v>39</v>
      </c>
      <c r="AE713" s="6" t="s">
        <v>1244</v>
      </c>
      <c r="AF713" s="11">
        <v>1</v>
      </c>
      <c r="AG713" s="6" t="s">
        <v>37</v>
      </c>
      <c r="AH713" s="7">
        <v>60</v>
      </c>
      <c r="AI713" s="6" t="s">
        <v>40</v>
      </c>
      <c r="AJ713" s="6" t="s">
        <v>238</v>
      </c>
      <c r="AK713" s="6" t="s">
        <v>241</v>
      </c>
      <c r="AL713" s="6" t="s">
        <v>41</v>
      </c>
    </row>
    <row r="714" spans="1:40" hidden="1" x14ac:dyDescent="0.25">
      <c r="A714" s="4">
        <v>45890</v>
      </c>
      <c r="B714" s="6" t="s">
        <v>1414</v>
      </c>
      <c r="C714" s="6" t="str">
        <f>_xlfn.XLOOKUP(Table3[[#This Row],[station]],station_waterbody_county!A:A, station_waterbody_county!B:B)</f>
        <v>St. Marys Bay</v>
      </c>
      <c r="D714" s="3" t="str">
        <f>_xlfn.XLOOKUP(Table3[[#This Row],[station]],station_waterbody_county!A:A, station_waterbody_county!C:C)</f>
        <v>Digby</v>
      </c>
      <c r="E714" s="6"/>
      <c r="F714" s="6" t="s">
        <v>34</v>
      </c>
      <c r="G714" s="12">
        <v>45888</v>
      </c>
      <c r="H714" s="5">
        <v>0.56597222222222221</v>
      </c>
      <c r="I714" s="4"/>
      <c r="J714" s="5"/>
      <c r="K714" s="10"/>
      <c r="O714" s="6" t="s">
        <v>1415</v>
      </c>
      <c r="P714" s="6" t="s">
        <v>1416</v>
      </c>
      <c r="S714" s="6" t="s">
        <v>240</v>
      </c>
      <c r="T714" s="11">
        <v>671424</v>
      </c>
      <c r="U714" s="7">
        <v>5</v>
      </c>
      <c r="V714" s="6" t="s">
        <v>36</v>
      </c>
      <c r="W714" s="7">
        <v>30.8</v>
      </c>
      <c r="X714" s="6" t="s">
        <v>35</v>
      </c>
      <c r="Y714" s="7">
        <v>3.8</v>
      </c>
      <c r="Z714" s="7">
        <v>1</v>
      </c>
      <c r="AA714" s="6" t="s">
        <v>251</v>
      </c>
      <c r="AB714" s="6" t="s">
        <v>1417</v>
      </c>
      <c r="AD714" s="6" t="s">
        <v>39</v>
      </c>
      <c r="AE714" s="6" t="s">
        <v>1244</v>
      </c>
      <c r="AF714" s="11">
        <v>1</v>
      </c>
      <c r="AG714" s="6" t="s">
        <v>37</v>
      </c>
      <c r="AH714" s="7">
        <v>60</v>
      </c>
      <c r="AI714" s="6" t="s">
        <v>40</v>
      </c>
      <c r="AJ714" s="6" t="s">
        <v>238</v>
      </c>
      <c r="AK714" s="6" t="s">
        <v>241</v>
      </c>
      <c r="AL714" s="6" t="s">
        <v>41</v>
      </c>
    </row>
    <row r="715" spans="1:40" hidden="1" x14ac:dyDescent="0.25">
      <c r="A715" s="4">
        <v>45890</v>
      </c>
      <c r="B715" s="6" t="s">
        <v>1414</v>
      </c>
      <c r="C715" s="6" t="str">
        <f>_xlfn.XLOOKUP(Table3[[#This Row],[station]],station_waterbody_county!A:A, station_waterbody_county!B:B)</f>
        <v>St. Marys Bay</v>
      </c>
      <c r="D715" s="3" t="str">
        <f>_xlfn.XLOOKUP(Table3[[#This Row],[station]],station_waterbody_county!A:A, station_waterbody_county!C:C)</f>
        <v>Digby</v>
      </c>
      <c r="E715" s="6"/>
      <c r="F715" s="6" t="s">
        <v>34</v>
      </c>
      <c r="G715" s="12">
        <v>45888</v>
      </c>
      <c r="H715" s="5">
        <v>0.56597222222222221</v>
      </c>
      <c r="I715" s="4"/>
      <c r="J715" s="5"/>
      <c r="K715" s="10"/>
      <c r="O715" s="6" t="s">
        <v>1415</v>
      </c>
      <c r="P715" s="6" t="s">
        <v>1416</v>
      </c>
      <c r="S715" s="6" t="s">
        <v>239</v>
      </c>
      <c r="T715" s="11">
        <v>21465809</v>
      </c>
      <c r="U715" s="7">
        <v>10</v>
      </c>
      <c r="V715" s="6" t="s">
        <v>36</v>
      </c>
      <c r="W715" s="7">
        <v>30.8</v>
      </c>
      <c r="X715" s="6" t="s">
        <v>35</v>
      </c>
      <c r="Y715" s="7">
        <v>3.8</v>
      </c>
      <c r="Z715" s="7">
        <v>1</v>
      </c>
      <c r="AA715" s="6" t="s">
        <v>251</v>
      </c>
      <c r="AB715" s="6" t="s">
        <v>1417</v>
      </c>
      <c r="AD715" s="6" t="s">
        <v>39</v>
      </c>
      <c r="AE715" s="6" t="s">
        <v>1244</v>
      </c>
      <c r="AF715" s="11">
        <v>1</v>
      </c>
      <c r="AG715" s="6" t="s">
        <v>37</v>
      </c>
      <c r="AH715" s="7">
        <v>60</v>
      </c>
      <c r="AI715" s="6" t="s">
        <v>40</v>
      </c>
      <c r="AJ715" s="6" t="s">
        <v>238</v>
      </c>
      <c r="AK715" s="6" t="s">
        <v>241</v>
      </c>
      <c r="AL715" s="6" t="s">
        <v>41</v>
      </c>
    </row>
    <row r="716" spans="1:40" hidden="1" x14ac:dyDescent="0.25">
      <c r="A716" s="4">
        <v>45890</v>
      </c>
      <c r="B716" s="6" t="s">
        <v>1414</v>
      </c>
      <c r="C716" s="6" t="str">
        <f>_xlfn.XLOOKUP(Table3[[#This Row],[station]],station_waterbody_county!A:A, station_waterbody_county!B:B)</f>
        <v>St. Marys Bay</v>
      </c>
      <c r="D716" s="3" t="str">
        <f>_xlfn.XLOOKUP(Table3[[#This Row],[station]],station_waterbody_county!A:A, station_waterbody_county!C:C)</f>
        <v>Digby</v>
      </c>
      <c r="E716" s="6"/>
      <c r="F716" s="6" t="s">
        <v>34</v>
      </c>
      <c r="G716" s="12">
        <v>45888</v>
      </c>
      <c r="H716" s="5">
        <v>0.56597222222222221</v>
      </c>
      <c r="I716" s="4"/>
      <c r="J716" s="5"/>
      <c r="K716" s="10"/>
      <c r="O716" s="6" t="s">
        <v>1415</v>
      </c>
      <c r="P716" s="6" t="s">
        <v>1416</v>
      </c>
      <c r="S716" s="6" t="s">
        <v>239</v>
      </c>
      <c r="T716" s="11">
        <v>22311513</v>
      </c>
      <c r="U716" s="7">
        <v>15</v>
      </c>
      <c r="V716" s="6" t="s">
        <v>36</v>
      </c>
      <c r="W716" s="7">
        <v>30.8</v>
      </c>
      <c r="X716" s="6" t="s">
        <v>35</v>
      </c>
      <c r="Y716" s="7">
        <v>3.8</v>
      </c>
      <c r="Z716" s="7">
        <v>1</v>
      </c>
      <c r="AA716" s="6" t="s">
        <v>251</v>
      </c>
      <c r="AB716" s="6" t="s">
        <v>1417</v>
      </c>
      <c r="AD716" s="6" t="s">
        <v>39</v>
      </c>
      <c r="AE716" s="6" t="s">
        <v>1244</v>
      </c>
      <c r="AF716" s="11">
        <v>1</v>
      </c>
      <c r="AG716" s="6" t="s">
        <v>37</v>
      </c>
      <c r="AH716" s="7">
        <v>60</v>
      </c>
      <c r="AI716" s="6" t="s">
        <v>40</v>
      </c>
      <c r="AJ716" s="6" t="s">
        <v>238</v>
      </c>
      <c r="AK716" s="6" t="s">
        <v>241</v>
      </c>
      <c r="AL716" s="6" t="s">
        <v>41</v>
      </c>
    </row>
    <row r="717" spans="1:40" hidden="1" x14ac:dyDescent="0.25">
      <c r="A717" s="4">
        <v>45890</v>
      </c>
      <c r="B717" s="6" t="s">
        <v>1414</v>
      </c>
      <c r="C717" s="6" t="str">
        <f>_xlfn.XLOOKUP(Table3[[#This Row],[station]],station_waterbody_county!A:A, station_waterbody_county!B:B)</f>
        <v>St. Marys Bay</v>
      </c>
      <c r="D717" s="3" t="str">
        <f>_xlfn.XLOOKUP(Table3[[#This Row],[station]],station_waterbody_county!A:A, station_waterbody_county!C:C)</f>
        <v>Digby</v>
      </c>
      <c r="E717" s="6"/>
      <c r="F717" s="6" t="s">
        <v>34</v>
      </c>
      <c r="G717" s="12">
        <v>45888</v>
      </c>
      <c r="H717" s="5">
        <v>0.56597222222222221</v>
      </c>
      <c r="I717" s="4"/>
      <c r="J717" s="5"/>
      <c r="K717" s="10"/>
      <c r="O717" s="6" t="s">
        <v>1415</v>
      </c>
      <c r="P717" s="6" t="s">
        <v>1416</v>
      </c>
      <c r="S717" s="6" t="s">
        <v>239</v>
      </c>
      <c r="T717" s="11">
        <v>21465762</v>
      </c>
      <c r="U717" s="7">
        <v>20</v>
      </c>
      <c r="V717" s="6" t="s">
        <v>36</v>
      </c>
      <c r="W717" s="7">
        <v>30.8</v>
      </c>
      <c r="X717" s="6" t="s">
        <v>35</v>
      </c>
      <c r="Y717" s="7">
        <v>3.8</v>
      </c>
      <c r="Z717" s="7">
        <v>1</v>
      </c>
      <c r="AA717" s="6" t="s">
        <v>251</v>
      </c>
      <c r="AB717" s="6" t="s">
        <v>1417</v>
      </c>
      <c r="AD717" s="6" t="s">
        <v>39</v>
      </c>
      <c r="AE717" s="6" t="s">
        <v>1244</v>
      </c>
      <c r="AF717" s="11">
        <v>1</v>
      </c>
      <c r="AG717" s="6" t="s">
        <v>37</v>
      </c>
      <c r="AH717" s="7">
        <v>60</v>
      </c>
      <c r="AI717" s="6" t="s">
        <v>40</v>
      </c>
      <c r="AJ717" s="6" t="s">
        <v>238</v>
      </c>
      <c r="AK717" s="6" t="s">
        <v>241</v>
      </c>
      <c r="AL717" s="6" t="s">
        <v>41</v>
      </c>
    </row>
    <row r="718" spans="1:40" hidden="1" x14ac:dyDescent="0.25">
      <c r="A718" s="4">
        <v>45890</v>
      </c>
      <c r="B718" s="6" t="s">
        <v>1414</v>
      </c>
      <c r="C718" s="6" t="str">
        <f>_xlfn.XLOOKUP(Table3[[#This Row],[station]],station_waterbody_county!A:A, station_waterbody_county!B:B)</f>
        <v>St. Marys Bay</v>
      </c>
      <c r="D718" s="3" t="str">
        <f>_xlfn.XLOOKUP(Table3[[#This Row],[station]],station_waterbody_county!A:A, station_waterbody_county!C:C)</f>
        <v>Digby</v>
      </c>
      <c r="E718" s="6"/>
      <c r="F718" s="6" t="s">
        <v>34</v>
      </c>
      <c r="G718" s="12">
        <v>45888</v>
      </c>
      <c r="H718" s="5">
        <v>0.56597222222222221</v>
      </c>
      <c r="I718" s="4"/>
      <c r="J718" s="5"/>
      <c r="K718" s="10"/>
      <c r="O718" s="6" t="s">
        <v>1415</v>
      </c>
      <c r="P718" s="6" t="s">
        <v>1416</v>
      </c>
      <c r="S718" s="6" t="s">
        <v>42</v>
      </c>
      <c r="T718" s="11">
        <v>547099</v>
      </c>
      <c r="U718" s="7">
        <v>25</v>
      </c>
      <c r="V718" s="6" t="s">
        <v>36</v>
      </c>
      <c r="W718" s="7">
        <v>30.8</v>
      </c>
      <c r="X718" s="6" t="s">
        <v>35</v>
      </c>
      <c r="Y718" s="7">
        <v>3.8</v>
      </c>
      <c r="Z718" s="7">
        <v>1</v>
      </c>
      <c r="AA718" s="6" t="s">
        <v>251</v>
      </c>
      <c r="AB718" s="6" t="s">
        <v>1417</v>
      </c>
      <c r="AD718" s="6" t="s">
        <v>39</v>
      </c>
      <c r="AE718" s="6" t="s">
        <v>1244</v>
      </c>
      <c r="AF718" s="11">
        <v>1</v>
      </c>
      <c r="AG718" s="6" t="s">
        <v>37</v>
      </c>
      <c r="AH718" s="7">
        <v>60</v>
      </c>
      <c r="AI718" s="6" t="s">
        <v>40</v>
      </c>
      <c r="AJ718" s="6" t="s">
        <v>238</v>
      </c>
      <c r="AK718" s="6" t="s">
        <v>241</v>
      </c>
      <c r="AL718" s="6" t="s">
        <v>41</v>
      </c>
    </row>
    <row r="719" spans="1:40" hidden="1" x14ac:dyDescent="0.25">
      <c r="A719" s="4">
        <v>45890</v>
      </c>
      <c r="B719" s="6" t="s">
        <v>1414</v>
      </c>
      <c r="C719" s="6" t="str">
        <f>_xlfn.XLOOKUP(Table3[[#This Row],[station]],station_waterbody_county!A:A, station_waterbody_county!B:B)</f>
        <v>St. Marys Bay</v>
      </c>
      <c r="D719" s="3" t="str">
        <f>_xlfn.XLOOKUP(Table3[[#This Row],[station]],station_waterbody_county!A:A, station_waterbody_county!C:C)</f>
        <v>Digby</v>
      </c>
      <c r="E719" s="6"/>
      <c r="F719" s="6" t="s">
        <v>34</v>
      </c>
      <c r="G719" s="12">
        <v>45888</v>
      </c>
      <c r="H719" s="5">
        <v>0.56597222222222221</v>
      </c>
      <c r="I719" s="4"/>
      <c r="J719" s="5"/>
      <c r="K719" s="10"/>
      <c r="O719" s="6" t="s">
        <v>1415</v>
      </c>
      <c r="P719" s="6" t="s">
        <v>1416</v>
      </c>
      <c r="S719" s="6" t="s">
        <v>239</v>
      </c>
      <c r="T719" s="11">
        <v>22309997</v>
      </c>
      <c r="U719" s="7">
        <v>25</v>
      </c>
      <c r="V719" s="6" t="s">
        <v>36</v>
      </c>
      <c r="W719" s="7">
        <v>30.8</v>
      </c>
      <c r="X719" s="6" t="s">
        <v>35</v>
      </c>
      <c r="Y719" s="7">
        <v>3.8</v>
      </c>
      <c r="Z719" s="7">
        <v>1</v>
      </c>
      <c r="AA719" s="6" t="s">
        <v>251</v>
      </c>
      <c r="AB719" s="6" t="s">
        <v>1417</v>
      </c>
      <c r="AD719" s="6" t="s">
        <v>39</v>
      </c>
      <c r="AE719" s="6" t="s">
        <v>1244</v>
      </c>
      <c r="AF719" s="11">
        <v>1</v>
      </c>
      <c r="AG719" s="6" t="s">
        <v>37</v>
      </c>
      <c r="AH719" s="7">
        <v>60</v>
      </c>
      <c r="AI719" s="6" t="s">
        <v>40</v>
      </c>
      <c r="AJ719" s="6" t="s">
        <v>238</v>
      </c>
      <c r="AK719" s="6" t="s">
        <v>241</v>
      </c>
      <c r="AL719" s="6" t="s">
        <v>41</v>
      </c>
    </row>
    <row r="720" spans="1:40" x14ac:dyDescent="0.25">
      <c r="A720" s="4">
        <v>45911</v>
      </c>
      <c r="B720" s="6" t="s">
        <v>226</v>
      </c>
      <c r="C720" t="str">
        <f>_xlfn.XLOOKUP(Table3[[#This Row],[station]],station_waterbody_county!A:A, station_waterbody_county!B:B)</f>
        <v>St. Margarets Bay</v>
      </c>
      <c r="D720" t="str">
        <f>_xlfn.XLOOKUP(Table3[[#This Row],[station]],station_waterbody_county!A:A, station_waterbody_county!C:C)</f>
        <v>Lunenburg</v>
      </c>
      <c r="E720" s="6"/>
      <c r="F720" s="6" t="s">
        <v>311</v>
      </c>
      <c r="G720" s="4">
        <v>45617</v>
      </c>
      <c r="H720" s="5">
        <v>0.68125000000000002</v>
      </c>
      <c r="I720" s="4"/>
      <c r="J720" s="5"/>
      <c r="K720" s="10"/>
      <c r="O720" s="6" t="s">
        <v>599</v>
      </c>
      <c r="P720" s="6" t="s">
        <v>600</v>
      </c>
      <c r="S720" s="6" t="s">
        <v>239</v>
      </c>
      <c r="T720" s="11">
        <v>21082890</v>
      </c>
      <c r="U720" s="7">
        <v>2</v>
      </c>
      <c r="V720" s="6" t="s">
        <v>36</v>
      </c>
      <c r="W720" s="7">
        <v>43.3</v>
      </c>
      <c r="X720" s="6" t="s">
        <v>35</v>
      </c>
      <c r="Y720" s="7">
        <v>1.7</v>
      </c>
      <c r="Z720" s="7">
        <v>1</v>
      </c>
      <c r="AA720" s="6" t="s">
        <v>370</v>
      </c>
      <c r="AB720" s="6" t="s">
        <v>38</v>
      </c>
      <c r="AD720" s="6" t="s">
        <v>39</v>
      </c>
      <c r="AE720" s="6"/>
      <c r="AG720" s="6" t="s">
        <v>37</v>
      </c>
      <c r="AH720" s="7">
        <v>60</v>
      </c>
      <c r="AI720" s="6" t="s">
        <v>40</v>
      </c>
      <c r="AJ720" s="6" t="s">
        <v>238</v>
      </c>
      <c r="AL720" s="6" t="s">
        <v>41</v>
      </c>
      <c r="AN720" s="6" t="s">
        <v>1421</v>
      </c>
    </row>
    <row r="721" spans="1:40" x14ac:dyDescent="0.25">
      <c r="A721" s="4">
        <v>45911</v>
      </c>
      <c r="B721" s="6" t="s">
        <v>226</v>
      </c>
      <c r="C721" t="str">
        <f>_xlfn.XLOOKUP(Table3[[#This Row],[station]],station_waterbody_county!A:A, station_waterbody_county!B:B)</f>
        <v>St. Margarets Bay</v>
      </c>
      <c r="D721" t="str">
        <f>_xlfn.XLOOKUP(Table3[[#This Row],[station]],station_waterbody_county!A:A, station_waterbody_county!C:C)</f>
        <v>Lunenburg</v>
      </c>
      <c r="E721" s="6"/>
      <c r="F721" s="6" t="s">
        <v>311</v>
      </c>
      <c r="G721" s="4">
        <v>45617</v>
      </c>
      <c r="H721" s="5">
        <v>0.68125000000000002</v>
      </c>
      <c r="I721" s="4"/>
      <c r="J721" s="5"/>
      <c r="K721" s="10"/>
      <c r="O721" s="6" t="s">
        <v>599</v>
      </c>
      <c r="P721" s="6" t="s">
        <v>600</v>
      </c>
      <c r="S721" s="6" t="s">
        <v>244</v>
      </c>
      <c r="T721" s="11">
        <v>21309145</v>
      </c>
      <c r="U721" s="7">
        <v>5</v>
      </c>
      <c r="V721" s="6" t="s">
        <v>36</v>
      </c>
      <c r="W721" s="7">
        <v>43.3</v>
      </c>
      <c r="X721" s="6" t="s">
        <v>35</v>
      </c>
      <c r="Y721" s="7">
        <v>1.7</v>
      </c>
      <c r="Z721" s="7">
        <v>1</v>
      </c>
      <c r="AA721" s="6" t="s">
        <v>370</v>
      </c>
      <c r="AB721" s="6" t="s">
        <v>38</v>
      </c>
      <c r="AD721" s="6" t="s">
        <v>39</v>
      </c>
      <c r="AE721" s="6"/>
      <c r="AG721" s="6" t="s">
        <v>37</v>
      </c>
      <c r="AH721" s="7">
        <v>60</v>
      </c>
      <c r="AI721" s="6" t="s">
        <v>40</v>
      </c>
      <c r="AJ721" s="6" t="s">
        <v>238</v>
      </c>
      <c r="AL721" s="6" t="s">
        <v>41</v>
      </c>
      <c r="AN721" s="6" t="s">
        <v>1421</v>
      </c>
    </row>
    <row r="722" spans="1:40" x14ac:dyDescent="0.25">
      <c r="A722" s="4">
        <v>45911</v>
      </c>
      <c r="B722" s="6" t="s">
        <v>226</v>
      </c>
      <c r="C722" t="str">
        <f>_xlfn.XLOOKUP(Table3[[#This Row],[station]],station_waterbody_county!A:A, station_waterbody_county!B:B)</f>
        <v>St. Margarets Bay</v>
      </c>
      <c r="D722" t="str">
        <f>_xlfn.XLOOKUP(Table3[[#This Row],[station]],station_waterbody_county!A:A, station_waterbody_county!C:C)</f>
        <v>Lunenburg</v>
      </c>
      <c r="E722" s="6"/>
      <c r="F722" s="6" t="s">
        <v>311</v>
      </c>
      <c r="G722" s="4">
        <v>45617</v>
      </c>
      <c r="H722" s="5">
        <v>0.68125000000000002</v>
      </c>
      <c r="I722" s="4"/>
      <c r="J722" s="5"/>
      <c r="K722" s="10"/>
      <c r="O722" s="6" t="s">
        <v>599</v>
      </c>
      <c r="P722" s="6" t="s">
        <v>600</v>
      </c>
      <c r="S722" s="6" t="s">
        <v>239</v>
      </c>
      <c r="T722" s="11">
        <v>21465757</v>
      </c>
      <c r="U722" s="7">
        <v>10</v>
      </c>
      <c r="V722" s="6" t="s">
        <v>36</v>
      </c>
      <c r="W722" s="7">
        <v>43.3</v>
      </c>
      <c r="X722" s="6" t="s">
        <v>35</v>
      </c>
      <c r="Y722" s="7">
        <v>1.7</v>
      </c>
      <c r="Z722" s="7">
        <v>1</v>
      </c>
      <c r="AA722" s="6" t="s">
        <v>370</v>
      </c>
      <c r="AB722" s="6" t="s">
        <v>38</v>
      </c>
      <c r="AD722" s="6" t="s">
        <v>39</v>
      </c>
      <c r="AE722" s="6"/>
      <c r="AG722" s="6" t="s">
        <v>37</v>
      </c>
      <c r="AH722" s="7">
        <v>60</v>
      </c>
      <c r="AI722" s="6" t="s">
        <v>40</v>
      </c>
      <c r="AJ722" s="6" t="s">
        <v>238</v>
      </c>
      <c r="AL722" s="6" t="s">
        <v>41</v>
      </c>
      <c r="AN722" s="6" t="s">
        <v>1421</v>
      </c>
    </row>
    <row r="723" spans="1:40" x14ac:dyDescent="0.25">
      <c r="A723" s="4">
        <v>45911</v>
      </c>
      <c r="B723" s="6" t="s">
        <v>226</v>
      </c>
      <c r="C723" t="str">
        <f>_xlfn.XLOOKUP(Table3[[#This Row],[station]],station_waterbody_county!A:A, station_waterbody_county!B:B)</f>
        <v>St. Margarets Bay</v>
      </c>
      <c r="D723" t="str">
        <f>_xlfn.XLOOKUP(Table3[[#This Row],[station]],station_waterbody_county!A:A, station_waterbody_county!C:C)</f>
        <v>Lunenburg</v>
      </c>
      <c r="E723" s="6"/>
      <c r="F723" s="6" t="s">
        <v>310</v>
      </c>
      <c r="G723" s="4">
        <v>45617</v>
      </c>
      <c r="H723" s="5">
        <v>0.68125000000000002</v>
      </c>
      <c r="I723" s="4">
        <v>45779</v>
      </c>
      <c r="J723" s="5">
        <v>0.5</v>
      </c>
      <c r="K723" s="10"/>
      <c r="O723" s="6" t="s">
        <v>599</v>
      </c>
      <c r="P723" s="6" t="s">
        <v>600</v>
      </c>
      <c r="Q723" s="6" t="s">
        <v>599</v>
      </c>
      <c r="R723" s="6" t="s">
        <v>600</v>
      </c>
      <c r="S723" s="6" t="s">
        <v>239</v>
      </c>
      <c r="T723" s="11">
        <v>22048608</v>
      </c>
      <c r="U723" s="7">
        <v>15</v>
      </c>
      <c r="V723" s="6" t="s">
        <v>36</v>
      </c>
      <c r="W723" s="7">
        <v>43.3</v>
      </c>
      <c r="X723" s="6" t="s">
        <v>35</v>
      </c>
      <c r="Y723" s="7">
        <v>1.7</v>
      </c>
      <c r="Z723" s="7">
        <v>1</v>
      </c>
      <c r="AA723" s="6" t="s">
        <v>370</v>
      </c>
      <c r="AB723" s="6" t="s">
        <v>38</v>
      </c>
      <c r="AD723" s="6" t="s">
        <v>39</v>
      </c>
      <c r="AE723" s="6"/>
      <c r="AG723" s="6" t="s">
        <v>37</v>
      </c>
      <c r="AH723" s="7">
        <v>60</v>
      </c>
      <c r="AI723" s="6" t="s">
        <v>40</v>
      </c>
      <c r="AJ723" s="6" t="s">
        <v>238</v>
      </c>
      <c r="AL723" s="6" t="s">
        <v>41</v>
      </c>
      <c r="AM723" s="6" t="s">
        <v>41</v>
      </c>
      <c r="AN723" s="6" t="s">
        <v>1422</v>
      </c>
    </row>
    <row r="724" spans="1:40" x14ac:dyDescent="0.25">
      <c r="A724" s="4">
        <v>45911</v>
      </c>
      <c r="B724" s="6" t="s">
        <v>226</v>
      </c>
      <c r="C724" t="str">
        <f>_xlfn.XLOOKUP(Table3[[#This Row],[station]],station_waterbody_county!A:A, station_waterbody_county!B:B)</f>
        <v>St. Margarets Bay</v>
      </c>
      <c r="D724" t="str">
        <f>_xlfn.XLOOKUP(Table3[[#This Row],[station]],station_waterbody_county!A:A, station_waterbody_county!C:C)</f>
        <v>Lunenburg</v>
      </c>
      <c r="E724" s="6"/>
      <c r="F724" s="6" t="s">
        <v>310</v>
      </c>
      <c r="G724" s="4">
        <v>45617</v>
      </c>
      <c r="H724" s="5">
        <v>0.68125000000000002</v>
      </c>
      <c r="I724" s="4">
        <v>45779</v>
      </c>
      <c r="J724" s="5">
        <v>0.5</v>
      </c>
      <c r="K724" s="10"/>
      <c r="O724" s="6" t="s">
        <v>599</v>
      </c>
      <c r="P724" s="6" t="s">
        <v>600</v>
      </c>
      <c r="Q724" s="6" t="s">
        <v>599</v>
      </c>
      <c r="R724" s="6" t="s">
        <v>600</v>
      </c>
      <c r="S724" s="6" t="s">
        <v>239</v>
      </c>
      <c r="T724" s="11">
        <v>21927301</v>
      </c>
      <c r="U724" s="7">
        <v>20</v>
      </c>
      <c r="V724" s="6" t="s">
        <v>36</v>
      </c>
      <c r="W724" s="7">
        <v>43.3</v>
      </c>
      <c r="X724" s="6" t="s">
        <v>35</v>
      </c>
      <c r="Y724" s="7">
        <v>1.7</v>
      </c>
      <c r="Z724" s="7">
        <v>1</v>
      </c>
      <c r="AA724" s="6" t="s">
        <v>370</v>
      </c>
      <c r="AB724" s="6" t="s">
        <v>38</v>
      </c>
      <c r="AD724" s="6" t="s">
        <v>39</v>
      </c>
      <c r="AE724" s="6"/>
      <c r="AG724" s="6" t="s">
        <v>37</v>
      </c>
      <c r="AH724" s="7">
        <v>60</v>
      </c>
      <c r="AI724" s="6" t="s">
        <v>40</v>
      </c>
      <c r="AJ724" s="6" t="s">
        <v>238</v>
      </c>
      <c r="AL724" s="6" t="s">
        <v>41</v>
      </c>
      <c r="AM724" s="6" t="s">
        <v>41</v>
      </c>
      <c r="AN724" s="6" t="s">
        <v>1422</v>
      </c>
    </row>
    <row r="725" spans="1:40" x14ac:dyDescent="0.25">
      <c r="A725" s="4">
        <v>45911</v>
      </c>
      <c r="B725" s="6" t="s">
        <v>226</v>
      </c>
      <c r="C725" t="str">
        <f>_xlfn.XLOOKUP(Table3[[#This Row],[station]],station_waterbody_county!A:A, station_waterbody_county!B:B)</f>
        <v>St. Margarets Bay</v>
      </c>
      <c r="D725" t="str">
        <f>_xlfn.XLOOKUP(Table3[[#This Row],[station]],station_waterbody_county!A:A, station_waterbody_county!C:C)</f>
        <v>Lunenburg</v>
      </c>
      <c r="E725" s="6"/>
      <c r="F725" s="6" t="s">
        <v>310</v>
      </c>
      <c r="G725" s="4">
        <v>45617</v>
      </c>
      <c r="H725" s="5">
        <v>0.68125000000000002</v>
      </c>
      <c r="I725" s="4">
        <v>45779</v>
      </c>
      <c r="J725" s="5">
        <v>0.5</v>
      </c>
      <c r="K725" s="10"/>
      <c r="O725" s="6" t="s">
        <v>599</v>
      </c>
      <c r="P725" s="6" t="s">
        <v>600</v>
      </c>
      <c r="Q725" s="6" t="s">
        <v>599</v>
      </c>
      <c r="R725" s="6" t="s">
        <v>600</v>
      </c>
      <c r="S725" s="6" t="s">
        <v>239</v>
      </c>
      <c r="T725" s="11">
        <v>22030587</v>
      </c>
      <c r="U725" s="7">
        <v>25</v>
      </c>
      <c r="V725" s="6" t="s">
        <v>36</v>
      </c>
      <c r="W725" s="7">
        <v>43.3</v>
      </c>
      <c r="X725" s="6" t="s">
        <v>35</v>
      </c>
      <c r="Y725" s="7">
        <v>1.7</v>
      </c>
      <c r="Z725" s="7">
        <v>1</v>
      </c>
      <c r="AA725" s="6" t="s">
        <v>370</v>
      </c>
      <c r="AB725" s="6" t="s">
        <v>38</v>
      </c>
      <c r="AD725" s="6" t="s">
        <v>39</v>
      </c>
      <c r="AE725" s="6"/>
      <c r="AG725" s="6" t="s">
        <v>37</v>
      </c>
      <c r="AH725" s="7">
        <v>60</v>
      </c>
      <c r="AI725" s="6" t="s">
        <v>40</v>
      </c>
      <c r="AJ725" s="6" t="s">
        <v>238</v>
      </c>
      <c r="AL725" s="6" t="s">
        <v>41</v>
      </c>
      <c r="AM725" s="6" t="s">
        <v>41</v>
      </c>
      <c r="AN725" s="6" t="s">
        <v>1422</v>
      </c>
    </row>
    <row r="726" spans="1:40" x14ac:dyDescent="0.25">
      <c r="A726" s="4">
        <v>45911</v>
      </c>
      <c r="B726" s="6" t="s">
        <v>226</v>
      </c>
      <c r="C726" t="str">
        <f>_xlfn.XLOOKUP(Table3[[#This Row],[station]],station_waterbody_county!A:A, station_waterbody_county!B:B)</f>
        <v>St. Margarets Bay</v>
      </c>
      <c r="D726" t="str">
        <f>_xlfn.XLOOKUP(Table3[[#This Row],[station]],station_waterbody_county!A:A, station_waterbody_county!C:C)</f>
        <v>Lunenburg</v>
      </c>
      <c r="E726" s="6"/>
      <c r="F726" s="6" t="s">
        <v>311</v>
      </c>
      <c r="G726" s="4">
        <v>45617</v>
      </c>
      <c r="H726" s="5">
        <v>0.68125000000000002</v>
      </c>
      <c r="I726" s="4"/>
      <c r="J726" s="5"/>
      <c r="K726" s="10"/>
      <c r="O726" s="6" t="s">
        <v>599</v>
      </c>
      <c r="P726" s="6" t="s">
        <v>600</v>
      </c>
      <c r="S726" s="6" t="s">
        <v>239</v>
      </c>
      <c r="T726" s="11">
        <v>20495253</v>
      </c>
      <c r="U726" s="7">
        <v>30</v>
      </c>
      <c r="V726" s="6" t="s">
        <v>36</v>
      </c>
      <c r="W726" s="7">
        <v>43.3</v>
      </c>
      <c r="X726" s="6" t="s">
        <v>35</v>
      </c>
      <c r="Y726" s="7">
        <v>1.7</v>
      </c>
      <c r="Z726" s="7">
        <v>1</v>
      </c>
      <c r="AA726" s="6" t="s">
        <v>370</v>
      </c>
      <c r="AB726" s="6" t="s">
        <v>38</v>
      </c>
      <c r="AD726" s="6" t="s">
        <v>39</v>
      </c>
      <c r="AE726" s="6"/>
      <c r="AG726" s="6" t="s">
        <v>37</v>
      </c>
      <c r="AH726" s="7">
        <v>60</v>
      </c>
      <c r="AI726" s="6" t="s">
        <v>40</v>
      </c>
      <c r="AJ726" s="6" t="s">
        <v>238</v>
      </c>
      <c r="AL726" s="6" t="s">
        <v>41</v>
      </c>
      <c r="AN726" s="6" t="s">
        <v>1421</v>
      </c>
    </row>
    <row r="727" spans="1:40" x14ac:dyDescent="0.25">
      <c r="A727" s="4">
        <v>45911</v>
      </c>
      <c r="B727" s="6" t="s">
        <v>226</v>
      </c>
      <c r="C727" t="str">
        <f>_xlfn.XLOOKUP(Table3[[#This Row],[station]],station_waterbody_county!A:A, station_waterbody_county!B:B)</f>
        <v>St. Margarets Bay</v>
      </c>
      <c r="D727" t="str">
        <f>_xlfn.XLOOKUP(Table3[[#This Row],[station]],station_waterbody_county!A:A, station_waterbody_county!C:C)</f>
        <v>Lunenburg</v>
      </c>
      <c r="E727" s="6"/>
      <c r="F727" s="6" t="s">
        <v>310</v>
      </c>
      <c r="G727" s="4">
        <v>45617</v>
      </c>
      <c r="H727" s="5">
        <v>0.68125000000000002</v>
      </c>
      <c r="I727" s="4">
        <v>45779</v>
      </c>
      <c r="J727" s="5">
        <v>0.5</v>
      </c>
      <c r="K727" s="10"/>
      <c r="O727" s="6" t="s">
        <v>599</v>
      </c>
      <c r="P727" s="6" t="s">
        <v>600</v>
      </c>
      <c r="Q727" s="6" t="s">
        <v>599</v>
      </c>
      <c r="R727" s="6" t="s">
        <v>600</v>
      </c>
      <c r="S727" s="6" t="s">
        <v>42</v>
      </c>
      <c r="T727" s="11">
        <v>548562</v>
      </c>
      <c r="U727" s="7">
        <v>37</v>
      </c>
      <c r="V727" s="6" t="s">
        <v>36</v>
      </c>
      <c r="W727" s="7">
        <v>43.3</v>
      </c>
      <c r="X727" s="6" t="s">
        <v>35</v>
      </c>
      <c r="Y727" s="7">
        <v>1.7</v>
      </c>
      <c r="Z727" s="7">
        <v>1</v>
      </c>
      <c r="AA727" s="6" t="s">
        <v>370</v>
      </c>
      <c r="AB727" s="6" t="s">
        <v>38</v>
      </c>
      <c r="AD727" s="6" t="s">
        <v>39</v>
      </c>
      <c r="AE727" s="6"/>
      <c r="AG727" s="6" t="s">
        <v>37</v>
      </c>
      <c r="AH727" s="7">
        <v>60</v>
      </c>
      <c r="AI727" s="6" t="s">
        <v>40</v>
      </c>
      <c r="AJ727" s="6" t="s">
        <v>238</v>
      </c>
      <c r="AL727" s="6" t="s">
        <v>41</v>
      </c>
      <c r="AM727" s="6" t="s">
        <v>41</v>
      </c>
      <c r="AN727" s="6" t="s">
        <v>1422</v>
      </c>
    </row>
    <row r="728" spans="1:40" x14ac:dyDescent="0.25">
      <c r="A728" s="4">
        <v>45911</v>
      </c>
      <c r="B728" s="6" t="s">
        <v>226</v>
      </c>
      <c r="C728" t="str">
        <f>_xlfn.XLOOKUP(Table3[[#This Row],[station]],station_waterbody_county!A:A, station_waterbody_county!B:B)</f>
        <v>St. Margarets Bay</v>
      </c>
      <c r="D728" t="str">
        <f>_xlfn.XLOOKUP(Table3[[#This Row],[station]],station_waterbody_county!A:A, station_waterbody_county!C:C)</f>
        <v>Lunenburg</v>
      </c>
      <c r="E728" s="6"/>
      <c r="F728" s="6" t="s">
        <v>310</v>
      </c>
      <c r="G728" s="4">
        <v>45617</v>
      </c>
      <c r="H728" s="5">
        <v>0.68125000000000002</v>
      </c>
      <c r="I728" s="4">
        <v>45779</v>
      </c>
      <c r="J728" s="5">
        <v>0.5</v>
      </c>
      <c r="K728" s="10"/>
      <c r="O728" s="6" t="s">
        <v>599</v>
      </c>
      <c r="P728" s="6" t="s">
        <v>600</v>
      </c>
      <c r="Q728" s="6" t="s">
        <v>599</v>
      </c>
      <c r="R728" s="6" t="s">
        <v>600</v>
      </c>
      <c r="S728" s="6" t="s">
        <v>239</v>
      </c>
      <c r="T728" s="11">
        <v>22048802</v>
      </c>
      <c r="U728" s="7">
        <v>37</v>
      </c>
      <c r="V728" s="6" t="s">
        <v>36</v>
      </c>
      <c r="W728" s="7">
        <v>43.3</v>
      </c>
      <c r="X728" s="6" t="s">
        <v>35</v>
      </c>
      <c r="Y728" s="7">
        <v>1.7</v>
      </c>
      <c r="Z728" s="7">
        <v>1</v>
      </c>
      <c r="AA728" s="6" t="s">
        <v>370</v>
      </c>
      <c r="AB728" s="6" t="s">
        <v>38</v>
      </c>
      <c r="AD728" s="6" t="s">
        <v>39</v>
      </c>
      <c r="AE728" s="6"/>
      <c r="AG728" s="6" t="s">
        <v>37</v>
      </c>
      <c r="AH728" s="7">
        <v>60</v>
      </c>
      <c r="AI728" s="6" t="s">
        <v>40</v>
      </c>
      <c r="AJ728" s="6" t="s">
        <v>238</v>
      </c>
      <c r="AL728" s="6" t="s">
        <v>41</v>
      </c>
      <c r="AM728" s="6" t="s">
        <v>41</v>
      </c>
      <c r="AN728" s="6" t="s">
        <v>1422</v>
      </c>
    </row>
    <row r="729" spans="1:40" x14ac:dyDescent="0.25">
      <c r="A729" s="4">
        <v>45623</v>
      </c>
      <c r="B729" s="6" t="s">
        <v>226</v>
      </c>
      <c r="C729" t="str">
        <f>_xlfn.XLOOKUP(Table3[[#This Row],[station]],station_waterbody_county!A:A, station_waterbody_county!B:B)</f>
        <v>St. Margarets Bay</v>
      </c>
      <c r="D729" t="str">
        <f>_xlfn.XLOOKUP(Table3[[#This Row],[station]],station_waterbody_county!A:A, station_waterbody_county!C:C)</f>
        <v>Lunenburg</v>
      </c>
      <c r="E729" s="6"/>
      <c r="F729" s="6" t="s">
        <v>310</v>
      </c>
      <c r="G729" s="4">
        <v>45414</v>
      </c>
      <c r="H729" s="5">
        <v>0.74791666666666667</v>
      </c>
      <c r="I729" s="4">
        <v>45617</v>
      </c>
      <c r="J729" s="5">
        <v>0.65763888888888888</v>
      </c>
      <c r="K729" s="10">
        <v>44.547432999999998</v>
      </c>
      <c r="L729" s="10">
        <v>-64.017482999999999</v>
      </c>
      <c r="O729" s="6" t="s">
        <v>355</v>
      </c>
      <c r="P729" s="6" t="s">
        <v>356</v>
      </c>
      <c r="Q729" s="6" t="s">
        <v>597</v>
      </c>
      <c r="R729" s="6" t="s">
        <v>598</v>
      </c>
      <c r="S729" s="6" t="s">
        <v>239</v>
      </c>
      <c r="T729" s="11">
        <v>20291429</v>
      </c>
      <c r="U729" s="7">
        <v>2</v>
      </c>
      <c r="V729" s="6" t="s">
        <v>36</v>
      </c>
      <c r="W729" s="7">
        <v>43.7</v>
      </c>
      <c r="X729" s="6" t="s">
        <v>35</v>
      </c>
      <c r="Y729" s="7">
        <v>1.2</v>
      </c>
      <c r="Z729" s="7">
        <v>1</v>
      </c>
      <c r="AA729" s="6" t="s">
        <v>243</v>
      </c>
      <c r="AB729" s="6" t="s">
        <v>38</v>
      </c>
      <c r="AD729" s="6" t="s">
        <v>39</v>
      </c>
      <c r="AE729" s="6"/>
      <c r="AG729" s="6" t="s">
        <v>37</v>
      </c>
      <c r="AH729" s="7">
        <v>60</v>
      </c>
      <c r="AI729" s="6" t="s">
        <v>40</v>
      </c>
      <c r="AJ729" s="6" t="s">
        <v>238</v>
      </c>
      <c r="AK729" s="6" t="s">
        <v>241</v>
      </c>
      <c r="AL729" s="6" t="s">
        <v>41</v>
      </c>
      <c r="AM729" s="6" t="s">
        <v>41</v>
      </c>
      <c r="AN729" s="6" t="s">
        <v>358</v>
      </c>
    </row>
    <row r="730" spans="1:40" x14ac:dyDescent="0.25">
      <c r="A730" s="4">
        <v>45623</v>
      </c>
      <c r="B730" s="6" t="s">
        <v>226</v>
      </c>
      <c r="C730" t="str">
        <f>_xlfn.XLOOKUP(Table3[[#This Row],[station]],station_waterbody_county!A:A, station_waterbody_county!B:B)</f>
        <v>St. Margarets Bay</v>
      </c>
      <c r="D730" t="str">
        <f>_xlfn.XLOOKUP(Table3[[#This Row],[station]],station_waterbody_county!A:A, station_waterbody_county!C:C)</f>
        <v>Lunenburg</v>
      </c>
      <c r="E730" s="6"/>
      <c r="F730" s="6" t="s">
        <v>310</v>
      </c>
      <c r="G730" s="4">
        <v>45414</v>
      </c>
      <c r="H730" s="5">
        <v>0.74791666666666667</v>
      </c>
      <c r="I730" s="4">
        <v>45617</v>
      </c>
      <c r="J730" s="5">
        <v>0.65763888888888888</v>
      </c>
      <c r="K730" s="10">
        <v>44.547432999999998</v>
      </c>
      <c r="L730" s="10">
        <v>-64.017482999999999</v>
      </c>
      <c r="O730" s="6" t="s">
        <v>355</v>
      </c>
      <c r="P730" s="6" t="s">
        <v>356</v>
      </c>
      <c r="Q730" s="6" t="s">
        <v>597</v>
      </c>
      <c r="R730" s="6" t="s">
        <v>598</v>
      </c>
      <c r="S730" s="6" t="s">
        <v>244</v>
      </c>
      <c r="T730" s="11">
        <v>21429533</v>
      </c>
      <c r="U730" s="7">
        <v>5</v>
      </c>
      <c r="V730" s="6" t="s">
        <v>36</v>
      </c>
      <c r="W730" s="7">
        <v>43.7</v>
      </c>
      <c r="X730" s="6" t="s">
        <v>35</v>
      </c>
      <c r="Y730" s="7">
        <v>1.2</v>
      </c>
      <c r="Z730" s="7">
        <v>1</v>
      </c>
      <c r="AA730" s="6" t="s">
        <v>243</v>
      </c>
      <c r="AB730" s="6" t="s">
        <v>38</v>
      </c>
      <c r="AD730" s="6" t="s">
        <v>39</v>
      </c>
      <c r="AE730" s="6"/>
      <c r="AG730" s="6" t="s">
        <v>37</v>
      </c>
      <c r="AH730" s="7">
        <v>60</v>
      </c>
      <c r="AI730" s="6" t="s">
        <v>40</v>
      </c>
      <c r="AJ730" s="6" t="s">
        <v>238</v>
      </c>
      <c r="AK730" s="6" t="s">
        <v>241</v>
      </c>
      <c r="AL730" s="6" t="s">
        <v>41</v>
      </c>
      <c r="AM730" s="6" t="s">
        <v>41</v>
      </c>
      <c r="AN730" s="6" t="s">
        <v>358</v>
      </c>
    </row>
    <row r="731" spans="1:40" x14ac:dyDescent="0.25">
      <c r="A731" s="4">
        <v>45623</v>
      </c>
      <c r="B731" s="6" t="s">
        <v>226</v>
      </c>
      <c r="C731" t="str">
        <f>_xlfn.XLOOKUP(Table3[[#This Row],[station]],station_waterbody_county!A:A, station_waterbody_county!B:B)</f>
        <v>St. Margarets Bay</v>
      </c>
      <c r="D731" t="str">
        <f>_xlfn.XLOOKUP(Table3[[#This Row],[station]],station_waterbody_county!A:A, station_waterbody_county!C:C)</f>
        <v>Lunenburg</v>
      </c>
      <c r="E731" s="6"/>
      <c r="F731" s="6" t="s">
        <v>310</v>
      </c>
      <c r="G731" s="4">
        <v>45414</v>
      </c>
      <c r="H731" s="5">
        <v>0.74791666666666667</v>
      </c>
      <c r="I731" s="4">
        <v>45617</v>
      </c>
      <c r="J731" s="5">
        <v>0.65763888888888888</v>
      </c>
      <c r="K731" s="10">
        <v>44.547432999999998</v>
      </c>
      <c r="L731" s="10">
        <v>-64.017482999999999</v>
      </c>
      <c r="O731" s="6" t="s">
        <v>355</v>
      </c>
      <c r="P731" s="6" t="s">
        <v>356</v>
      </c>
      <c r="Q731" s="6" t="s">
        <v>597</v>
      </c>
      <c r="R731" s="6" t="s">
        <v>598</v>
      </c>
      <c r="S731" s="6" t="s">
        <v>239</v>
      </c>
      <c r="T731" s="11">
        <v>21650144</v>
      </c>
      <c r="U731" s="7">
        <v>15</v>
      </c>
      <c r="V731" s="6" t="s">
        <v>36</v>
      </c>
      <c r="W731" s="7">
        <v>43.7</v>
      </c>
      <c r="X731" s="6" t="s">
        <v>35</v>
      </c>
      <c r="Y731" s="7">
        <v>1.2</v>
      </c>
      <c r="Z731" s="7">
        <v>1</v>
      </c>
      <c r="AA731" s="6" t="s">
        <v>243</v>
      </c>
      <c r="AB731" s="6" t="s">
        <v>38</v>
      </c>
      <c r="AD731" s="6" t="s">
        <v>39</v>
      </c>
      <c r="AE731" s="6"/>
      <c r="AG731" s="6" t="s">
        <v>37</v>
      </c>
      <c r="AH731" s="7">
        <v>60</v>
      </c>
      <c r="AI731" s="6" t="s">
        <v>40</v>
      </c>
      <c r="AJ731" s="6" t="s">
        <v>238</v>
      </c>
      <c r="AK731" s="6" t="s">
        <v>241</v>
      </c>
      <c r="AL731" s="6" t="s">
        <v>41</v>
      </c>
      <c r="AM731" s="6" t="s">
        <v>41</v>
      </c>
      <c r="AN731" s="6" t="s">
        <v>358</v>
      </c>
    </row>
    <row r="732" spans="1:40" x14ac:dyDescent="0.25">
      <c r="A732" s="4">
        <v>45623</v>
      </c>
      <c r="B732" s="6" t="s">
        <v>226</v>
      </c>
      <c r="C732" t="str">
        <f>_xlfn.XLOOKUP(Table3[[#This Row],[station]],station_waterbody_county!A:A, station_waterbody_county!B:B)</f>
        <v>St. Margarets Bay</v>
      </c>
      <c r="D732" t="str">
        <f>_xlfn.XLOOKUP(Table3[[#This Row],[station]],station_waterbody_county!A:A, station_waterbody_county!C:C)</f>
        <v>Lunenburg</v>
      </c>
      <c r="E732" s="6"/>
      <c r="F732" s="6" t="s">
        <v>310</v>
      </c>
      <c r="G732" s="4">
        <v>45414</v>
      </c>
      <c r="H732" s="5">
        <v>0.74791666666666667</v>
      </c>
      <c r="I732" s="4">
        <v>45617</v>
      </c>
      <c r="J732" s="5">
        <v>0.65763888888888888</v>
      </c>
      <c r="K732" s="10">
        <v>44.547432999999998</v>
      </c>
      <c r="L732" s="10">
        <v>-64.017482999999999</v>
      </c>
      <c r="O732" s="6" t="s">
        <v>355</v>
      </c>
      <c r="P732" s="6" t="s">
        <v>356</v>
      </c>
      <c r="Q732" s="6" t="s">
        <v>597</v>
      </c>
      <c r="R732" s="6" t="s">
        <v>598</v>
      </c>
      <c r="S732" s="6" t="s">
        <v>239</v>
      </c>
      <c r="T732" s="11">
        <v>20495242</v>
      </c>
      <c r="U732" s="7">
        <v>20</v>
      </c>
      <c r="V732" s="6" t="s">
        <v>36</v>
      </c>
      <c r="W732" s="7">
        <v>43.7</v>
      </c>
      <c r="X732" s="6" t="s">
        <v>35</v>
      </c>
      <c r="Y732" s="7">
        <v>1.2</v>
      </c>
      <c r="Z732" s="7">
        <v>1</v>
      </c>
      <c r="AA732" s="6" t="s">
        <v>243</v>
      </c>
      <c r="AB732" s="6" t="s">
        <v>38</v>
      </c>
      <c r="AD732" s="6" t="s">
        <v>39</v>
      </c>
      <c r="AE732" s="6"/>
      <c r="AG732" s="6" t="s">
        <v>37</v>
      </c>
      <c r="AH732" s="7">
        <v>60</v>
      </c>
      <c r="AI732" s="6" t="s">
        <v>40</v>
      </c>
      <c r="AJ732" s="6" t="s">
        <v>238</v>
      </c>
      <c r="AK732" s="6" t="s">
        <v>241</v>
      </c>
      <c r="AL732" s="6" t="s">
        <v>41</v>
      </c>
      <c r="AM732" s="6" t="s">
        <v>41</v>
      </c>
      <c r="AN732" s="6" t="s">
        <v>358</v>
      </c>
    </row>
    <row r="733" spans="1:40" x14ac:dyDescent="0.25">
      <c r="A733" s="4">
        <v>45623</v>
      </c>
      <c r="B733" s="6" t="s">
        <v>226</v>
      </c>
      <c r="C733" t="str">
        <f>_xlfn.XLOOKUP(Table3[[#This Row],[station]],station_waterbody_county!A:A, station_waterbody_county!B:B)</f>
        <v>St. Margarets Bay</v>
      </c>
      <c r="D733" t="str">
        <f>_xlfn.XLOOKUP(Table3[[#This Row],[station]],station_waterbody_county!A:A, station_waterbody_county!C:C)</f>
        <v>Lunenburg</v>
      </c>
      <c r="E733" s="6"/>
      <c r="F733" s="6" t="s">
        <v>310</v>
      </c>
      <c r="G733" s="4">
        <v>45414</v>
      </c>
      <c r="H733" s="5">
        <v>0.74791666666666667</v>
      </c>
      <c r="I733" s="4">
        <v>45617</v>
      </c>
      <c r="J733" s="5">
        <v>0.65763888888888888</v>
      </c>
      <c r="K733" s="10">
        <v>44.547432999999998</v>
      </c>
      <c r="L733" s="10">
        <v>-64.017482999999999</v>
      </c>
      <c r="O733" s="6" t="s">
        <v>355</v>
      </c>
      <c r="P733" s="6" t="s">
        <v>356</v>
      </c>
      <c r="Q733" s="6" t="s">
        <v>597</v>
      </c>
      <c r="R733" s="6" t="s">
        <v>598</v>
      </c>
      <c r="S733" s="6" t="s">
        <v>239</v>
      </c>
      <c r="T733" s="11">
        <v>10817404</v>
      </c>
      <c r="U733" s="7">
        <v>25</v>
      </c>
      <c r="V733" s="6" t="s">
        <v>36</v>
      </c>
      <c r="W733" s="7">
        <v>43.7</v>
      </c>
      <c r="X733" s="6" t="s">
        <v>35</v>
      </c>
      <c r="Y733" s="7">
        <v>1.2</v>
      </c>
      <c r="Z733" s="7">
        <v>1</v>
      </c>
      <c r="AA733" s="6" t="s">
        <v>243</v>
      </c>
      <c r="AB733" s="6" t="s">
        <v>38</v>
      </c>
      <c r="AD733" s="6" t="s">
        <v>39</v>
      </c>
      <c r="AE733" s="6"/>
      <c r="AG733" s="6" t="s">
        <v>37</v>
      </c>
      <c r="AH733" s="7">
        <v>60</v>
      </c>
      <c r="AI733" s="6" t="s">
        <v>40</v>
      </c>
      <c r="AJ733" s="6" t="s">
        <v>238</v>
      </c>
      <c r="AK733" s="6" t="s">
        <v>241</v>
      </c>
      <c r="AL733" s="6" t="s">
        <v>41</v>
      </c>
      <c r="AM733" s="6" t="s">
        <v>41</v>
      </c>
      <c r="AN733" s="6" t="s">
        <v>358</v>
      </c>
    </row>
    <row r="734" spans="1:40" x14ac:dyDescent="0.25">
      <c r="A734" s="4">
        <v>45623</v>
      </c>
      <c r="B734" s="6" t="s">
        <v>226</v>
      </c>
      <c r="C734" t="str">
        <f>_xlfn.XLOOKUP(Table3[[#This Row],[station]],station_waterbody_county!A:A, station_waterbody_county!B:B)</f>
        <v>St. Margarets Bay</v>
      </c>
      <c r="D734" t="str">
        <f>_xlfn.XLOOKUP(Table3[[#This Row],[station]],station_waterbody_county!A:A, station_waterbody_county!C:C)</f>
        <v>Lunenburg</v>
      </c>
      <c r="E734" s="6"/>
      <c r="F734" s="6" t="s">
        <v>310</v>
      </c>
      <c r="G734" s="4">
        <v>45414</v>
      </c>
      <c r="H734" s="5">
        <v>0.74791666666666667</v>
      </c>
      <c r="I734" s="4">
        <v>45617</v>
      </c>
      <c r="J734" s="5">
        <v>0.65763888888888888</v>
      </c>
      <c r="K734" s="10">
        <v>44.547432999999998</v>
      </c>
      <c r="L734" s="10">
        <v>-64.017482999999999</v>
      </c>
      <c r="O734" s="6" t="s">
        <v>355</v>
      </c>
      <c r="P734" s="6" t="s">
        <v>356</v>
      </c>
      <c r="Q734" s="6" t="s">
        <v>597</v>
      </c>
      <c r="R734" s="6" t="s">
        <v>598</v>
      </c>
      <c r="S734" s="6" t="s">
        <v>239</v>
      </c>
      <c r="T734" s="11">
        <v>20291444</v>
      </c>
      <c r="U734" s="7">
        <v>30</v>
      </c>
      <c r="V734" s="6" t="s">
        <v>36</v>
      </c>
      <c r="W734" s="7">
        <v>43.7</v>
      </c>
      <c r="X734" s="6" t="s">
        <v>35</v>
      </c>
      <c r="Y734" s="7">
        <v>1.2</v>
      </c>
      <c r="Z734" s="7">
        <v>1</v>
      </c>
      <c r="AA734" s="6" t="s">
        <v>243</v>
      </c>
      <c r="AB734" s="6" t="s">
        <v>38</v>
      </c>
      <c r="AD734" s="6" t="s">
        <v>39</v>
      </c>
      <c r="AE734" s="6"/>
      <c r="AG734" s="6" t="s">
        <v>37</v>
      </c>
      <c r="AH734" s="7">
        <v>60</v>
      </c>
      <c r="AI734" s="6" t="s">
        <v>40</v>
      </c>
      <c r="AJ734" s="6" t="s">
        <v>238</v>
      </c>
      <c r="AK734" s="6" t="s">
        <v>241</v>
      </c>
      <c r="AL734" s="6" t="s">
        <v>41</v>
      </c>
      <c r="AM734" s="6" t="s">
        <v>41</v>
      </c>
      <c r="AN734" s="6" t="s">
        <v>358</v>
      </c>
    </row>
    <row r="735" spans="1:40" x14ac:dyDescent="0.25">
      <c r="A735" s="4">
        <v>45623</v>
      </c>
      <c r="B735" s="6" t="s">
        <v>226</v>
      </c>
      <c r="C735" t="str">
        <f>_xlfn.XLOOKUP(Table3[[#This Row],[station]],station_waterbody_county!A:A, station_waterbody_county!B:B)</f>
        <v>St. Margarets Bay</v>
      </c>
      <c r="D735" t="str">
        <f>_xlfn.XLOOKUP(Table3[[#This Row],[station]],station_waterbody_county!A:A, station_waterbody_county!C:C)</f>
        <v>Lunenburg</v>
      </c>
      <c r="E735" s="6"/>
      <c r="F735" s="6" t="s">
        <v>310</v>
      </c>
      <c r="G735" s="4">
        <v>45414</v>
      </c>
      <c r="H735" s="5">
        <v>0.74791666666666667</v>
      </c>
      <c r="I735" s="4">
        <v>45617</v>
      </c>
      <c r="J735" s="5">
        <v>0.65763888888888888</v>
      </c>
      <c r="K735" s="10">
        <v>44.547432999999998</v>
      </c>
      <c r="L735" s="10">
        <v>-64.017482999999999</v>
      </c>
      <c r="O735" s="6" t="s">
        <v>355</v>
      </c>
      <c r="P735" s="6" t="s">
        <v>356</v>
      </c>
      <c r="Q735" s="6" t="s">
        <v>597</v>
      </c>
      <c r="R735" s="6" t="s">
        <v>598</v>
      </c>
      <c r="S735" s="6" t="s">
        <v>239</v>
      </c>
      <c r="T735" s="11">
        <v>21465779</v>
      </c>
      <c r="U735" s="7">
        <v>10</v>
      </c>
      <c r="V735" s="6" t="s">
        <v>36</v>
      </c>
      <c r="W735" s="7">
        <v>43.7</v>
      </c>
      <c r="X735" s="6" t="s">
        <v>35</v>
      </c>
      <c r="Y735" s="7">
        <v>1.2</v>
      </c>
      <c r="Z735" s="7">
        <v>1</v>
      </c>
      <c r="AA735" s="6" t="s">
        <v>243</v>
      </c>
      <c r="AB735" s="6" t="s">
        <v>38</v>
      </c>
      <c r="AD735" s="6" t="s">
        <v>39</v>
      </c>
      <c r="AE735" s="6"/>
      <c r="AG735" s="6" t="s">
        <v>37</v>
      </c>
      <c r="AH735" s="7">
        <v>60</v>
      </c>
      <c r="AI735" s="6" t="s">
        <v>40</v>
      </c>
      <c r="AJ735" s="6" t="s">
        <v>238</v>
      </c>
      <c r="AK735" s="6" t="s">
        <v>241</v>
      </c>
      <c r="AL735" s="6" t="s">
        <v>41</v>
      </c>
      <c r="AM735" s="6" t="s">
        <v>41</v>
      </c>
      <c r="AN735" s="6" t="s">
        <v>358</v>
      </c>
    </row>
    <row r="736" spans="1:40" x14ac:dyDescent="0.25">
      <c r="A736" s="4">
        <v>45623</v>
      </c>
      <c r="B736" s="6" t="s">
        <v>226</v>
      </c>
      <c r="C736" t="str">
        <f>_xlfn.XLOOKUP(Table3[[#This Row],[station]],station_waterbody_county!A:A, station_waterbody_county!B:B)</f>
        <v>St. Margarets Bay</v>
      </c>
      <c r="D736" t="str">
        <f>_xlfn.XLOOKUP(Table3[[#This Row],[station]],station_waterbody_county!A:A, station_waterbody_county!C:C)</f>
        <v>Lunenburg</v>
      </c>
      <c r="E736" s="6"/>
      <c r="F736" s="6" t="s">
        <v>310</v>
      </c>
      <c r="G736" s="4">
        <v>45414</v>
      </c>
      <c r="H736" s="5">
        <v>0.74791666666666667</v>
      </c>
      <c r="I736" s="4">
        <v>45617</v>
      </c>
      <c r="J736" s="5">
        <v>0.65763888888888888</v>
      </c>
      <c r="K736" s="10">
        <v>44.547432999999998</v>
      </c>
      <c r="L736" s="10">
        <v>-64.017482999999999</v>
      </c>
      <c r="O736" s="6" t="s">
        <v>355</v>
      </c>
      <c r="P736" s="6" t="s">
        <v>356</v>
      </c>
      <c r="Q736" s="6" t="s">
        <v>597</v>
      </c>
      <c r="R736" s="6" t="s">
        <v>598</v>
      </c>
      <c r="S736" s="6" t="s">
        <v>42</v>
      </c>
      <c r="T736" s="11">
        <v>548579</v>
      </c>
      <c r="U736" s="7">
        <v>37</v>
      </c>
      <c r="V736" s="6" t="s">
        <v>36</v>
      </c>
      <c r="W736" s="7">
        <v>43.7</v>
      </c>
      <c r="X736" s="6" t="s">
        <v>35</v>
      </c>
      <c r="Y736" s="7">
        <v>1.2</v>
      </c>
      <c r="Z736" s="7">
        <v>1</v>
      </c>
      <c r="AA736" s="6" t="s">
        <v>243</v>
      </c>
      <c r="AB736" s="6" t="s">
        <v>38</v>
      </c>
      <c r="AD736" s="6" t="s">
        <v>39</v>
      </c>
      <c r="AE736" s="6"/>
      <c r="AG736" s="6" t="s">
        <v>37</v>
      </c>
      <c r="AH736" s="7">
        <v>60</v>
      </c>
      <c r="AI736" s="6" t="s">
        <v>40</v>
      </c>
      <c r="AJ736" s="6" t="s">
        <v>238</v>
      </c>
      <c r="AK736" s="6" t="s">
        <v>241</v>
      </c>
      <c r="AL736" s="6" t="s">
        <v>41</v>
      </c>
      <c r="AM736" s="6" t="s">
        <v>41</v>
      </c>
      <c r="AN736" s="6" t="s">
        <v>359</v>
      </c>
    </row>
    <row r="737" spans="1:40" hidden="1" x14ac:dyDescent="0.25">
      <c r="A737" s="4">
        <v>45678</v>
      </c>
      <c r="B737" s="6" t="s">
        <v>226</v>
      </c>
      <c r="C737" t="str">
        <f>_xlfn.XLOOKUP(Table3[[#This Row],[station]],station_waterbody_county!A:A, station_waterbody_county!B:B)</f>
        <v>St. Margarets Bay</v>
      </c>
      <c r="D737" t="str">
        <f>_xlfn.XLOOKUP(Table3[[#This Row],[station]],station_waterbody_county!A:A, station_waterbody_county!C:C)</f>
        <v>Lunenburg</v>
      </c>
      <c r="E737" s="6"/>
      <c r="F737" s="6" t="s">
        <v>311</v>
      </c>
      <c r="G737" s="12">
        <v>45240</v>
      </c>
      <c r="H737" s="5"/>
      <c r="I737" s="4">
        <v>45414</v>
      </c>
      <c r="J737" s="5">
        <v>0.70486111111111116</v>
      </c>
      <c r="K737" s="10">
        <v>44.548281000000003</v>
      </c>
      <c r="L737" s="10">
        <v>-64.017431999999999</v>
      </c>
      <c r="M737" s="10">
        <v>44.549312999999998</v>
      </c>
      <c r="N737" s="10">
        <v>-64.017404999999997</v>
      </c>
      <c r="O737" s="6"/>
      <c r="Q737" s="6" t="s">
        <v>353</v>
      </c>
      <c r="R737" s="6" t="s">
        <v>354</v>
      </c>
      <c r="S737" s="6" t="s">
        <v>239</v>
      </c>
      <c r="T737" s="11">
        <v>20291477</v>
      </c>
      <c r="U737" s="7">
        <v>2</v>
      </c>
      <c r="V737" s="6" t="s">
        <v>36</v>
      </c>
      <c r="W737" s="7">
        <v>42.8</v>
      </c>
      <c r="X737" s="6" t="s">
        <v>35</v>
      </c>
      <c r="Y737" s="7">
        <v>0.6</v>
      </c>
      <c r="Z737" s="7">
        <v>1</v>
      </c>
      <c r="AA737" s="6" t="s">
        <v>251</v>
      </c>
      <c r="AB737" s="6" t="s">
        <v>38</v>
      </c>
      <c r="AD737" s="6" t="s">
        <v>39</v>
      </c>
      <c r="AE737" s="6"/>
      <c r="AG737" s="6" t="s">
        <v>256</v>
      </c>
      <c r="AH737" s="7"/>
      <c r="AI737" s="6" t="s">
        <v>40</v>
      </c>
      <c r="AJ737" s="6" t="s">
        <v>238</v>
      </c>
      <c r="AK737" s="6" t="s">
        <v>35</v>
      </c>
      <c r="AL737" s="6" t="s">
        <v>271</v>
      </c>
      <c r="AM737" s="6" t="s">
        <v>41</v>
      </c>
      <c r="AN737" s="6" t="s">
        <v>357</v>
      </c>
    </row>
    <row r="738" spans="1:40" hidden="1" x14ac:dyDescent="0.25">
      <c r="A738" s="4">
        <v>45678</v>
      </c>
      <c r="B738" s="6" t="s">
        <v>226</v>
      </c>
      <c r="C738" t="str">
        <f>_xlfn.XLOOKUP(Table3[[#This Row],[station]],station_waterbody_county!A:A, station_waterbody_county!B:B)</f>
        <v>St. Margarets Bay</v>
      </c>
      <c r="D738" t="str">
        <f>_xlfn.XLOOKUP(Table3[[#This Row],[station]],station_waterbody_county!A:A, station_waterbody_county!C:C)</f>
        <v>Lunenburg</v>
      </c>
      <c r="E738" s="6"/>
      <c r="F738" s="6" t="s">
        <v>311</v>
      </c>
      <c r="G738" s="12">
        <v>45240</v>
      </c>
      <c r="H738" s="5"/>
      <c r="I738" s="4">
        <v>45414</v>
      </c>
      <c r="J738" s="5">
        <v>0.70486111111111116</v>
      </c>
      <c r="K738" s="10">
        <v>44.548281000000003</v>
      </c>
      <c r="L738" s="10">
        <v>-64.017431999999999</v>
      </c>
      <c r="M738" s="10">
        <v>44.549312999999998</v>
      </c>
      <c r="N738" s="10">
        <v>-64.017404999999997</v>
      </c>
      <c r="O738" s="6"/>
      <c r="Q738" s="6" t="s">
        <v>353</v>
      </c>
      <c r="R738" s="6" t="s">
        <v>354</v>
      </c>
      <c r="S738" s="6" t="s">
        <v>239</v>
      </c>
      <c r="T738" s="11">
        <v>20820501</v>
      </c>
      <c r="U738" s="7">
        <v>10</v>
      </c>
      <c r="V738" s="6" t="s">
        <v>36</v>
      </c>
      <c r="W738" s="7">
        <v>42.8</v>
      </c>
      <c r="X738" s="6" t="s">
        <v>35</v>
      </c>
      <c r="Y738" s="7">
        <v>0.6</v>
      </c>
      <c r="Z738" s="7">
        <v>1</v>
      </c>
      <c r="AA738" s="6" t="s">
        <v>251</v>
      </c>
      <c r="AB738" s="6" t="s">
        <v>38</v>
      </c>
      <c r="AD738" s="6" t="s">
        <v>39</v>
      </c>
      <c r="AE738" s="6"/>
      <c r="AG738" s="6" t="s">
        <v>256</v>
      </c>
      <c r="AH738" s="7"/>
      <c r="AI738" s="6" t="s">
        <v>40</v>
      </c>
      <c r="AJ738" s="6" t="s">
        <v>238</v>
      </c>
      <c r="AK738" s="6" t="s">
        <v>35</v>
      </c>
      <c r="AL738" s="6" t="s">
        <v>271</v>
      </c>
      <c r="AM738" s="6" t="s">
        <v>41</v>
      </c>
      <c r="AN738" s="6" t="s">
        <v>357</v>
      </c>
    </row>
    <row r="739" spans="1:40" hidden="1" x14ac:dyDescent="0.25">
      <c r="A739" s="4">
        <v>45678</v>
      </c>
      <c r="B739" s="6" t="s">
        <v>226</v>
      </c>
      <c r="C739" t="str">
        <f>_xlfn.XLOOKUP(Table3[[#This Row],[station]],station_waterbody_county!A:A, station_waterbody_county!B:B)</f>
        <v>St. Margarets Bay</v>
      </c>
      <c r="D739" t="str">
        <f>_xlfn.XLOOKUP(Table3[[#This Row],[station]],station_waterbody_county!A:A, station_waterbody_county!C:C)</f>
        <v>Lunenburg</v>
      </c>
      <c r="E739" s="6"/>
      <c r="F739" s="6" t="s">
        <v>310</v>
      </c>
      <c r="G739" s="12">
        <v>45240</v>
      </c>
      <c r="H739" s="5"/>
      <c r="I739" s="4">
        <v>45414</v>
      </c>
      <c r="J739" s="5">
        <v>0.70486111111111116</v>
      </c>
      <c r="K739" s="10">
        <v>44.548281000000003</v>
      </c>
      <c r="L739" s="10">
        <v>-64.017431999999999</v>
      </c>
      <c r="M739" s="10">
        <v>44.549312999999998</v>
      </c>
      <c r="N739" s="10">
        <v>-64.017404999999997</v>
      </c>
      <c r="O739" s="6"/>
      <c r="Q739" s="6" t="s">
        <v>353</v>
      </c>
      <c r="R739" s="6" t="s">
        <v>354</v>
      </c>
      <c r="S739" s="6" t="s">
        <v>244</v>
      </c>
      <c r="T739" s="11">
        <v>21309145</v>
      </c>
      <c r="U739" s="7">
        <v>5</v>
      </c>
      <c r="V739" s="6" t="s">
        <v>36</v>
      </c>
      <c r="W739" s="7">
        <v>42.8</v>
      </c>
      <c r="X739" s="6" t="s">
        <v>35</v>
      </c>
      <c r="Y739" s="7">
        <v>0.6</v>
      </c>
      <c r="Z739" s="7">
        <v>1</v>
      </c>
      <c r="AA739" s="6" t="s">
        <v>251</v>
      </c>
      <c r="AB739" s="6" t="s">
        <v>38</v>
      </c>
      <c r="AD739" s="6" t="s">
        <v>39</v>
      </c>
      <c r="AE739" s="6"/>
      <c r="AG739" s="6" t="s">
        <v>256</v>
      </c>
      <c r="AH739" s="7"/>
      <c r="AI739" s="6" t="s">
        <v>40</v>
      </c>
      <c r="AJ739" s="6" t="s">
        <v>238</v>
      </c>
      <c r="AK739" s="6" t="s">
        <v>35</v>
      </c>
      <c r="AL739" s="6" t="s">
        <v>271</v>
      </c>
      <c r="AM739" s="6" t="s">
        <v>41</v>
      </c>
    </row>
    <row r="740" spans="1:40" hidden="1" x14ac:dyDescent="0.25">
      <c r="A740" s="4">
        <v>45678</v>
      </c>
      <c r="B740" s="6" t="s">
        <v>226</v>
      </c>
      <c r="C740" t="str">
        <f>_xlfn.XLOOKUP(Table3[[#This Row],[station]],station_waterbody_county!A:A, station_waterbody_county!B:B)</f>
        <v>St. Margarets Bay</v>
      </c>
      <c r="D740" t="str">
        <f>_xlfn.XLOOKUP(Table3[[#This Row],[station]],station_waterbody_county!A:A, station_waterbody_county!C:C)</f>
        <v>Lunenburg</v>
      </c>
      <c r="E740" s="6"/>
      <c r="F740" s="6" t="s">
        <v>310</v>
      </c>
      <c r="G740" s="12">
        <v>45240</v>
      </c>
      <c r="H740" s="5"/>
      <c r="I740" s="4">
        <v>45414</v>
      </c>
      <c r="J740" s="5">
        <v>0.70486111111111116</v>
      </c>
      <c r="K740" s="10">
        <v>44.548281000000003</v>
      </c>
      <c r="L740" s="10">
        <v>-64.017431999999999</v>
      </c>
      <c r="M740" s="10">
        <v>44.549312999999998</v>
      </c>
      <c r="N740" s="10">
        <v>-64.017404999999997</v>
      </c>
      <c r="O740" s="6"/>
      <c r="Q740" s="6" t="s">
        <v>353</v>
      </c>
      <c r="R740" s="6" t="s">
        <v>354</v>
      </c>
      <c r="S740" s="6" t="s">
        <v>239</v>
      </c>
      <c r="T740" s="11">
        <v>20291479</v>
      </c>
      <c r="U740" s="7">
        <v>15</v>
      </c>
      <c r="V740" s="6" t="s">
        <v>36</v>
      </c>
      <c r="W740" s="7">
        <v>42.8</v>
      </c>
      <c r="X740" s="6" t="s">
        <v>35</v>
      </c>
      <c r="Y740" s="7">
        <v>0.6</v>
      </c>
      <c r="Z740" s="7">
        <v>1</v>
      </c>
      <c r="AA740" s="6" t="s">
        <v>251</v>
      </c>
      <c r="AB740" s="6" t="s">
        <v>38</v>
      </c>
      <c r="AD740" s="6" t="s">
        <v>39</v>
      </c>
      <c r="AE740" s="6"/>
      <c r="AG740" s="6" t="s">
        <v>256</v>
      </c>
      <c r="AH740" s="7"/>
      <c r="AI740" s="6" t="s">
        <v>40</v>
      </c>
      <c r="AJ740" s="6" t="s">
        <v>238</v>
      </c>
      <c r="AK740" s="6" t="s">
        <v>35</v>
      </c>
      <c r="AL740" s="6" t="s">
        <v>271</v>
      </c>
      <c r="AM740" s="6" t="s">
        <v>41</v>
      </c>
    </row>
    <row r="741" spans="1:40" hidden="1" x14ac:dyDescent="0.25">
      <c r="A741" s="4">
        <v>45678</v>
      </c>
      <c r="B741" s="6" t="s">
        <v>226</v>
      </c>
      <c r="C741" t="str">
        <f>_xlfn.XLOOKUP(Table3[[#This Row],[station]],station_waterbody_county!A:A, station_waterbody_county!B:B)</f>
        <v>St. Margarets Bay</v>
      </c>
      <c r="D741" t="str">
        <f>_xlfn.XLOOKUP(Table3[[#This Row],[station]],station_waterbody_county!A:A, station_waterbody_county!C:C)</f>
        <v>Lunenburg</v>
      </c>
      <c r="E741" s="6"/>
      <c r="F741" s="6" t="s">
        <v>310</v>
      </c>
      <c r="G741" s="12">
        <v>45240</v>
      </c>
      <c r="H741" s="5"/>
      <c r="I741" s="4">
        <v>45414</v>
      </c>
      <c r="J741" s="5">
        <v>0.70486111111111116</v>
      </c>
      <c r="K741" s="10">
        <v>44.548281000000003</v>
      </c>
      <c r="L741" s="10">
        <v>-64.017431999999999</v>
      </c>
      <c r="M741" s="10">
        <v>44.549312999999998</v>
      </c>
      <c r="N741" s="10">
        <v>-64.017404999999997</v>
      </c>
      <c r="O741" s="6"/>
      <c r="Q741" s="6" t="s">
        <v>353</v>
      </c>
      <c r="R741" s="6" t="s">
        <v>354</v>
      </c>
      <c r="S741" s="6" t="s">
        <v>239</v>
      </c>
      <c r="T741" s="11">
        <v>20495245</v>
      </c>
      <c r="U741" s="7">
        <v>20</v>
      </c>
      <c r="V741" s="6" t="s">
        <v>36</v>
      </c>
      <c r="W741" s="7">
        <v>42.8</v>
      </c>
      <c r="X741" s="6" t="s">
        <v>35</v>
      </c>
      <c r="Y741" s="7">
        <v>0.6</v>
      </c>
      <c r="Z741" s="7">
        <v>1</v>
      </c>
      <c r="AA741" s="6" t="s">
        <v>251</v>
      </c>
      <c r="AB741" s="6" t="s">
        <v>38</v>
      </c>
      <c r="AD741" s="6" t="s">
        <v>39</v>
      </c>
      <c r="AE741" s="6"/>
      <c r="AG741" s="6" t="s">
        <v>256</v>
      </c>
      <c r="AH741" s="7"/>
      <c r="AI741" s="6" t="s">
        <v>40</v>
      </c>
      <c r="AJ741" s="6" t="s">
        <v>238</v>
      </c>
      <c r="AK741" s="6" t="s">
        <v>35</v>
      </c>
      <c r="AL741" s="6" t="s">
        <v>271</v>
      </c>
      <c r="AM741" s="6" t="s">
        <v>41</v>
      </c>
    </row>
    <row r="742" spans="1:40" hidden="1" x14ac:dyDescent="0.25">
      <c r="A742" s="4">
        <v>45678</v>
      </c>
      <c r="B742" s="6" t="s">
        <v>226</v>
      </c>
      <c r="C742" t="str">
        <f>_xlfn.XLOOKUP(Table3[[#This Row],[station]],station_waterbody_county!A:A, station_waterbody_county!B:B)</f>
        <v>St. Margarets Bay</v>
      </c>
      <c r="D742" t="str">
        <f>_xlfn.XLOOKUP(Table3[[#This Row],[station]],station_waterbody_county!A:A, station_waterbody_county!C:C)</f>
        <v>Lunenburg</v>
      </c>
      <c r="E742" s="6"/>
      <c r="F742" s="6" t="s">
        <v>310</v>
      </c>
      <c r="G742" s="12">
        <v>45240</v>
      </c>
      <c r="H742" s="5"/>
      <c r="I742" s="4">
        <v>45414</v>
      </c>
      <c r="J742" s="5">
        <v>0.70486111111111116</v>
      </c>
      <c r="K742" s="10">
        <v>44.548281000000003</v>
      </c>
      <c r="L742" s="10">
        <v>-64.017431999999999</v>
      </c>
      <c r="M742" s="10">
        <v>44.549312999999998</v>
      </c>
      <c r="N742" s="10">
        <v>-64.017404999999997</v>
      </c>
      <c r="O742" s="6"/>
      <c r="Q742" s="6" t="s">
        <v>353</v>
      </c>
      <c r="R742" s="6" t="s">
        <v>354</v>
      </c>
      <c r="S742" s="6" t="s">
        <v>239</v>
      </c>
      <c r="T742" s="11">
        <v>20291430</v>
      </c>
      <c r="U742" s="7">
        <v>25</v>
      </c>
      <c r="V742" s="6" t="s">
        <v>36</v>
      </c>
      <c r="W742" s="7">
        <v>42.8</v>
      </c>
      <c r="X742" s="6" t="s">
        <v>35</v>
      </c>
      <c r="Y742" s="7">
        <v>0.6</v>
      </c>
      <c r="Z742" s="7">
        <v>1</v>
      </c>
      <c r="AA742" s="6" t="s">
        <v>251</v>
      </c>
      <c r="AB742" s="6" t="s">
        <v>38</v>
      </c>
      <c r="AD742" s="6" t="s">
        <v>39</v>
      </c>
      <c r="AE742" s="6"/>
      <c r="AG742" s="6" t="s">
        <v>256</v>
      </c>
      <c r="AH742" s="7"/>
      <c r="AI742" s="6" t="s">
        <v>40</v>
      </c>
      <c r="AJ742" s="6" t="s">
        <v>238</v>
      </c>
      <c r="AK742" s="6" t="s">
        <v>35</v>
      </c>
      <c r="AL742" s="6" t="s">
        <v>271</v>
      </c>
      <c r="AM742" s="6" t="s">
        <v>41</v>
      </c>
    </row>
    <row r="743" spans="1:40" hidden="1" x14ac:dyDescent="0.25">
      <c r="A743" s="4">
        <v>45678</v>
      </c>
      <c r="B743" s="6" t="s">
        <v>226</v>
      </c>
      <c r="C743" t="str">
        <f>_xlfn.XLOOKUP(Table3[[#This Row],[station]],station_waterbody_county!A:A, station_waterbody_county!B:B)</f>
        <v>St. Margarets Bay</v>
      </c>
      <c r="D743" t="str">
        <f>_xlfn.XLOOKUP(Table3[[#This Row],[station]],station_waterbody_county!A:A, station_waterbody_county!C:C)</f>
        <v>Lunenburg</v>
      </c>
      <c r="E743" s="6"/>
      <c r="F743" s="6" t="s">
        <v>310</v>
      </c>
      <c r="G743" s="12">
        <v>45240</v>
      </c>
      <c r="H743" s="5"/>
      <c r="I743" s="4">
        <v>45414</v>
      </c>
      <c r="J743" s="5">
        <v>0.70486111111111116</v>
      </c>
      <c r="K743" s="10">
        <v>44.548281000000003</v>
      </c>
      <c r="L743" s="10">
        <v>-64.017431999999999</v>
      </c>
      <c r="M743" s="10">
        <v>44.549312999999998</v>
      </c>
      <c r="N743" s="10">
        <v>-64.017404999999997</v>
      </c>
      <c r="O743" s="6"/>
      <c r="Q743" s="6" t="s">
        <v>353</v>
      </c>
      <c r="R743" s="6" t="s">
        <v>354</v>
      </c>
      <c r="S743" s="6" t="s">
        <v>239</v>
      </c>
      <c r="T743" s="11">
        <v>20291453</v>
      </c>
      <c r="U743" s="7">
        <v>30</v>
      </c>
      <c r="V743" s="6" t="s">
        <v>36</v>
      </c>
      <c r="W743" s="7">
        <v>42.8</v>
      </c>
      <c r="X743" s="6" t="s">
        <v>35</v>
      </c>
      <c r="Y743" s="7">
        <v>0.6</v>
      </c>
      <c r="Z743" s="7">
        <v>1</v>
      </c>
      <c r="AA743" s="6" t="s">
        <v>251</v>
      </c>
      <c r="AB743" s="6" t="s">
        <v>38</v>
      </c>
      <c r="AD743" s="6" t="s">
        <v>39</v>
      </c>
      <c r="AE743" s="6"/>
      <c r="AG743" s="6" t="s">
        <v>256</v>
      </c>
      <c r="AH743" s="7"/>
      <c r="AI743" s="6" t="s">
        <v>40</v>
      </c>
      <c r="AJ743" s="6" t="s">
        <v>238</v>
      </c>
      <c r="AK743" s="6" t="s">
        <v>35</v>
      </c>
      <c r="AL743" s="6" t="s">
        <v>271</v>
      </c>
      <c r="AM743" s="6" t="s">
        <v>41</v>
      </c>
    </row>
    <row r="744" spans="1:40" hidden="1" x14ac:dyDescent="0.25">
      <c r="A744" s="4">
        <v>45678</v>
      </c>
      <c r="B744" s="6" t="s">
        <v>226</v>
      </c>
      <c r="C744" t="str">
        <f>_xlfn.XLOOKUP(Table3[[#This Row],[station]],station_waterbody_county!A:A, station_waterbody_county!B:B)</f>
        <v>St. Margarets Bay</v>
      </c>
      <c r="D744" t="str">
        <f>_xlfn.XLOOKUP(Table3[[#This Row],[station]],station_waterbody_county!A:A, station_waterbody_county!C:C)</f>
        <v>Lunenburg</v>
      </c>
      <c r="E744" s="6"/>
      <c r="F744" s="6" t="s">
        <v>310</v>
      </c>
      <c r="G744" s="12">
        <v>45240</v>
      </c>
      <c r="H744" s="5"/>
      <c r="I744" s="4">
        <v>45414</v>
      </c>
      <c r="J744" s="5">
        <v>0.70486111111111116</v>
      </c>
      <c r="K744" s="10">
        <v>44.548281000000003</v>
      </c>
      <c r="L744" s="10">
        <v>-64.017431999999999</v>
      </c>
      <c r="M744" s="10">
        <v>44.549312999999998</v>
      </c>
      <c r="N744" s="10">
        <v>-64.017404999999997</v>
      </c>
      <c r="O744" s="6"/>
      <c r="Q744" s="6" t="s">
        <v>353</v>
      </c>
      <c r="R744" s="6" t="s">
        <v>354</v>
      </c>
      <c r="S744" s="6" t="s">
        <v>42</v>
      </c>
      <c r="T744" s="11">
        <v>548044</v>
      </c>
      <c r="U744" s="7">
        <v>37</v>
      </c>
      <c r="V744" s="6" t="s">
        <v>36</v>
      </c>
      <c r="W744" s="7">
        <v>42.8</v>
      </c>
      <c r="X744" s="6" t="s">
        <v>35</v>
      </c>
      <c r="Y744" s="7">
        <v>0.6</v>
      </c>
      <c r="Z744" s="7">
        <v>1</v>
      </c>
      <c r="AA744" s="6" t="s">
        <v>251</v>
      </c>
      <c r="AB744" s="6" t="s">
        <v>38</v>
      </c>
      <c r="AD744" s="6" t="s">
        <v>39</v>
      </c>
      <c r="AE744" s="6"/>
      <c r="AG744" s="6" t="s">
        <v>256</v>
      </c>
      <c r="AH744" s="7"/>
      <c r="AI744" s="6" t="s">
        <v>40</v>
      </c>
      <c r="AJ744" s="6" t="s">
        <v>238</v>
      </c>
      <c r="AK744" s="6" t="s">
        <v>35</v>
      </c>
      <c r="AL744" s="6" t="s">
        <v>271</v>
      </c>
      <c r="AM744" s="6" t="s">
        <v>41</v>
      </c>
    </row>
    <row r="745" spans="1:40" x14ac:dyDescent="0.25">
      <c r="A745" s="4">
        <v>45629</v>
      </c>
      <c r="B745" s="6" t="s">
        <v>608</v>
      </c>
      <c r="C745" t="str">
        <f>_xlfn.XLOOKUP(Table3[[#This Row],[station]],station_waterbody_county!A:A, station_waterbody_county!B:B)</f>
        <v>Halifax Harbour</v>
      </c>
      <c r="D745" t="str">
        <f>_xlfn.XLOOKUP(Table3[[#This Row],[station]],station_waterbody_county!A:A, station_waterbody_county!C:C)</f>
        <v>Halifax</v>
      </c>
      <c r="E745" s="6"/>
      <c r="F745" s="6" t="s">
        <v>310</v>
      </c>
      <c r="G745" s="4">
        <v>45356</v>
      </c>
      <c r="H745" s="5">
        <v>0.68055555555555558</v>
      </c>
      <c r="I745" s="4">
        <v>45617</v>
      </c>
      <c r="J745" s="5">
        <v>0.76249999999999996</v>
      </c>
      <c r="K745" s="10">
        <v>44.622410000000002</v>
      </c>
      <c r="L745" s="10">
        <v>-63.520919999999997</v>
      </c>
      <c r="M745" s="10">
        <v>44.622410000000002</v>
      </c>
      <c r="N745" s="10">
        <v>-63.520919999999997</v>
      </c>
      <c r="O745" s="6"/>
      <c r="S745" s="6" t="s">
        <v>239</v>
      </c>
      <c r="T745" s="11">
        <v>21152401</v>
      </c>
      <c r="U745" s="7">
        <v>16</v>
      </c>
      <c r="V745" s="6" t="s">
        <v>36</v>
      </c>
      <c r="W745" s="7">
        <v>18</v>
      </c>
      <c r="X745" s="6" t="s">
        <v>35</v>
      </c>
      <c r="Y745" s="7"/>
      <c r="AA745" s="6"/>
      <c r="AB745" s="6" t="s">
        <v>321</v>
      </c>
      <c r="AC745" s="6" t="s">
        <v>321</v>
      </c>
      <c r="AE745" s="6"/>
      <c r="AH745" s="7">
        <v>45</v>
      </c>
      <c r="AI745" s="6" t="s">
        <v>40</v>
      </c>
      <c r="AJ745" s="6" t="s">
        <v>609</v>
      </c>
      <c r="AL745" s="6" t="s">
        <v>612</v>
      </c>
      <c r="AM745" s="6" t="s">
        <v>612</v>
      </c>
      <c r="AN745" s="6" t="s">
        <v>613</v>
      </c>
    </row>
    <row r="746" spans="1:40" x14ac:dyDescent="0.25">
      <c r="A746" s="4">
        <v>45629</v>
      </c>
      <c r="B746" s="6" t="s">
        <v>608</v>
      </c>
      <c r="C746" t="str">
        <f>_xlfn.XLOOKUP(Table3[[#This Row],[station]],station_waterbody_county!A:A, station_waterbody_county!B:B)</f>
        <v>Halifax Harbour</v>
      </c>
      <c r="D746" t="str">
        <f>_xlfn.XLOOKUP(Table3[[#This Row],[station]],station_waterbody_county!A:A, station_waterbody_county!C:C)</f>
        <v>Halifax</v>
      </c>
      <c r="E746" s="6"/>
      <c r="F746" s="6" t="s">
        <v>310</v>
      </c>
      <c r="G746" s="4">
        <v>45356</v>
      </c>
      <c r="H746" s="5">
        <v>0.68055555555555558</v>
      </c>
      <c r="I746" s="4">
        <v>45617</v>
      </c>
      <c r="J746" s="5">
        <v>0.76249999999999996</v>
      </c>
      <c r="K746" s="10">
        <v>44.622410000000002</v>
      </c>
      <c r="L746" s="10">
        <v>-63.520919999999997</v>
      </c>
      <c r="M746" s="10">
        <v>44.622410000000002</v>
      </c>
      <c r="N746" s="10">
        <v>-63.520919999999997</v>
      </c>
      <c r="O746" s="6"/>
      <c r="S746" s="6" t="s">
        <v>239</v>
      </c>
      <c r="T746" s="11">
        <v>21082889</v>
      </c>
      <c r="U746" s="7">
        <v>16.5</v>
      </c>
      <c r="V746" s="6" t="s">
        <v>36</v>
      </c>
      <c r="W746" s="7">
        <v>18</v>
      </c>
      <c r="X746" s="6" t="s">
        <v>35</v>
      </c>
      <c r="Y746" s="7"/>
      <c r="AA746" s="6"/>
      <c r="AB746" s="6" t="s">
        <v>321</v>
      </c>
      <c r="AC746" s="6" t="s">
        <v>321</v>
      </c>
      <c r="AE746" s="6"/>
      <c r="AH746" s="7">
        <v>45</v>
      </c>
      <c r="AI746" s="6" t="s">
        <v>40</v>
      </c>
      <c r="AJ746" s="6" t="s">
        <v>610</v>
      </c>
      <c r="AL746" s="6" t="s">
        <v>612</v>
      </c>
      <c r="AM746" s="6" t="s">
        <v>612</v>
      </c>
      <c r="AN746" s="6" t="s">
        <v>613</v>
      </c>
    </row>
    <row r="747" spans="1:40" x14ac:dyDescent="0.25">
      <c r="A747" s="4">
        <v>45629</v>
      </c>
      <c r="B747" s="6" t="s">
        <v>608</v>
      </c>
      <c r="C747" t="str">
        <f>_xlfn.XLOOKUP(Table3[[#This Row],[station]],station_waterbody_county!A:A, station_waterbody_county!B:B)</f>
        <v>Halifax Harbour</v>
      </c>
      <c r="D747" t="str">
        <f>_xlfn.XLOOKUP(Table3[[#This Row],[station]],station_waterbody_county!A:A, station_waterbody_county!C:C)</f>
        <v>Halifax</v>
      </c>
      <c r="E747" s="6"/>
      <c r="F747" s="6" t="s">
        <v>310</v>
      </c>
      <c r="G747" s="4">
        <v>45356</v>
      </c>
      <c r="H747" s="5">
        <v>0.68055555555555558</v>
      </c>
      <c r="I747" s="4">
        <v>45617</v>
      </c>
      <c r="J747" s="5">
        <v>0.76249999999999996</v>
      </c>
      <c r="K747" s="10">
        <v>44.622410000000002</v>
      </c>
      <c r="L747" s="10">
        <v>-63.520919999999997</v>
      </c>
      <c r="M747" s="10">
        <v>44.622410000000002</v>
      </c>
      <c r="N747" s="10">
        <v>-63.520919999999997</v>
      </c>
      <c r="O747" s="6"/>
      <c r="S747" s="6" t="s">
        <v>240</v>
      </c>
      <c r="T747" s="11">
        <v>670375</v>
      </c>
      <c r="U747" s="7">
        <v>16</v>
      </c>
      <c r="V747" s="6" t="s">
        <v>36</v>
      </c>
      <c r="W747" s="7">
        <v>18</v>
      </c>
      <c r="X747" s="6" t="s">
        <v>35</v>
      </c>
      <c r="Y747" s="7"/>
      <c r="AA747" s="6"/>
      <c r="AB747" s="6" t="s">
        <v>321</v>
      </c>
      <c r="AC747" s="6" t="s">
        <v>321</v>
      </c>
      <c r="AE747" s="6"/>
      <c r="AH747" s="7">
        <v>45</v>
      </c>
      <c r="AI747" s="6" t="s">
        <v>40</v>
      </c>
      <c r="AJ747" s="6" t="s">
        <v>611</v>
      </c>
      <c r="AL747" s="6" t="s">
        <v>612</v>
      </c>
      <c r="AM747" s="6" t="s">
        <v>612</v>
      </c>
      <c r="AN747" s="6" t="s">
        <v>613</v>
      </c>
    </row>
    <row r="748" spans="1:40" x14ac:dyDescent="0.25">
      <c r="A748" s="4">
        <v>45629</v>
      </c>
      <c r="B748" s="6" t="s">
        <v>608</v>
      </c>
      <c r="C748" t="str">
        <f>_xlfn.XLOOKUP(Table3[[#This Row],[station]],station_waterbody_county!A:A, station_waterbody_county!B:B)</f>
        <v>Halifax Harbour</v>
      </c>
      <c r="D748" t="str">
        <f>_xlfn.XLOOKUP(Table3[[#This Row],[station]],station_waterbody_county!A:A, station_waterbody_county!C:C)</f>
        <v>Halifax</v>
      </c>
      <c r="E748" s="6"/>
      <c r="F748" s="6" t="s">
        <v>310</v>
      </c>
      <c r="G748" s="4">
        <v>45356</v>
      </c>
      <c r="H748" s="5">
        <v>0.68055555555555558</v>
      </c>
      <c r="I748" s="4">
        <v>45617</v>
      </c>
      <c r="J748" s="5">
        <v>0.76249999999999996</v>
      </c>
      <c r="K748" s="10">
        <v>44.622410000000002</v>
      </c>
      <c r="L748" s="10">
        <v>-63.520919999999997</v>
      </c>
      <c r="M748" s="10">
        <v>44.622410000000002</v>
      </c>
      <c r="N748" s="10">
        <v>-63.520919999999997</v>
      </c>
      <c r="O748" s="6"/>
      <c r="S748" s="6" t="s">
        <v>42</v>
      </c>
      <c r="T748" s="11">
        <v>549345</v>
      </c>
      <c r="U748" s="7">
        <v>18</v>
      </c>
      <c r="V748" s="6" t="s">
        <v>36</v>
      </c>
      <c r="W748" s="7">
        <v>18</v>
      </c>
      <c r="X748" s="6" t="s">
        <v>35</v>
      </c>
      <c r="Y748" s="7"/>
      <c r="AA748" s="6"/>
      <c r="AB748" s="6" t="s">
        <v>321</v>
      </c>
      <c r="AC748" s="6" t="s">
        <v>321</v>
      </c>
      <c r="AE748" s="6"/>
      <c r="AH748" s="7">
        <v>45</v>
      </c>
      <c r="AI748" s="6" t="s">
        <v>40</v>
      </c>
      <c r="AJ748" s="6" t="s">
        <v>611</v>
      </c>
      <c r="AL748" s="6" t="s">
        <v>612</v>
      </c>
      <c r="AM748" s="6" t="s">
        <v>612</v>
      </c>
      <c r="AN748" s="6" t="s">
        <v>613</v>
      </c>
    </row>
    <row r="749" spans="1:40" hidden="1" x14ac:dyDescent="0.25">
      <c r="A749" s="4">
        <v>45798</v>
      </c>
      <c r="B749" s="6" t="s">
        <v>1272</v>
      </c>
      <c r="C749" t="str">
        <f>_xlfn.XLOOKUP(Table3[[#This Row],[station]],station_waterbody_county!A:A, station_waterbody_county!B:B)</f>
        <v>Strait of Canso</v>
      </c>
      <c r="D749" t="str">
        <f>_xlfn.XLOOKUP(Table3[[#This Row],[station]],station_waterbody_county!A:A, station_waterbody_county!C:C)</f>
        <v>Inverness</v>
      </c>
      <c r="E749" s="6"/>
      <c r="F749" s="6" t="s">
        <v>34</v>
      </c>
      <c r="G749" s="12">
        <v>45792</v>
      </c>
      <c r="H749" s="5">
        <v>0.51736111111111116</v>
      </c>
      <c r="I749" s="4"/>
      <c r="J749" s="5"/>
      <c r="K749" s="10"/>
      <c r="O749" s="6" t="s">
        <v>1273</v>
      </c>
      <c r="P749" s="6" t="s">
        <v>1274</v>
      </c>
      <c r="S749" s="6" t="s">
        <v>239</v>
      </c>
      <c r="T749" s="11">
        <v>22278862</v>
      </c>
      <c r="U749" s="7">
        <v>4</v>
      </c>
      <c r="V749" s="6" t="s">
        <v>36</v>
      </c>
      <c r="W749" s="7">
        <v>10.4</v>
      </c>
      <c r="X749" s="6" t="s">
        <v>35</v>
      </c>
      <c r="Y749" s="7">
        <v>1.1000000000000001</v>
      </c>
      <c r="Z749" s="7">
        <v>0.5</v>
      </c>
      <c r="AA749" s="6" t="s">
        <v>243</v>
      </c>
      <c r="AB749" s="6" t="s">
        <v>38</v>
      </c>
      <c r="AD749" s="6" t="s">
        <v>39</v>
      </c>
      <c r="AE749" s="6" t="s">
        <v>40</v>
      </c>
      <c r="AG749" s="6" t="s">
        <v>37</v>
      </c>
      <c r="AH749" s="7">
        <v>60</v>
      </c>
      <c r="AI749" s="6" t="s">
        <v>40</v>
      </c>
      <c r="AJ749" s="6" t="s">
        <v>238</v>
      </c>
      <c r="AL749" s="6" t="s">
        <v>41</v>
      </c>
      <c r="AN749" s="6" t="s">
        <v>1277</v>
      </c>
    </row>
    <row r="750" spans="1:40" hidden="1" x14ac:dyDescent="0.25">
      <c r="A750" s="4">
        <v>45798</v>
      </c>
      <c r="B750" s="6" t="s">
        <v>1272</v>
      </c>
      <c r="C750" t="str">
        <f>_xlfn.XLOOKUP(Table3[[#This Row],[station]],station_waterbody_county!A:A, station_waterbody_county!B:B)</f>
        <v>Strait of Canso</v>
      </c>
      <c r="D750" t="str">
        <f>_xlfn.XLOOKUP(Table3[[#This Row],[station]],station_waterbody_county!A:A, station_waterbody_county!C:C)</f>
        <v>Inverness</v>
      </c>
      <c r="E750" s="6"/>
      <c r="F750" s="6" t="s">
        <v>34</v>
      </c>
      <c r="G750" s="12">
        <v>45792</v>
      </c>
      <c r="H750" s="5">
        <v>0.51736111111111116</v>
      </c>
      <c r="I750" s="4"/>
      <c r="J750" s="5"/>
      <c r="K750" s="10"/>
      <c r="O750" s="6" t="s">
        <v>1273</v>
      </c>
      <c r="P750" s="6" t="s">
        <v>1274</v>
      </c>
      <c r="S750" s="6" t="s">
        <v>42</v>
      </c>
      <c r="T750" s="11">
        <v>547115</v>
      </c>
      <c r="U750" s="7">
        <v>10</v>
      </c>
      <c r="V750" s="6" t="s">
        <v>36</v>
      </c>
      <c r="W750" s="7">
        <v>10.4</v>
      </c>
      <c r="X750" s="6" t="s">
        <v>35</v>
      </c>
      <c r="Y750" s="7">
        <v>1.1000000000000001</v>
      </c>
      <c r="Z750" s="7">
        <v>0.5</v>
      </c>
      <c r="AA750" s="6" t="s">
        <v>243</v>
      </c>
      <c r="AB750" s="6" t="s">
        <v>38</v>
      </c>
      <c r="AD750" s="6" t="s">
        <v>39</v>
      </c>
      <c r="AE750" s="6" t="s">
        <v>40</v>
      </c>
      <c r="AG750" s="6" t="s">
        <v>37</v>
      </c>
      <c r="AH750" s="7">
        <v>60</v>
      </c>
      <c r="AI750" s="6" t="s">
        <v>40</v>
      </c>
      <c r="AJ750" s="6" t="s">
        <v>238</v>
      </c>
      <c r="AL750" s="6" t="s">
        <v>41</v>
      </c>
      <c r="AN750" s="6" t="s">
        <v>1277</v>
      </c>
    </row>
    <row r="751" spans="1:40" hidden="1" x14ac:dyDescent="0.25">
      <c r="A751" s="4">
        <v>45798</v>
      </c>
      <c r="B751" s="6" t="s">
        <v>1272</v>
      </c>
      <c r="C751" t="str">
        <f>_xlfn.XLOOKUP(Table3[[#This Row],[station]],station_waterbody_county!A:A, station_waterbody_county!B:B)</f>
        <v>Strait of Canso</v>
      </c>
      <c r="D751" t="str">
        <f>_xlfn.XLOOKUP(Table3[[#This Row],[station]],station_waterbody_county!A:A, station_waterbody_county!C:C)</f>
        <v>Inverness</v>
      </c>
      <c r="E751" s="6"/>
      <c r="F751" s="6" t="s">
        <v>34</v>
      </c>
      <c r="G751" s="12">
        <v>45792</v>
      </c>
      <c r="H751" s="5">
        <v>0.51736111111111116</v>
      </c>
      <c r="I751" s="4"/>
      <c r="J751" s="5"/>
      <c r="K751" s="10"/>
      <c r="O751" s="6" t="s">
        <v>1273</v>
      </c>
      <c r="P751" s="6" t="s">
        <v>1274</v>
      </c>
      <c r="S751" s="6" t="s">
        <v>239</v>
      </c>
      <c r="T751" s="11">
        <v>21414881</v>
      </c>
      <c r="U751" s="7">
        <v>10</v>
      </c>
      <c r="V751" s="6" t="s">
        <v>36</v>
      </c>
      <c r="W751" s="7">
        <v>10.4</v>
      </c>
      <c r="X751" s="6" t="s">
        <v>35</v>
      </c>
      <c r="Y751" s="7">
        <v>1.1000000000000001</v>
      </c>
      <c r="Z751" s="7">
        <v>0.5</v>
      </c>
      <c r="AA751" s="6" t="s">
        <v>243</v>
      </c>
      <c r="AB751" s="6" t="s">
        <v>38</v>
      </c>
      <c r="AD751" s="6" t="s">
        <v>39</v>
      </c>
      <c r="AE751" s="6" t="s">
        <v>40</v>
      </c>
      <c r="AG751" s="6" t="s">
        <v>37</v>
      </c>
      <c r="AH751" s="7">
        <v>60</v>
      </c>
      <c r="AI751" s="6" t="s">
        <v>40</v>
      </c>
      <c r="AJ751" s="6" t="s">
        <v>238</v>
      </c>
      <c r="AL751" s="6" t="s">
        <v>41</v>
      </c>
      <c r="AN751" s="6" t="s">
        <v>1277</v>
      </c>
    </row>
    <row r="752" spans="1:40" hidden="1" x14ac:dyDescent="0.25">
      <c r="A752" s="4">
        <v>45455</v>
      </c>
      <c r="B752" s="6" t="s">
        <v>231</v>
      </c>
      <c r="C752" t="str">
        <f>_xlfn.XLOOKUP(Table3[[#This Row],[station]],station_waterbody_county!A:A, station_waterbody_county!B:B)</f>
        <v>Mahone Bay</v>
      </c>
      <c r="D752" t="str">
        <f>_xlfn.XLOOKUP(Table3[[#This Row],[station]],station_waterbody_county!A:A, station_waterbody_county!C:C)</f>
        <v>Lunenburg</v>
      </c>
      <c r="E752" s="6"/>
      <c r="F752" s="6" t="s">
        <v>310</v>
      </c>
      <c r="G752" s="4">
        <v>44336</v>
      </c>
      <c r="H752" s="5"/>
      <c r="I752" s="4">
        <v>45442</v>
      </c>
      <c r="J752" s="5">
        <v>0.72916666666666663</v>
      </c>
      <c r="K752" s="10">
        <v>44.509138999999998</v>
      </c>
      <c r="L752" s="10">
        <v>-64.132992000000002</v>
      </c>
      <c r="O752" s="6" t="s">
        <v>339</v>
      </c>
      <c r="P752" s="6" t="s">
        <v>340</v>
      </c>
      <c r="Q752" s="6" t="s">
        <v>334</v>
      </c>
      <c r="R752" s="6" t="s">
        <v>335</v>
      </c>
      <c r="S752" s="6" t="s">
        <v>239</v>
      </c>
      <c r="T752" s="11">
        <v>20820379</v>
      </c>
      <c r="U752" s="7">
        <v>2</v>
      </c>
      <c r="V752" s="6" t="s">
        <v>36</v>
      </c>
      <c r="W752" s="7">
        <v>31.4</v>
      </c>
      <c r="X752" s="6" t="s">
        <v>35</v>
      </c>
      <c r="Y752" s="7">
        <v>0.8</v>
      </c>
      <c r="Z752" s="7">
        <v>1.4</v>
      </c>
      <c r="AA752" s="6"/>
      <c r="AE752" s="6"/>
      <c r="AH752" s="7"/>
      <c r="AI752" s="6" t="s">
        <v>40</v>
      </c>
      <c r="AJ752" s="6" t="s">
        <v>238</v>
      </c>
      <c r="AK752" s="6" t="s">
        <v>35</v>
      </c>
      <c r="AL752" s="6"/>
      <c r="AM752" s="6" t="s">
        <v>337</v>
      </c>
    </row>
    <row r="753" spans="1:40" hidden="1" x14ac:dyDescent="0.25">
      <c r="A753" s="4">
        <v>45455</v>
      </c>
      <c r="B753" s="6" t="s">
        <v>231</v>
      </c>
      <c r="C753" t="str">
        <f>_xlfn.XLOOKUP(Table3[[#This Row],[station]],station_waterbody_county!A:A, station_waterbody_county!B:B)</f>
        <v>Mahone Bay</v>
      </c>
      <c r="D753" t="str">
        <f>_xlfn.XLOOKUP(Table3[[#This Row],[station]],station_waterbody_county!A:A, station_waterbody_county!C:C)</f>
        <v>Lunenburg</v>
      </c>
      <c r="E753" s="6"/>
      <c r="F753" s="6" t="s">
        <v>310</v>
      </c>
      <c r="G753" s="4">
        <v>44336</v>
      </c>
      <c r="H753" s="5"/>
      <c r="I753" s="4">
        <v>45442</v>
      </c>
      <c r="J753" s="5">
        <v>0.72916666666666663</v>
      </c>
      <c r="K753" s="10">
        <v>44.509138999999998</v>
      </c>
      <c r="L753" s="10">
        <v>-64.132992000000002</v>
      </c>
      <c r="O753" s="6" t="s">
        <v>339</v>
      </c>
      <c r="P753" s="6" t="s">
        <v>340</v>
      </c>
      <c r="Q753" s="6" t="s">
        <v>334</v>
      </c>
      <c r="R753" s="6" t="s">
        <v>335</v>
      </c>
      <c r="S753" s="6" t="s">
        <v>244</v>
      </c>
      <c r="T753" s="11">
        <v>20834026</v>
      </c>
      <c r="U753" s="7">
        <v>5</v>
      </c>
      <c r="V753" s="6" t="s">
        <v>36</v>
      </c>
      <c r="W753" s="7">
        <v>31.4</v>
      </c>
      <c r="X753" s="6" t="s">
        <v>35</v>
      </c>
      <c r="Y753" s="7">
        <v>0.8</v>
      </c>
      <c r="Z753" s="7">
        <v>1.4</v>
      </c>
      <c r="AA753" s="6"/>
      <c r="AE753" s="6"/>
      <c r="AH753" s="7"/>
      <c r="AI753" s="6" t="s">
        <v>40</v>
      </c>
      <c r="AJ753" s="6" t="s">
        <v>238</v>
      </c>
      <c r="AK753" s="6" t="s">
        <v>35</v>
      </c>
      <c r="AL753" s="6"/>
      <c r="AM753" s="6" t="s">
        <v>337</v>
      </c>
    </row>
    <row r="754" spans="1:40" hidden="1" x14ac:dyDescent="0.25">
      <c r="A754" s="4">
        <v>45455</v>
      </c>
      <c r="B754" s="6" t="s">
        <v>231</v>
      </c>
      <c r="C754" t="str">
        <f>_xlfn.XLOOKUP(Table3[[#This Row],[station]],station_waterbody_county!A:A, station_waterbody_county!B:B)</f>
        <v>Mahone Bay</v>
      </c>
      <c r="D754" t="str">
        <f>_xlfn.XLOOKUP(Table3[[#This Row],[station]],station_waterbody_county!A:A, station_waterbody_county!C:C)</f>
        <v>Lunenburg</v>
      </c>
      <c r="E754" s="6"/>
      <c r="F754" s="6" t="s">
        <v>310</v>
      </c>
      <c r="G754" s="4">
        <v>44336</v>
      </c>
      <c r="H754" s="5"/>
      <c r="I754" s="4">
        <v>45442</v>
      </c>
      <c r="J754" s="5">
        <v>0.72916666666666663</v>
      </c>
      <c r="K754" s="10">
        <v>44.509138999999998</v>
      </c>
      <c r="L754" s="10">
        <v>-64.132992000000002</v>
      </c>
      <c r="O754" s="6" t="s">
        <v>339</v>
      </c>
      <c r="P754" s="6" t="s">
        <v>340</v>
      </c>
      <c r="Q754" s="6" t="s">
        <v>334</v>
      </c>
      <c r="R754" s="6" t="s">
        <v>335</v>
      </c>
      <c r="S754" s="6" t="s">
        <v>239</v>
      </c>
      <c r="T754" s="11">
        <v>21043082</v>
      </c>
      <c r="U754" s="7">
        <v>10</v>
      </c>
      <c r="V754" s="6" t="s">
        <v>36</v>
      </c>
      <c r="W754" s="7">
        <v>31.4</v>
      </c>
      <c r="X754" s="6" t="s">
        <v>35</v>
      </c>
      <c r="Y754" s="7">
        <v>0.8</v>
      </c>
      <c r="Z754" s="7">
        <v>1.4</v>
      </c>
      <c r="AA754" s="6"/>
      <c r="AE754" s="6"/>
      <c r="AH754" s="7"/>
      <c r="AI754" s="6" t="s">
        <v>40</v>
      </c>
      <c r="AJ754" s="6" t="s">
        <v>238</v>
      </c>
      <c r="AK754" s="6" t="s">
        <v>35</v>
      </c>
      <c r="AL754" s="6"/>
      <c r="AM754" s="6" t="s">
        <v>337</v>
      </c>
    </row>
    <row r="755" spans="1:40" hidden="1" x14ac:dyDescent="0.25">
      <c r="A755" s="4">
        <v>45455</v>
      </c>
      <c r="B755" s="6" t="s">
        <v>231</v>
      </c>
      <c r="C755" t="str">
        <f>_xlfn.XLOOKUP(Table3[[#This Row],[station]],station_waterbody_county!A:A, station_waterbody_county!B:B)</f>
        <v>Mahone Bay</v>
      </c>
      <c r="D755" t="str">
        <f>_xlfn.XLOOKUP(Table3[[#This Row],[station]],station_waterbody_county!A:A, station_waterbody_county!C:C)</f>
        <v>Lunenburg</v>
      </c>
      <c r="E755" s="6"/>
      <c r="F755" s="6" t="s">
        <v>310</v>
      </c>
      <c r="G755" s="4">
        <v>44336</v>
      </c>
      <c r="H755" s="5"/>
      <c r="I755" s="4">
        <v>45442</v>
      </c>
      <c r="J755" s="5">
        <v>0.72916666666666663</v>
      </c>
      <c r="K755" s="10">
        <v>44.509138999999998</v>
      </c>
      <c r="L755" s="10">
        <v>-64.132992000000002</v>
      </c>
      <c r="O755" s="6" t="s">
        <v>339</v>
      </c>
      <c r="P755" s="6" t="s">
        <v>340</v>
      </c>
      <c r="Q755" s="6" t="s">
        <v>334</v>
      </c>
      <c r="R755" s="6" t="s">
        <v>335</v>
      </c>
      <c r="S755" s="6" t="s">
        <v>239</v>
      </c>
      <c r="T755" s="11">
        <v>20900977</v>
      </c>
      <c r="U755" s="7">
        <v>15</v>
      </c>
      <c r="V755" s="6" t="s">
        <v>36</v>
      </c>
      <c r="W755" s="7">
        <v>31.4</v>
      </c>
      <c r="X755" s="6" t="s">
        <v>35</v>
      </c>
      <c r="Y755" s="7">
        <v>0.8</v>
      </c>
      <c r="Z755" s="7">
        <v>1.4</v>
      </c>
      <c r="AA755" s="6"/>
      <c r="AE755" s="6"/>
      <c r="AH755" s="7"/>
      <c r="AI755" s="6" t="s">
        <v>40</v>
      </c>
      <c r="AJ755" s="6" t="s">
        <v>238</v>
      </c>
      <c r="AK755" s="6" t="s">
        <v>35</v>
      </c>
      <c r="AL755" s="6"/>
      <c r="AM755" s="6" t="s">
        <v>337</v>
      </c>
    </row>
    <row r="756" spans="1:40" hidden="1" x14ac:dyDescent="0.25">
      <c r="A756" s="4">
        <v>45455</v>
      </c>
      <c r="B756" s="6" t="s">
        <v>231</v>
      </c>
      <c r="C756" t="str">
        <f>_xlfn.XLOOKUP(Table3[[#This Row],[station]],station_waterbody_county!A:A, station_waterbody_county!B:B)</f>
        <v>Mahone Bay</v>
      </c>
      <c r="D756" t="str">
        <f>_xlfn.XLOOKUP(Table3[[#This Row],[station]],station_waterbody_county!A:A, station_waterbody_county!C:C)</f>
        <v>Lunenburg</v>
      </c>
      <c r="E756" s="6"/>
      <c r="F756" s="6" t="s">
        <v>310</v>
      </c>
      <c r="G756" s="4">
        <v>44336</v>
      </c>
      <c r="H756" s="5"/>
      <c r="I756" s="4">
        <v>45442</v>
      </c>
      <c r="J756" s="5">
        <v>0.72916666666666663</v>
      </c>
      <c r="K756" s="10">
        <v>44.509138999999998</v>
      </c>
      <c r="L756" s="10">
        <v>-64.132992000000002</v>
      </c>
      <c r="O756" s="6" t="s">
        <v>339</v>
      </c>
      <c r="P756" s="6" t="s">
        <v>340</v>
      </c>
      <c r="Q756" s="6" t="s">
        <v>334</v>
      </c>
      <c r="R756" s="6" t="s">
        <v>335</v>
      </c>
      <c r="S756" s="6" t="s">
        <v>239</v>
      </c>
      <c r="T756" s="11">
        <v>20900986</v>
      </c>
      <c r="U756" s="7">
        <v>20</v>
      </c>
      <c r="V756" s="6" t="s">
        <v>36</v>
      </c>
      <c r="W756" s="7">
        <v>31.4</v>
      </c>
      <c r="X756" s="6" t="s">
        <v>35</v>
      </c>
      <c r="Y756" s="7">
        <v>0.8</v>
      </c>
      <c r="Z756" s="7">
        <v>1.4</v>
      </c>
      <c r="AA756" s="6"/>
      <c r="AE756" s="6"/>
      <c r="AH756" s="7"/>
      <c r="AI756" s="6" t="s">
        <v>40</v>
      </c>
      <c r="AJ756" s="6" t="s">
        <v>238</v>
      </c>
      <c r="AK756" s="6" t="s">
        <v>35</v>
      </c>
      <c r="AL756" s="6"/>
      <c r="AM756" s="6" t="s">
        <v>337</v>
      </c>
    </row>
    <row r="757" spans="1:40" hidden="1" x14ac:dyDescent="0.25">
      <c r="A757" s="4">
        <v>45455</v>
      </c>
      <c r="B757" s="6" t="s">
        <v>231</v>
      </c>
      <c r="C757" t="str">
        <f>_xlfn.XLOOKUP(Table3[[#This Row],[station]],station_waterbody_county!A:A, station_waterbody_county!B:B)</f>
        <v>Mahone Bay</v>
      </c>
      <c r="D757" t="str">
        <f>_xlfn.XLOOKUP(Table3[[#This Row],[station]],station_waterbody_county!A:A, station_waterbody_county!C:C)</f>
        <v>Lunenburg</v>
      </c>
      <c r="E757" s="6"/>
      <c r="F757" s="6" t="s">
        <v>310</v>
      </c>
      <c r="G757" s="4">
        <v>44336</v>
      </c>
      <c r="H757" s="5"/>
      <c r="I757" s="4">
        <v>45442</v>
      </c>
      <c r="J757" s="5">
        <v>0.72916666666666663</v>
      </c>
      <c r="K757" s="10">
        <v>44.509138999999998</v>
      </c>
      <c r="L757" s="10">
        <v>-64.132992000000002</v>
      </c>
      <c r="O757" s="6" t="s">
        <v>339</v>
      </c>
      <c r="P757" s="6" t="s">
        <v>340</v>
      </c>
      <c r="Q757" s="6" t="s">
        <v>334</v>
      </c>
      <c r="R757" s="6" t="s">
        <v>335</v>
      </c>
      <c r="S757" s="6" t="s">
        <v>42</v>
      </c>
      <c r="T757" s="11">
        <v>547111</v>
      </c>
      <c r="U757" s="7">
        <v>27</v>
      </c>
      <c r="V757" s="6" t="s">
        <v>36</v>
      </c>
      <c r="W757" s="7">
        <v>31.4</v>
      </c>
      <c r="X757" s="6" t="s">
        <v>35</v>
      </c>
      <c r="Y757" s="7">
        <v>0.8</v>
      </c>
      <c r="Z757" s="7">
        <v>1.4</v>
      </c>
      <c r="AA757" s="6"/>
      <c r="AE757" s="6"/>
      <c r="AH757" s="7"/>
      <c r="AI757" s="6" t="s">
        <v>40</v>
      </c>
      <c r="AJ757" s="6" t="s">
        <v>238</v>
      </c>
      <c r="AK757" s="6" t="s">
        <v>35</v>
      </c>
      <c r="AL757" s="6"/>
      <c r="AM757" s="6" t="s">
        <v>337</v>
      </c>
    </row>
    <row r="758" spans="1:40" hidden="1" x14ac:dyDescent="0.25">
      <c r="A758" s="4">
        <v>45455</v>
      </c>
      <c r="B758" s="6" t="s">
        <v>231</v>
      </c>
      <c r="C758" t="str">
        <f>_xlfn.XLOOKUP(Table3[[#This Row],[station]],station_waterbody_county!A:A, station_waterbody_county!B:B)</f>
        <v>Mahone Bay</v>
      </c>
      <c r="D758" t="str">
        <f>_xlfn.XLOOKUP(Table3[[#This Row],[station]],station_waterbody_county!A:A, station_waterbody_county!C:C)</f>
        <v>Lunenburg</v>
      </c>
      <c r="E758" s="6"/>
      <c r="F758" s="6" t="s">
        <v>310</v>
      </c>
      <c r="G758" s="4">
        <v>44884</v>
      </c>
      <c r="H758" s="5">
        <v>0.59027777777777779</v>
      </c>
      <c r="I758" s="4">
        <v>45442</v>
      </c>
      <c r="J758" s="5">
        <v>0.72916666666666663</v>
      </c>
      <c r="K758" s="10">
        <v>44.509095000000002</v>
      </c>
      <c r="L758" s="10">
        <v>-64.132977999999994</v>
      </c>
      <c r="O758" s="6" t="s">
        <v>482</v>
      </c>
      <c r="P758" s="6" t="s">
        <v>335</v>
      </c>
      <c r="Q758" s="6" t="s">
        <v>334</v>
      </c>
      <c r="R758" s="6" t="s">
        <v>335</v>
      </c>
      <c r="S758" s="6" t="s">
        <v>239</v>
      </c>
      <c r="T758" s="11">
        <v>21082882</v>
      </c>
      <c r="U758" s="7">
        <v>2</v>
      </c>
      <c r="V758" s="6" t="s">
        <v>36</v>
      </c>
      <c r="W758" s="7">
        <v>31.4</v>
      </c>
      <c r="X758" s="6" t="s">
        <v>35</v>
      </c>
      <c r="Y758" s="7">
        <v>0.7</v>
      </c>
      <c r="Z758" s="7">
        <v>1.5</v>
      </c>
      <c r="AA758" s="6" t="s">
        <v>251</v>
      </c>
      <c r="AE758" s="6"/>
      <c r="AG758" s="6" t="s">
        <v>338</v>
      </c>
      <c r="AH758" s="7"/>
      <c r="AI758" s="6" t="s">
        <v>40</v>
      </c>
      <c r="AJ758" s="6" t="s">
        <v>238</v>
      </c>
      <c r="AK758" s="6" t="s">
        <v>35</v>
      </c>
      <c r="AL758" s="6" t="s">
        <v>336</v>
      </c>
      <c r="AM758" s="6" t="s">
        <v>337</v>
      </c>
    </row>
    <row r="759" spans="1:40" hidden="1" x14ac:dyDescent="0.25">
      <c r="A759" s="4">
        <v>45455</v>
      </c>
      <c r="B759" s="6" t="s">
        <v>231</v>
      </c>
      <c r="C759" t="str">
        <f>_xlfn.XLOOKUP(Table3[[#This Row],[station]],station_waterbody_county!A:A, station_waterbody_county!B:B)</f>
        <v>Mahone Bay</v>
      </c>
      <c r="D759" t="str">
        <f>_xlfn.XLOOKUP(Table3[[#This Row],[station]],station_waterbody_county!A:A, station_waterbody_county!C:C)</f>
        <v>Lunenburg</v>
      </c>
      <c r="E759" s="6"/>
      <c r="F759" s="6" t="s">
        <v>310</v>
      </c>
      <c r="G759" s="4">
        <v>44884</v>
      </c>
      <c r="H759" s="5">
        <v>0.59027777777777779</v>
      </c>
      <c r="I759" s="4">
        <v>45442</v>
      </c>
      <c r="J759" s="5">
        <v>0.72916666666666663</v>
      </c>
      <c r="K759" s="10">
        <v>44.509095000000002</v>
      </c>
      <c r="L759" s="10">
        <v>-64.132977999999994</v>
      </c>
      <c r="O759" s="6" t="s">
        <v>483</v>
      </c>
      <c r="P759" s="6" t="s">
        <v>335</v>
      </c>
      <c r="Q759" s="6" t="s">
        <v>334</v>
      </c>
      <c r="R759" s="6" t="s">
        <v>335</v>
      </c>
      <c r="S759" s="6" t="s">
        <v>244</v>
      </c>
      <c r="T759" s="11">
        <v>20834024</v>
      </c>
      <c r="U759" s="7">
        <v>5</v>
      </c>
      <c r="V759" s="6" t="s">
        <v>36</v>
      </c>
      <c r="W759" s="7">
        <v>31.4</v>
      </c>
      <c r="X759" s="6" t="s">
        <v>35</v>
      </c>
      <c r="Y759" s="7">
        <v>0.7</v>
      </c>
      <c r="Z759" s="7">
        <v>1.5</v>
      </c>
      <c r="AA759" s="6" t="s">
        <v>251</v>
      </c>
      <c r="AE759" s="6"/>
      <c r="AG759" s="6" t="s">
        <v>338</v>
      </c>
      <c r="AH759" s="7"/>
      <c r="AI759" s="6" t="s">
        <v>40</v>
      </c>
      <c r="AJ759" s="6" t="s">
        <v>238</v>
      </c>
      <c r="AK759" s="6" t="s">
        <v>35</v>
      </c>
      <c r="AL759" s="6" t="s">
        <v>336</v>
      </c>
      <c r="AM759" s="6" t="s">
        <v>337</v>
      </c>
    </row>
    <row r="760" spans="1:40" hidden="1" x14ac:dyDescent="0.25">
      <c r="A760" s="4">
        <v>45455</v>
      </c>
      <c r="B760" s="6" t="s">
        <v>231</v>
      </c>
      <c r="C760" t="str">
        <f>_xlfn.XLOOKUP(Table3[[#This Row],[station]],station_waterbody_county!A:A, station_waterbody_county!B:B)</f>
        <v>Mahone Bay</v>
      </c>
      <c r="D760" t="str">
        <f>_xlfn.XLOOKUP(Table3[[#This Row],[station]],station_waterbody_county!A:A, station_waterbody_county!C:C)</f>
        <v>Lunenburg</v>
      </c>
      <c r="E760" s="6"/>
      <c r="F760" s="6" t="s">
        <v>310</v>
      </c>
      <c r="G760" s="4">
        <v>44884</v>
      </c>
      <c r="H760" s="5">
        <v>0.59027777777777779</v>
      </c>
      <c r="I760" s="4">
        <v>45442</v>
      </c>
      <c r="J760" s="5">
        <v>0.72916666666666663</v>
      </c>
      <c r="K760" s="10">
        <v>44.509095000000002</v>
      </c>
      <c r="L760" s="10">
        <v>-64.132977999999994</v>
      </c>
      <c r="O760" s="6" t="s">
        <v>484</v>
      </c>
      <c r="P760" s="6" t="s">
        <v>335</v>
      </c>
      <c r="Q760" s="6" t="s">
        <v>334</v>
      </c>
      <c r="R760" s="6" t="s">
        <v>335</v>
      </c>
      <c r="S760" s="6" t="s">
        <v>239</v>
      </c>
      <c r="T760" s="11">
        <v>20291459</v>
      </c>
      <c r="U760" s="7">
        <v>10</v>
      </c>
      <c r="V760" s="6" t="s">
        <v>36</v>
      </c>
      <c r="W760" s="7">
        <v>31.4</v>
      </c>
      <c r="X760" s="6" t="s">
        <v>35</v>
      </c>
      <c r="Y760" s="7">
        <v>0.7</v>
      </c>
      <c r="Z760" s="7">
        <v>1.5</v>
      </c>
      <c r="AA760" s="6" t="s">
        <v>251</v>
      </c>
      <c r="AE760" s="6"/>
      <c r="AG760" s="6" t="s">
        <v>338</v>
      </c>
      <c r="AH760" s="7"/>
      <c r="AI760" s="6" t="s">
        <v>40</v>
      </c>
      <c r="AJ760" s="6" t="s">
        <v>238</v>
      </c>
      <c r="AK760" s="6" t="s">
        <v>35</v>
      </c>
      <c r="AL760" s="6" t="s">
        <v>336</v>
      </c>
      <c r="AM760" s="6" t="s">
        <v>337</v>
      </c>
    </row>
    <row r="761" spans="1:40" hidden="1" x14ac:dyDescent="0.25">
      <c r="A761" s="4">
        <v>45455</v>
      </c>
      <c r="B761" s="6" t="s">
        <v>231</v>
      </c>
      <c r="C761" t="str">
        <f>_xlfn.XLOOKUP(Table3[[#This Row],[station]],station_waterbody_county!A:A, station_waterbody_county!B:B)</f>
        <v>Mahone Bay</v>
      </c>
      <c r="D761" t="str">
        <f>_xlfn.XLOOKUP(Table3[[#This Row],[station]],station_waterbody_county!A:A, station_waterbody_county!C:C)</f>
        <v>Lunenburg</v>
      </c>
      <c r="E761" s="6"/>
      <c r="F761" s="6" t="s">
        <v>310</v>
      </c>
      <c r="G761" s="4">
        <v>44884</v>
      </c>
      <c r="H761" s="5">
        <v>0.59027777777777779</v>
      </c>
      <c r="I761" s="4">
        <v>45442</v>
      </c>
      <c r="J761" s="5">
        <v>0.72916666666666663</v>
      </c>
      <c r="K761" s="10">
        <v>44.509095000000002</v>
      </c>
      <c r="L761" s="10">
        <v>-64.132977999999994</v>
      </c>
      <c r="O761" s="6" t="s">
        <v>485</v>
      </c>
      <c r="P761" s="6" t="s">
        <v>335</v>
      </c>
      <c r="Q761" s="6" t="s">
        <v>334</v>
      </c>
      <c r="R761" s="6" t="s">
        <v>335</v>
      </c>
      <c r="S761" s="6" t="s">
        <v>239</v>
      </c>
      <c r="T761" s="11">
        <v>20495236</v>
      </c>
      <c r="U761" s="7">
        <v>15</v>
      </c>
      <c r="V761" s="6" t="s">
        <v>36</v>
      </c>
      <c r="W761" s="7">
        <v>31.4</v>
      </c>
      <c r="X761" s="6" t="s">
        <v>35</v>
      </c>
      <c r="Y761" s="7">
        <v>0.7</v>
      </c>
      <c r="Z761" s="7">
        <v>1.5</v>
      </c>
      <c r="AA761" s="6" t="s">
        <v>251</v>
      </c>
      <c r="AE761" s="6"/>
      <c r="AG761" s="6" t="s">
        <v>338</v>
      </c>
      <c r="AH761" s="7"/>
      <c r="AI761" s="6" t="s">
        <v>40</v>
      </c>
      <c r="AJ761" s="6" t="s">
        <v>238</v>
      </c>
      <c r="AK761" s="6" t="s">
        <v>35</v>
      </c>
      <c r="AL761" s="6" t="s">
        <v>336</v>
      </c>
      <c r="AM761" s="6" t="s">
        <v>337</v>
      </c>
    </row>
    <row r="762" spans="1:40" hidden="1" x14ac:dyDescent="0.25">
      <c r="A762" s="4">
        <v>45455</v>
      </c>
      <c r="B762" s="6" t="s">
        <v>231</v>
      </c>
      <c r="C762" t="str">
        <f>_xlfn.XLOOKUP(Table3[[#This Row],[station]],station_waterbody_county!A:A, station_waterbody_county!B:B)</f>
        <v>Mahone Bay</v>
      </c>
      <c r="D762" t="str">
        <f>_xlfn.XLOOKUP(Table3[[#This Row],[station]],station_waterbody_county!A:A, station_waterbody_county!C:C)</f>
        <v>Lunenburg</v>
      </c>
      <c r="E762" s="6"/>
      <c r="F762" s="6" t="s">
        <v>310</v>
      </c>
      <c r="G762" s="4">
        <v>44884</v>
      </c>
      <c r="H762" s="5">
        <v>0.59027777777777779</v>
      </c>
      <c r="I762" s="4">
        <v>45442</v>
      </c>
      <c r="J762" s="5">
        <v>0.72916666666666663</v>
      </c>
      <c r="K762" s="10">
        <v>44.509095000000002</v>
      </c>
      <c r="L762" s="10">
        <v>-64.132977999999994</v>
      </c>
      <c r="O762" s="6" t="s">
        <v>486</v>
      </c>
      <c r="P762" s="6" t="s">
        <v>335</v>
      </c>
      <c r="Q762" s="6" t="s">
        <v>334</v>
      </c>
      <c r="R762" s="6" t="s">
        <v>335</v>
      </c>
      <c r="S762" s="6" t="s">
        <v>239</v>
      </c>
      <c r="T762" s="11">
        <v>20495228</v>
      </c>
      <c r="U762" s="7">
        <v>20</v>
      </c>
      <c r="V762" s="6" t="s">
        <v>36</v>
      </c>
      <c r="W762" s="7">
        <v>31.4</v>
      </c>
      <c r="X762" s="6" t="s">
        <v>35</v>
      </c>
      <c r="Y762" s="7">
        <v>0.7</v>
      </c>
      <c r="Z762" s="7">
        <v>1.5</v>
      </c>
      <c r="AA762" s="6" t="s">
        <v>251</v>
      </c>
      <c r="AE762" s="6"/>
      <c r="AG762" s="6" t="s">
        <v>338</v>
      </c>
      <c r="AH762" s="7"/>
      <c r="AI762" s="6" t="s">
        <v>40</v>
      </c>
      <c r="AJ762" s="6" t="s">
        <v>238</v>
      </c>
      <c r="AK762" s="6" t="s">
        <v>35</v>
      </c>
      <c r="AL762" s="6" t="s">
        <v>336</v>
      </c>
      <c r="AM762" s="6" t="s">
        <v>337</v>
      </c>
    </row>
    <row r="763" spans="1:40" hidden="1" x14ac:dyDescent="0.25">
      <c r="A763" s="4">
        <v>45455</v>
      </c>
      <c r="B763" s="6" t="s">
        <v>231</v>
      </c>
      <c r="C763" t="str">
        <f>_xlfn.XLOOKUP(Table3[[#This Row],[station]],station_waterbody_county!A:A, station_waterbody_county!B:B)</f>
        <v>Mahone Bay</v>
      </c>
      <c r="D763" t="str">
        <f>_xlfn.XLOOKUP(Table3[[#This Row],[station]],station_waterbody_county!A:A, station_waterbody_county!C:C)</f>
        <v>Lunenburg</v>
      </c>
      <c r="E763" s="6"/>
      <c r="F763" s="6" t="s">
        <v>310</v>
      </c>
      <c r="G763" s="4">
        <v>44884</v>
      </c>
      <c r="H763" s="5">
        <v>0.59027777777777779</v>
      </c>
      <c r="I763" s="4">
        <v>45442</v>
      </c>
      <c r="J763" s="5">
        <v>0.72916666666666663</v>
      </c>
      <c r="K763" s="10">
        <v>44.509095000000002</v>
      </c>
      <c r="L763" s="10">
        <v>-64.132977999999994</v>
      </c>
      <c r="O763" s="6" t="s">
        <v>487</v>
      </c>
      <c r="P763" s="6" t="s">
        <v>335</v>
      </c>
      <c r="Q763" s="6" t="s">
        <v>334</v>
      </c>
      <c r="R763" s="6" t="s">
        <v>335</v>
      </c>
      <c r="S763" s="6" t="s">
        <v>42</v>
      </c>
      <c r="T763" s="11">
        <v>548041</v>
      </c>
      <c r="U763" s="7">
        <v>27</v>
      </c>
      <c r="V763" s="6" t="s">
        <v>36</v>
      </c>
      <c r="W763" s="7">
        <v>31.4</v>
      </c>
      <c r="X763" s="6" t="s">
        <v>35</v>
      </c>
      <c r="Y763" s="7">
        <v>0.7</v>
      </c>
      <c r="Z763" s="7">
        <v>1.5</v>
      </c>
      <c r="AA763" s="6" t="s">
        <v>251</v>
      </c>
      <c r="AE763" s="6"/>
      <c r="AG763" s="6" t="s">
        <v>338</v>
      </c>
      <c r="AH763" s="7"/>
      <c r="AI763" s="6" t="s">
        <v>40</v>
      </c>
      <c r="AJ763" s="6" t="s">
        <v>238</v>
      </c>
      <c r="AK763" s="6" t="s">
        <v>35</v>
      </c>
      <c r="AL763" s="6" t="s">
        <v>336</v>
      </c>
      <c r="AM763" s="6" t="s">
        <v>337</v>
      </c>
    </row>
    <row r="764" spans="1:40" x14ac:dyDescent="0.25">
      <c r="A764" s="4">
        <v>45784</v>
      </c>
      <c r="B764" s="6" t="s">
        <v>231</v>
      </c>
      <c r="C764" t="str">
        <f>_xlfn.XLOOKUP(Table3[[#This Row],[station]],station_waterbody_county!A:A, station_waterbody_county!B:B)</f>
        <v>Mahone Bay</v>
      </c>
      <c r="D764" t="str">
        <f>_xlfn.XLOOKUP(Table3[[#This Row],[station]],station_waterbody_county!A:A, station_waterbody_county!C:C)</f>
        <v>Lunenburg</v>
      </c>
      <c r="E764" s="6"/>
      <c r="F764" s="6" t="s">
        <v>310</v>
      </c>
      <c r="G764" s="4">
        <v>45617</v>
      </c>
      <c r="H764" s="5">
        <v>0.62777777777777777</v>
      </c>
      <c r="I764" s="4">
        <v>45779</v>
      </c>
      <c r="J764" s="5">
        <v>0.61041666666666672</v>
      </c>
      <c r="K764" s="10"/>
      <c r="O764" s="6" t="s">
        <v>588</v>
      </c>
      <c r="P764" s="6" t="s">
        <v>589</v>
      </c>
      <c r="Q764" s="6" t="s">
        <v>1236</v>
      </c>
      <c r="R764" s="6" t="s">
        <v>1237</v>
      </c>
      <c r="S764" s="6" t="s">
        <v>239</v>
      </c>
      <c r="T764" s="11">
        <v>21488194</v>
      </c>
      <c r="U764" s="7">
        <v>2</v>
      </c>
      <c r="V764" s="6" t="s">
        <v>36</v>
      </c>
      <c r="W764" s="7">
        <v>33.799999999999997</v>
      </c>
      <c r="X764" s="6" t="s">
        <v>35</v>
      </c>
      <c r="Y764" s="7">
        <v>1.6</v>
      </c>
      <c r="Z764" s="7">
        <v>1.4</v>
      </c>
      <c r="AA764" s="6" t="s">
        <v>243</v>
      </c>
      <c r="AB764" s="6" t="s">
        <v>38</v>
      </c>
      <c r="AD764" s="6" t="s">
        <v>39</v>
      </c>
      <c r="AE764" s="6"/>
      <c r="AG764" s="6" t="s">
        <v>37</v>
      </c>
      <c r="AH764" s="7">
        <v>60</v>
      </c>
      <c r="AI764" s="6" t="s">
        <v>40</v>
      </c>
      <c r="AJ764" s="6" t="s">
        <v>238</v>
      </c>
      <c r="AK764" s="6" t="s">
        <v>35</v>
      </c>
      <c r="AL764" s="6" t="s">
        <v>41</v>
      </c>
      <c r="AM764" s="6" t="s">
        <v>41</v>
      </c>
      <c r="AN764" s="6" t="s">
        <v>1238</v>
      </c>
    </row>
    <row r="765" spans="1:40" x14ac:dyDescent="0.25">
      <c r="A765" s="4">
        <v>45784</v>
      </c>
      <c r="B765" s="6" t="s">
        <v>231</v>
      </c>
      <c r="C765" t="str">
        <f>_xlfn.XLOOKUP(Table3[[#This Row],[station]],station_waterbody_county!A:A, station_waterbody_county!B:B)</f>
        <v>Mahone Bay</v>
      </c>
      <c r="D765" t="str">
        <f>_xlfn.XLOOKUP(Table3[[#This Row],[station]],station_waterbody_county!A:A, station_waterbody_county!C:C)</f>
        <v>Lunenburg</v>
      </c>
      <c r="E765" s="6"/>
      <c r="F765" s="6" t="s">
        <v>310</v>
      </c>
      <c r="G765" s="4">
        <v>45617</v>
      </c>
      <c r="H765" s="5">
        <v>0.62777777777777777</v>
      </c>
      <c r="I765" s="4">
        <v>45779</v>
      </c>
      <c r="J765" s="5">
        <v>0.61041666666666672</v>
      </c>
      <c r="K765" s="10"/>
      <c r="O765" s="6" t="s">
        <v>588</v>
      </c>
      <c r="P765" s="6" t="s">
        <v>589</v>
      </c>
      <c r="Q765" s="6" t="s">
        <v>1236</v>
      </c>
      <c r="R765" s="6" t="s">
        <v>1237</v>
      </c>
      <c r="S765" s="6" t="s">
        <v>239</v>
      </c>
      <c r="T765" s="11">
        <v>20291484</v>
      </c>
      <c r="U765" s="7">
        <v>5</v>
      </c>
      <c r="V765" s="6" t="s">
        <v>36</v>
      </c>
      <c r="W765" s="7">
        <v>33.799999999999997</v>
      </c>
      <c r="X765" s="6" t="s">
        <v>35</v>
      </c>
      <c r="Y765" s="7">
        <v>1.6</v>
      </c>
      <c r="Z765" s="7">
        <v>1.4</v>
      </c>
      <c r="AA765" s="6" t="s">
        <v>243</v>
      </c>
      <c r="AB765" s="6" t="s">
        <v>38</v>
      </c>
      <c r="AD765" s="6" t="s">
        <v>39</v>
      </c>
      <c r="AE765" s="6"/>
      <c r="AG765" s="6" t="s">
        <v>37</v>
      </c>
      <c r="AH765" s="7">
        <v>60</v>
      </c>
      <c r="AI765" s="6" t="s">
        <v>40</v>
      </c>
      <c r="AJ765" s="6" t="s">
        <v>238</v>
      </c>
      <c r="AK765" s="6" t="s">
        <v>35</v>
      </c>
      <c r="AL765" s="6" t="s">
        <v>41</v>
      </c>
      <c r="AM765" s="6" t="s">
        <v>41</v>
      </c>
      <c r="AN765" s="6" t="s">
        <v>1238</v>
      </c>
    </row>
    <row r="766" spans="1:40" x14ac:dyDescent="0.25">
      <c r="A766" s="4">
        <v>45784</v>
      </c>
      <c r="B766" s="6" t="s">
        <v>231</v>
      </c>
      <c r="C766" t="str">
        <f>_xlfn.XLOOKUP(Table3[[#This Row],[station]],station_waterbody_county!A:A, station_waterbody_county!B:B)</f>
        <v>Mahone Bay</v>
      </c>
      <c r="D766" t="str">
        <f>_xlfn.XLOOKUP(Table3[[#This Row],[station]],station_waterbody_county!A:A, station_waterbody_county!C:C)</f>
        <v>Lunenburg</v>
      </c>
      <c r="E766" s="6"/>
      <c r="F766" s="6" t="s">
        <v>310</v>
      </c>
      <c r="G766" s="4">
        <v>45617</v>
      </c>
      <c r="H766" s="5">
        <v>0.62777777777777777</v>
      </c>
      <c r="I766" s="4">
        <v>45779</v>
      </c>
      <c r="J766" s="5">
        <v>0.61041666666666672</v>
      </c>
      <c r="K766" s="10"/>
      <c r="O766" s="6" t="s">
        <v>588</v>
      </c>
      <c r="P766" s="6" t="s">
        <v>589</v>
      </c>
      <c r="Q766" s="6" t="s">
        <v>1236</v>
      </c>
      <c r="R766" s="6" t="s">
        <v>1237</v>
      </c>
      <c r="S766" s="6" t="s">
        <v>239</v>
      </c>
      <c r="T766" s="11">
        <v>20495251</v>
      </c>
      <c r="U766" s="7">
        <v>10</v>
      </c>
      <c r="V766" s="6" t="s">
        <v>36</v>
      </c>
      <c r="W766" s="7">
        <v>33.799999999999997</v>
      </c>
      <c r="X766" s="6" t="s">
        <v>35</v>
      </c>
      <c r="Y766" s="7">
        <v>1.6</v>
      </c>
      <c r="Z766" s="7">
        <v>1.4</v>
      </c>
      <c r="AA766" s="6" t="s">
        <v>243</v>
      </c>
      <c r="AB766" s="6" t="s">
        <v>38</v>
      </c>
      <c r="AD766" s="6" t="s">
        <v>39</v>
      </c>
      <c r="AE766" s="6"/>
      <c r="AG766" s="6" t="s">
        <v>37</v>
      </c>
      <c r="AH766" s="7">
        <v>60</v>
      </c>
      <c r="AI766" s="6" t="s">
        <v>40</v>
      </c>
      <c r="AJ766" s="6" t="s">
        <v>238</v>
      </c>
      <c r="AK766" s="6" t="s">
        <v>35</v>
      </c>
      <c r="AL766" s="6" t="s">
        <v>41</v>
      </c>
      <c r="AM766" s="6" t="s">
        <v>41</v>
      </c>
      <c r="AN766" s="6" t="s">
        <v>1238</v>
      </c>
    </row>
    <row r="767" spans="1:40" x14ac:dyDescent="0.25">
      <c r="A767" s="4">
        <v>45784</v>
      </c>
      <c r="B767" s="6" t="s">
        <v>231</v>
      </c>
      <c r="C767" t="str">
        <f>_xlfn.XLOOKUP(Table3[[#This Row],[station]],station_waterbody_county!A:A, station_waterbody_county!B:B)</f>
        <v>Mahone Bay</v>
      </c>
      <c r="D767" t="str">
        <f>_xlfn.XLOOKUP(Table3[[#This Row],[station]],station_waterbody_county!A:A, station_waterbody_county!C:C)</f>
        <v>Lunenburg</v>
      </c>
      <c r="E767" s="6"/>
      <c r="F767" s="6" t="s">
        <v>310</v>
      </c>
      <c r="G767" s="4">
        <v>45617</v>
      </c>
      <c r="H767" s="5">
        <v>0.62777777777777777</v>
      </c>
      <c r="I767" s="4">
        <v>45779</v>
      </c>
      <c r="J767" s="5">
        <v>0.61041666666666672</v>
      </c>
      <c r="K767" s="10"/>
      <c r="O767" s="6" t="s">
        <v>588</v>
      </c>
      <c r="P767" s="6" t="s">
        <v>589</v>
      </c>
      <c r="Q767" s="6" t="s">
        <v>1236</v>
      </c>
      <c r="R767" s="6" t="s">
        <v>1237</v>
      </c>
      <c r="S767" s="6" t="s">
        <v>239</v>
      </c>
      <c r="T767" s="11">
        <v>21043079</v>
      </c>
      <c r="U767" s="7">
        <v>15</v>
      </c>
      <c r="V767" s="6" t="s">
        <v>36</v>
      </c>
      <c r="W767" s="7">
        <v>33.799999999999997</v>
      </c>
      <c r="X767" s="6" t="s">
        <v>35</v>
      </c>
      <c r="Y767" s="7">
        <v>1.6</v>
      </c>
      <c r="Z767" s="7">
        <v>1.4</v>
      </c>
      <c r="AA767" s="6" t="s">
        <v>243</v>
      </c>
      <c r="AB767" s="6" t="s">
        <v>38</v>
      </c>
      <c r="AD767" s="6" t="s">
        <v>39</v>
      </c>
      <c r="AE767" s="6"/>
      <c r="AG767" s="6" t="s">
        <v>37</v>
      </c>
      <c r="AH767" s="7">
        <v>60</v>
      </c>
      <c r="AI767" s="6" t="s">
        <v>40</v>
      </c>
      <c r="AJ767" s="6" t="s">
        <v>238</v>
      </c>
      <c r="AK767" s="6" t="s">
        <v>35</v>
      </c>
      <c r="AL767" s="6" t="s">
        <v>41</v>
      </c>
      <c r="AM767" s="6" t="s">
        <v>41</v>
      </c>
      <c r="AN767" s="6" t="s">
        <v>1238</v>
      </c>
    </row>
    <row r="768" spans="1:40" x14ac:dyDescent="0.25">
      <c r="A768" s="4">
        <v>45784</v>
      </c>
      <c r="B768" s="6" t="s">
        <v>231</v>
      </c>
      <c r="C768" t="str">
        <f>_xlfn.XLOOKUP(Table3[[#This Row],[station]],station_waterbody_county!A:A, station_waterbody_county!B:B)</f>
        <v>Mahone Bay</v>
      </c>
      <c r="D768" t="str">
        <f>_xlfn.XLOOKUP(Table3[[#This Row],[station]],station_waterbody_county!A:A, station_waterbody_county!C:C)</f>
        <v>Lunenburg</v>
      </c>
      <c r="E768" s="6"/>
      <c r="F768" s="6" t="s">
        <v>310</v>
      </c>
      <c r="G768" s="4">
        <v>45617</v>
      </c>
      <c r="H768" s="5">
        <v>0.62777777777777777</v>
      </c>
      <c r="I768" s="4">
        <v>45779</v>
      </c>
      <c r="J768" s="5">
        <v>0.61041666666666672</v>
      </c>
      <c r="K768" s="10"/>
      <c r="O768" s="6" t="s">
        <v>588</v>
      </c>
      <c r="P768" s="6" t="s">
        <v>589</v>
      </c>
      <c r="Q768" s="6" t="s">
        <v>1236</v>
      </c>
      <c r="R768" s="6" t="s">
        <v>1237</v>
      </c>
      <c r="S768" s="6" t="s">
        <v>239</v>
      </c>
      <c r="T768" s="11">
        <v>20495203</v>
      </c>
      <c r="U768" s="7">
        <v>20</v>
      </c>
      <c r="V768" s="6" t="s">
        <v>36</v>
      </c>
      <c r="W768" s="7">
        <v>33.799999999999997</v>
      </c>
      <c r="X768" s="6" t="s">
        <v>35</v>
      </c>
      <c r="Y768" s="7">
        <v>1.6</v>
      </c>
      <c r="Z768" s="7">
        <v>1.4</v>
      </c>
      <c r="AA768" s="6" t="s">
        <v>243</v>
      </c>
      <c r="AB768" s="6" t="s">
        <v>38</v>
      </c>
      <c r="AD768" s="6" t="s">
        <v>39</v>
      </c>
      <c r="AE768" s="6"/>
      <c r="AG768" s="6" t="s">
        <v>37</v>
      </c>
      <c r="AH768" s="7">
        <v>60</v>
      </c>
      <c r="AI768" s="6" t="s">
        <v>40</v>
      </c>
      <c r="AJ768" s="6" t="s">
        <v>238</v>
      </c>
      <c r="AK768" s="6" t="s">
        <v>35</v>
      </c>
      <c r="AL768" s="6" t="s">
        <v>41</v>
      </c>
      <c r="AM768" s="6" t="s">
        <v>41</v>
      </c>
      <c r="AN768" s="6" t="s">
        <v>1238</v>
      </c>
    </row>
    <row r="769" spans="1:40" x14ac:dyDescent="0.25">
      <c r="A769" s="4">
        <v>45784</v>
      </c>
      <c r="B769" s="6" t="s">
        <v>231</v>
      </c>
      <c r="C769" t="str">
        <f>_xlfn.XLOOKUP(Table3[[#This Row],[station]],station_waterbody_county!A:A, station_waterbody_county!B:B)</f>
        <v>Mahone Bay</v>
      </c>
      <c r="D769" t="str">
        <f>_xlfn.XLOOKUP(Table3[[#This Row],[station]],station_waterbody_county!A:A, station_waterbody_county!C:C)</f>
        <v>Lunenburg</v>
      </c>
      <c r="E769" s="6"/>
      <c r="F769" s="6" t="s">
        <v>310</v>
      </c>
      <c r="G769" s="4">
        <v>45617</v>
      </c>
      <c r="H769" s="5">
        <v>0.62777777777777777</v>
      </c>
      <c r="I769" s="4">
        <v>45779</v>
      </c>
      <c r="J769" s="5">
        <v>0.61041666666666672</v>
      </c>
      <c r="K769" s="10"/>
      <c r="O769" s="6" t="s">
        <v>588</v>
      </c>
      <c r="P769" s="6" t="s">
        <v>589</v>
      </c>
      <c r="Q769" s="6" t="s">
        <v>1236</v>
      </c>
      <c r="R769" s="6" t="s">
        <v>1237</v>
      </c>
      <c r="S769" s="6" t="s">
        <v>42</v>
      </c>
      <c r="T769" s="11">
        <v>548574</v>
      </c>
      <c r="U769" s="7">
        <v>27</v>
      </c>
      <c r="V769" s="6" t="s">
        <v>36</v>
      </c>
      <c r="W769" s="7">
        <v>33.799999999999997</v>
      </c>
      <c r="X769" s="6" t="s">
        <v>35</v>
      </c>
      <c r="Y769" s="7">
        <v>1.6</v>
      </c>
      <c r="Z769" s="7">
        <v>1.4</v>
      </c>
      <c r="AA769" s="6" t="s">
        <v>243</v>
      </c>
      <c r="AB769" s="6" t="s">
        <v>38</v>
      </c>
      <c r="AD769" s="6" t="s">
        <v>39</v>
      </c>
      <c r="AE769" s="6"/>
      <c r="AG769" s="6" t="s">
        <v>37</v>
      </c>
      <c r="AH769" s="7">
        <v>60</v>
      </c>
      <c r="AI769" s="6" t="s">
        <v>40</v>
      </c>
      <c r="AJ769" s="6" t="s">
        <v>238</v>
      </c>
      <c r="AK769" s="6" t="s">
        <v>35</v>
      </c>
      <c r="AL769" s="6" t="s">
        <v>41</v>
      </c>
      <c r="AM769" s="6" t="s">
        <v>41</v>
      </c>
      <c r="AN769" s="6" t="s">
        <v>1238</v>
      </c>
    </row>
    <row r="770" spans="1:40" x14ac:dyDescent="0.25">
      <c r="A770" s="4">
        <v>45784</v>
      </c>
      <c r="B770" s="6" t="s">
        <v>231</v>
      </c>
      <c r="C770" t="str">
        <f>_xlfn.XLOOKUP(Table3[[#This Row],[station]],station_waterbody_county!A:A, station_waterbody_county!B:B)</f>
        <v>Mahone Bay</v>
      </c>
      <c r="D770" t="str">
        <f>_xlfn.XLOOKUP(Table3[[#This Row],[station]],station_waterbody_county!A:A, station_waterbody_county!C:C)</f>
        <v>Lunenburg</v>
      </c>
      <c r="E770" s="6"/>
      <c r="F770" s="6" t="s">
        <v>310</v>
      </c>
      <c r="G770" s="4">
        <v>45617</v>
      </c>
      <c r="H770" s="5">
        <v>0.62777777777777777</v>
      </c>
      <c r="I770" s="4">
        <v>45779</v>
      </c>
      <c r="J770" s="5">
        <v>0.61041666666666672</v>
      </c>
      <c r="K770" s="10"/>
      <c r="O770" s="6" t="s">
        <v>588</v>
      </c>
      <c r="P770" s="6" t="s">
        <v>589</v>
      </c>
      <c r="Q770" s="6" t="s">
        <v>1236</v>
      </c>
      <c r="R770" s="6" t="s">
        <v>1237</v>
      </c>
      <c r="S770" s="6" t="s">
        <v>239</v>
      </c>
      <c r="T770" s="11">
        <v>22055894</v>
      </c>
      <c r="U770" s="7">
        <v>27</v>
      </c>
      <c r="V770" s="6" t="s">
        <v>36</v>
      </c>
      <c r="W770" s="7">
        <v>33.799999999999997</v>
      </c>
      <c r="X770" s="6" t="s">
        <v>35</v>
      </c>
      <c r="Y770" s="7">
        <v>1.6</v>
      </c>
      <c r="Z770" s="7">
        <v>1.4</v>
      </c>
      <c r="AA770" s="6" t="s">
        <v>243</v>
      </c>
      <c r="AB770" s="6" t="s">
        <v>38</v>
      </c>
      <c r="AD770" s="6" t="s">
        <v>39</v>
      </c>
      <c r="AE770" s="6"/>
      <c r="AG770" s="6" t="s">
        <v>37</v>
      </c>
      <c r="AH770" s="7">
        <v>60</v>
      </c>
      <c r="AI770" s="6" t="s">
        <v>40</v>
      </c>
      <c r="AJ770" s="6" t="s">
        <v>238</v>
      </c>
      <c r="AK770" s="6" t="s">
        <v>35</v>
      </c>
      <c r="AL770" s="6" t="s">
        <v>41</v>
      </c>
      <c r="AM770" s="6" t="s">
        <v>41</v>
      </c>
      <c r="AN770" s="6" t="s">
        <v>1238</v>
      </c>
    </row>
    <row r="771" spans="1:40" hidden="1" x14ac:dyDescent="0.25">
      <c r="A771" s="4">
        <v>45784</v>
      </c>
      <c r="B771" s="6" t="s">
        <v>231</v>
      </c>
      <c r="C771" t="str">
        <f>_xlfn.XLOOKUP(Table3[[#This Row],[station]],station_waterbody_county!A:A, station_waterbody_county!B:B)</f>
        <v>Mahone Bay</v>
      </c>
      <c r="D771" t="str">
        <f>_xlfn.XLOOKUP(Table3[[#This Row],[station]],station_waterbody_county!A:A, station_waterbody_county!C:C)</f>
        <v>Lunenburg</v>
      </c>
      <c r="E771" s="6"/>
      <c r="F771" s="6" t="s">
        <v>34</v>
      </c>
      <c r="G771" s="4">
        <v>45779</v>
      </c>
      <c r="H771" s="5">
        <v>0.62569444444444444</v>
      </c>
      <c r="I771" s="4"/>
      <c r="J771" s="5"/>
      <c r="K771" s="10"/>
      <c r="O771" s="6" t="s">
        <v>1239</v>
      </c>
      <c r="P771" s="6" t="s">
        <v>1240</v>
      </c>
      <c r="S771" s="6" t="s">
        <v>239</v>
      </c>
      <c r="T771" s="11">
        <v>21083007</v>
      </c>
      <c r="U771" s="7">
        <v>2</v>
      </c>
      <c r="V771" s="6" t="s">
        <v>36</v>
      </c>
      <c r="W771" s="7">
        <v>34.6</v>
      </c>
      <c r="X771" s="6" t="s">
        <v>35</v>
      </c>
      <c r="Y771" s="7">
        <v>1.7</v>
      </c>
      <c r="Z771" s="7">
        <v>1.4</v>
      </c>
      <c r="AA771" s="6" t="s">
        <v>243</v>
      </c>
      <c r="AB771" s="6" t="s">
        <v>38</v>
      </c>
      <c r="AD771" s="6" t="s">
        <v>39</v>
      </c>
      <c r="AE771" s="6" t="s">
        <v>40</v>
      </c>
      <c r="AG771" s="6" t="s">
        <v>37</v>
      </c>
      <c r="AH771" s="7">
        <v>60</v>
      </c>
      <c r="AI771" s="6" t="s">
        <v>40</v>
      </c>
      <c r="AJ771" s="6" t="s">
        <v>238</v>
      </c>
      <c r="AL771" s="6" t="s">
        <v>41</v>
      </c>
    </row>
    <row r="772" spans="1:40" hidden="1" x14ac:dyDescent="0.25">
      <c r="A772" s="4">
        <v>45784</v>
      </c>
      <c r="B772" s="6" t="s">
        <v>231</v>
      </c>
      <c r="C772" t="str">
        <f>_xlfn.XLOOKUP(Table3[[#This Row],[station]],station_waterbody_county!A:A, station_waterbody_county!B:B)</f>
        <v>Mahone Bay</v>
      </c>
      <c r="D772" t="str">
        <f>_xlfn.XLOOKUP(Table3[[#This Row],[station]],station_waterbody_county!A:A, station_waterbody_county!C:C)</f>
        <v>Lunenburg</v>
      </c>
      <c r="E772" s="6"/>
      <c r="F772" s="6" t="s">
        <v>34</v>
      </c>
      <c r="G772" s="4">
        <v>45779</v>
      </c>
      <c r="H772" s="5">
        <v>0.62569444444444444</v>
      </c>
      <c r="I772" s="4"/>
      <c r="J772" s="5"/>
      <c r="K772" s="10"/>
      <c r="O772" s="6" t="s">
        <v>1239</v>
      </c>
      <c r="P772" s="6" t="s">
        <v>1240</v>
      </c>
      <c r="S772" s="6" t="s">
        <v>239</v>
      </c>
      <c r="T772" s="11">
        <v>22278829</v>
      </c>
      <c r="U772" s="7">
        <v>5</v>
      </c>
      <c r="V772" s="6" t="s">
        <v>36</v>
      </c>
      <c r="W772" s="7">
        <v>34.6</v>
      </c>
      <c r="X772" s="6" t="s">
        <v>35</v>
      </c>
      <c r="Y772" s="7">
        <v>1.7</v>
      </c>
      <c r="Z772" s="7">
        <v>1.4</v>
      </c>
      <c r="AA772" s="6" t="s">
        <v>243</v>
      </c>
      <c r="AB772" s="6" t="s">
        <v>38</v>
      </c>
      <c r="AD772" s="6" t="s">
        <v>39</v>
      </c>
      <c r="AE772" s="6" t="s">
        <v>40</v>
      </c>
      <c r="AG772" s="6" t="s">
        <v>37</v>
      </c>
      <c r="AH772" s="7">
        <v>60</v>
      </c>
      <c r="AI772" s="6" t="s">
        <v>40</v>
      </c>
      <c r="AJ772" s="6" t="s">
        <v>238</v>
      </c>
      <c r="AL772" s="6" t="s">
        <v>41</v>
      </c>
    </row>
    <row r="773" spans="1:40" hidden="1" x14ac:dyDescent="0.25">
      <c r="A773" s="4">
        <v>45784</v>
      </c>
      <c r="B773" s="6" t="s">
        <v>231</v>
      </c>
      <c r="C773" t="str">
        <f>_xlfn.XLOOKUP(Table3[[#This Row],[station]],station_waterbody_county!A:A, station_waterbody_county!B:B)</f>
        <v>Mahone Bay</v>
      </c>
      <c r="D773" t="str">
        <f>_xlfn.XLOOKUP(Table3[[#This Row],[station]],station_waterbody_county!A:A, station_waterbody_county!C:C)</f>
        <v>Lunenburg</v>
      </c>
      <c r="E773" s="6"/>
      <c r="F773" s="6" t="s">
        <v>34</v>
      </c>
      <c r="G773" s="4">
        <v>45779</v>
      </c>
      <c r="H773" s="5">
        <v>0.62569444444444444</v>
      </c>
      <c r="I773" s="4"/>
      <c r="J773" s="5"/>
      <c r="K773" s="10"/>
      <c r="O773" s="6" t="s">
        <v>1239</v>
      </c>
      <c r="P773" s="6" t="s">
        <v>1240</v>
      </c>
      <c r="S773" s="6" t="s">
        <v>239</v>
      </c>
      <c r="T773" s="11">
        <v>22249009</v>
      </c>
      <c r="U773" s="7">
        <v>10</v>
      </c>
      <c r="V773" s="6" t="s">
        <v>36</v>
      </c>
      <c r="W773" s="7">
        <v>34.6</v>
      </c>
      <c r="X773" s="6" t="s">
        <v>35</v>
      </c>
      <c r="Y773" s="7">
        <v>1.7</v>
      </c>
      <c r="Z773" s="7">
        <v>1.4</v>
      </c>
      <c r="AA773" s="6" t="s">
        <v>243</v>
      </c>
      <c r="AB773" s="6" t="s">
        <v>38</v>
      </c>
      <c r="AD773" s="6" t="s">
        <v>39</v>
      </c>
      <c r="AE773" s="6" t="s">
        <v>40</v>
      </c>
      <c r="AG773" s="6" t="s">
        <v>37</v>
      </c>
      <c r="AH773" s="7">
        <v>60</v>
      </c>
      <c r="AI773" s="6" t="s">
        <v>40</v>
      </c>
      <c r="AJ773" s="6" t="s">
        <v>238</v>
      </c>
      <c r="AL773" s="6" t="s">
        <v>41</v>
      </c>
    </row>
    <row r="774" spans="1:40" hidden="1" x14ac:dyDescent="0.25">
      <c r="A774" s="4">
        <v>45784</v>
      </c>
      <c r="B774" s="6" t="s">
        <v>231</v>
      </c>
      <c r="C774" t="str">
        <f>_xlfn.XLOOKUP(Table3[[#This Row],[station]],station_waterbody_county!A:A, station_waterbody_county!B:B)</f>
        <v>Mahone Bay</v>
      </c>
      <c r="D774" t="str">
        <f>_xlfn.XLOOKUP(Table3[[#This Row],[station]],station_waterbody_county!A:A, station_waterbody_county!C:C)</f>
        <v>Lunenburg</v>
      </c>
      <c r="E774" s="6"/>
      <c r="F774" s="6" t="s">
        <v>34</v>
      </c>
      <c r="G774" s="4">
        <v>45779</v>
      </c>
      <c r="H774" s="5">
        <v>0.62569444444444444</v>
      </c>
      <c r="I774" s="4"/>
      <c r="J774" s="5"/>
      <c r="K774" s="10"/>
      <c r="O774" s="6" t="s">
        <v>1239</v>
      </c>
      <c r="P774" s="6" t="s">
        <v>1240</v>
      </c>
      <c r="S774" s="6" t="s">
        <v>239</v>
      </c>
      <c r="T774" s="11">
        <v>22278823</v>
      </c>
      <c r="U774" s="7">
        <v>15</v>
      </c>
      <c r="V774" s="6" t="s">
        <v>36</v>
      </c>
      <c r="W774" s="7">
        <v>34.6</v>
      </c>
      <c r="X774" s="6" t="s">
        <v>35</v>
      </c>
      <c r="Y774" s="7">
        <v>1.7</v>
      </c>
      <c r="Z774" s="7">
        <v>1.4</v>
      </c>
      <c r="AA774" s="6" t="s">
        <v>243</v>
      </c>
      <c r="AB774" s="6" t="s">
        <v>38</v>
      </c>
      <c r="AD774" s="6" t="s">
        <v>39</v>
      </c>
      <c r="AE774" s="6" t="s">
        <v>40</v>
      </c>
      <c r="AG774" s="6" t="s">
        <v>37</v>
      </c>
      <c r="AH774" s="7">
        <v>60</v>
      </c>
      <c r="AI774" s="6" t="s">
        <v>40</v>
      </c>
      <c r="AJ774" s="6" t="s">
        <v>238</v>
      </c>
      <c r="AL774" s="6" t="s">
        <v>41</v>
      </c>
    </row>
    <row r="775" spans="1:40" hidden="1" x14ac:dyDescent="0.25">
      <c r="A775" s="4">
        <v>45784</v>
      </c>
      <c r="B775" s="6" t="s">
        <v>231</v>
      </c>
      <c r="C775" t="str">
        <f>_xlfn.XLOOKUP(Table3[[#This Row],[station]],station_waterbody_county!A:A, station_waterbody_county!B:B)</f>
        <v>Mahone Bay</v>
      </c>
      <c r="D775" t="str">
        <f>_xlfn.XLOOKUP(Table3[[#This Row],[station]],station_waterbody_county!A:A, station_waterbody_county!C:C)</f>
        <v>Lunenburg</v>
      </c>
      <c r="E775" s="6"/>
      <c r="F775" s="6" t="s">
        <v>34</v>
      </c>
      <c r="G775" s="4">
        <v>45779</v>
      </c>
      <c r="H775" s="5">
        <v>0.62569444444444444</v>
      </c>
      <c r="I775" s="4"/>
      <c r="J775" s="5"/>
      <c r="K775" s="10"/>
      <c r="O775" s="6" t="s">
        <v>1239</v>
      </c>
      <c r="P775" s="6" t="s">
        <v>1240</v>
      </c>
      <c r="S775" s="6" t="s">
        <v>239</v>
      </c>
      <c r="T775" s="11">
        <v>22278852</v>
      </c>
      <c r="U775" s="7">
        <v>20</v>
      </c>
      <c r="V775" s="6" t="s">
        <v>36</v>
      </c>
      <c r="W775" s="7">
        <v>34.6</v>
      </c>
      <c r="X775" s="6" t="s">
        <v>35</v>
      </c>
      <c r="Y775" s="7">
        <v>1.7</v>
      </c>
      <c r="Z775" s="7">
        <v>1.4</v>
      </c>
      <c r="AA775" s="6" t="s">
        <v>243</v>
      </c>
      <c r="AB775" s="6" t="s">
        <v>38</v>
      </c>
      <c r="AD775" s="6" t="s">
        <v>39</v>
      </c>
      <c r="AE775" s="6" t="s">
        <v>40</v>
      </c>
      <c r="AG775" s="6" t="s">
        <v>37</v>
      </c>
      <c r="AH775" s="7">
        <v>60</v>
      </c>
      <c r="AI775" s="6" t="s">
        <v>40</v>
      </c>
      <c r="AJ775" s="6" t="s">
        <v>238</v>
      </c>
      <c r="AL775" s="6" t="s">
        <v>41</v>
      </c>
    </row>
    <row r="776" spans="1:40" hidden="1" x14ac:dyDescent="0.25">
      <c r="A776" s="4">
        <v>45784</v>
      </c>
      <c r="B776" s="6" t="s">
        <v>231</v>
      </c>
      <c r="C776" t="str">
        <f>_xlfn.XLOOKUP(Table3[[#This Row],[station]],station_waterbody_county!A:A, station_waterbody_county!B:B)</f>
        <v>Mahone Bay</v>
      </c>
      <c r="D776" t="str">
        <f>_xlfn.XLOOKUP(Table3[[#This Row],[station]],station_waterbody_county!A:A, station_waterbody_county!C:C)</f>
        <v>Lunenburg</v>
      </c>
      <c r="E776" s="6"/>
      <c r="F776" s="6" t="s">
        <v>34</v>
      </c>
      <c r="G776" s="4">
        <v>45779</v>
      </c>
      <c r="H776" s="5">
        <v>0.62569444444444444</v>
      </c>
      <c r="I776" s="4"/>
      <c r="J776" s="5"/>
      <c r="K776" s="10"/>
      <c r="O776" s="6" t="s">
        <v>1239</v>
      </c>
      <c r="P776" s="6" t="s">
        <v>1240</v>
      </c>
      <c r="S776" s="6" t="s">
        <v>42</v>
      </c>
      <c r="T776" s="11">
        <v>548042</v>
      </c>
      <c r="U776" s="7">
        <v>27</v>
      </c>
      <c r="V776" s="6" t="s">
        <v>36</v>
      </c>
      <c r="W776" s="7">
        <v>34.6</v>
      </c>
      <c r="X776" s="6" t="s">
        <v>35</v>
      </c>
      <c r="Y776" s="7">
        <v>1.7</v>
      </c>
      <c r="Z776" s="7">
        <v>1.4</v>
      </c>
      <c r="AA776" s="6" t="s">
        <v>243</v>
      </c>
      <c r="AB776" s="6" t="s">
        <v>38</v>
      </c>
      <c r="AD776" s="6" t="s">
        <v>39</v>
      </c>
      <c r="AE776" s="6" t="s">
        <v>40</v>
      </c>
      <c r="AG776" s="6" t="s">
        <v>37</v>
      </c>
      <c r="AH776" s="7">
        <v>60</v>
      </c>
      <c r="AI776" s="6" t="s">
        <v>40</v>
      </c>
      <c r="AJ776" s="6" t="s">
        <v>238</v>
      </c>
      <c r="AL776" s="6" t="s">
        <v>41</v>
      </c>
    </row>
    <row r="777" spans="1:40" hidden="1" x14ac:dyDescent="0.25">
      <c r="A777" s="4">
        <v>45784</v>
      </c>
      <c r="B777" s="6" t="s">
        <v>231</v>
      </c>
      <c r="C777" t="str">
        <f>_xlfn.XLOOKUP(Table3[[#This Row],[station]],station_waterbody_county!A:A, station_waterbody_county!B:B)</f>
        <v>Mahone Bay</v>
      </c>
      <c r="D777" t="str">
        <f>_xlfn.XLOOKUP(Table3[[#This Row],[station]],station_waterbody_county!A:A, station_waterbody_county!C:C)</f>
        <v>Lunenburg</v>
      </c>
      <c r="E777" s="6"/>
      <c r="F777" s="6" t="s">
        <v>34</v>
      </c>
      <c r="G777" s="4">
        <v>45779</v>
      </c>
      <c r="H777" s="5">
        <v>0.62569444444444444</v>
      </c>
      <c r="I777" s="4"/>
      <c r="J777" s="5"/>
      <c r="K777" s="10"/>
      <c r="O777" s="6" t="s">
        <v>1239</v>
      </c>
      <c r="P777" s="6" t="s">
        <v>1240</v>
      </c>
      <c r="S777" s="6" t="s">
        <v>239</v>
      </c>
      <c r="T777" s="11">
        <v>22278861</v>
      </c>
      <c r="U777" s="7">
        <v>27</v>
      </c>
      <c r="V777" s="6" t="s">
        <v>36</v>
      </c>
      <c r="W777" s="7">
        <v>34.6</v>
      </c>
      <c r="X777" s="6" t="s">
        <v>35</v>
      </c>
      <c r="Y777" s="7">
        <v>1.7</v>
      </c>
      <c r="Z777" s="7">
        <v>1.4</v>
      </c>
      <c r="AA777" s="6" t="s">
        <v>243</v>
      </c>
      <c r="AB777" s="6" t="s">
        <v>38</v>
      </c>
      <c r="AD777" s="6" t="s">
        <v>39</v>
      </c>
      <c r="AE777" s="6" t="s">
        <v>40</v>
      </c>
      <c r="AG777" s="6" t="s">
        <v>37</v>
      </c>
      <c r="AH777" s="7">
        <v>60</v>
      </c>
      <c r="AI777" s="6" t="s">
        <v>40</v>
      </c>
      <c r="AJ777" s="6" t="s">
        <v>238</v>
      </c>
      <c r="AL777" s="6" t="s">
        <v>41</v>
      </c>
    </row>
    <row r="778" spans="1:40" x14ac:dyDescent="0.25">
      <c r="A778" s="4">
        <v>45863</v>
      </c>
      <c r="B778" s="6" t="s">
        <v>865</v>
      </c>
      <c r="C778" t="str">
        <f>_xlfn.XLOOKUP(Table3[[#This Row],[station]],station_waterbody_county!A:A, station_waterbody_county!B:B)</f>
        <v>Nyanza Bay</v>
      </c>
      <c r="D778" t="str">
        <f>_xlfn.XLOOKUP(Table3[[#This Row],[station]],station_waterbody_county!A:A, station_waterbody_county!C:C)</f>
        <v>Victoria</v>
      </c>
      <c r="E778" s="6"/>
      <c r="F778" s="6" t="s">
        <v>310</v>
      </c>
      <c r="G778" s="12">
        <v>45446</v>
      </c>
      <c r="H778" s="5">
        <v>0.83125000000000004</v>
      </c>
      <c r="I778" s="4">
        <v>45825</v>
      </c>
      <c r="J778" s="5">
        <v>0.80833333333333335</v>
      </c>
      <c r="K778" s="10"/>
      <c r="O778" s="6" t="s">
        <v>1299</v>
      </c>
      <c r="P778" s="6" t="s">
        <v>1300</v>
      </c>
      <c r="Q778" s="6" t="s">
        <v>1323</v>
      </c>
      <c r="R778" s="6" t="s">
        <v>1324</v>
      </c>
      <c r="S778" s="6" t="s">
        <v>240</v>
      </c>
      <c r="T778" s="11">
        <v>671379</v>
      </c>
      <c r="U778" s="7">
        <v>2</v>
      </c>
      <c r="V778" s="6" t="s">
        <v>36</v>
      </c>
      <c r="W778" s="7"/>
      <c r="X778" s="6" t="s">
        <v>35</v>
      </c>
      <c r="Y778" s="7">
        <v>0.4</v>
      </c>
      <c r="Z778" s="7">
        <v>0.5</v>
      </c>
      <c r="AA778" s="6" t="s">
        <v>314</v>
      </c>
      <c r="AB778" s="6" t="s">
        <v>38</v>
      </c>
      <c r="AD778" s="6" t="s">
        <v>39</v>
      </c>
      <c r="AE778" s="6" t="s">
        <v>40</v>
      </c>
      <c r="AG778" s="6" t="s">
        <v>37</v>
      </c>
      <c r="AH778" s="7">
        <v>60</v>
      </c>
      <c r="AI778" s="6" t="s">
        <v>40</v>
      </c>
      <c r="AJ778" s="6" t="s">
        <v>238</v>
      </c>
      <c r="AL778" s="6" t="s">
        <v>1301</v>
      </c>
      <c r="AM778" s="6" t="s">
        <v>1320</v>
      </c>
    </row>
    <row r="779" spans="1:40" x14ac:dyDescent="0.25">
      <c r="A779" s="4">
        <v>45863</v>
      </c>
      <c r="B779" s="6" t="s">
        <v>865</v>
      </c>
      <c r="C779" t="str">
        <f>_xlfn.XLOOKUP(Table3[[#This Row],[station]],station_waterbody_county!A:A, station_waterbody_county!B:B)</f>
        <v>Nyanza Bay</v>
      </c>
      <c r="D779" t="str">
        <f>_xlfn.XLOOKUP(Table3[[#This Row],[station]],station_waterbody_county!A:A, station_waterbody_county!C:C)</f>
        <v>Victoria</v>
      </c>
      <c r="E779" s="6"/>
      <c r="F779" s="6" t="s">
        <v>310</v>
      </c>
      <c r="G779" s="12">
        <v>45446</v>
      </c>
      <c r="H779" s="5">
        <v>0.83125000000000004</v>
      </c>
      <c r="I779" s="4">
        <v>45825</v>
      </c>
      <c r="J779" s="5">
        <v>0.80833333333333335</v>
      </c>
      <c r="K779" s="10"/>
      <c r="O779" s="6" t="s">
        <v>1299</v>
      </c>
      <c r="P779" s="6" t="s">
        <v>1300</v>
      </c>
      <c r="Q779" s="6" t="s">
        <v>1323</v>
      </c>
      <c r="R779" s="6" t="s">
        <v>1324</v>
      </c>
      <c r="S779" s="6" t="s">
        <v>239</v>
      </c>
      <c r="T779" s="11">
        <v>21927311</v>
      </c>
      <c r="U779" s="7">
        <v>5</v>
      </c>
      <c r="V779" s="6" t="s">
        <v>36</v>
      </c>
      <c r="W779" s="7"/>
      <c r="X779" s="6" t="s">
        <v>35</v>
      </c>
      <c r="Y779" s="7">
        <v>0.4</v>
      </c>
      <c r="Z779" s="7">
        <v>0.5</v>
      </c>
      <c r="AA779" s="6" t="s">
        <v>314</v>
      </c>
      <c r="AB779" s="6" t="s">
        <v>38</v>
      </c>
      <c r="AD779" s="6" t="s">
        <v>39</v>
      </c>
      <c r="AE779" s="6" t="s">
        <v>40</v>
      </c>
      <c r="AG779" s="6" t="s">
        <v>37</v>
      </c>
      <c r="AH779" s="7">
        <v>60</v>
      </c>
      <c r="AI779" s="6" t="s">
        <v>40</v>
      </c>
      <c r="AJ779" s="6" t="s">
        <v>238</v>
      </c>
      <c r="AL779" s="6" t="s">
        <v>1301</v>
      </c>
      <c r="AM779" s="6" t="s">
        <v>1320</v>
      </c>
    </row>
    <row r="780" spans="1:40" x14ac:dyDescent="0.25">
      <c r="A780" s="4">
        <v>45863</v>
      </c>
      <c r="B780" s="6" t="s">
        <v>865</v>
      </c>
      <c r="C780" t="str">
        <f>_xlfn.XLOOKUP(Table3[[#This Row],[station]],station_waterbody_county!A:A, station_waterbody_county!B:B)</f>
        <v>Nyanza Bay</v>
      </c>
      <c r="D780" t="str">
        <f>_xlfn.XLOOKUP(Table3[[#This Row],[station]],station_waterbody_county!A:A, station_waterbody_county!C:C)</f>
        <v>Victoria</v>
      </c>
      <c r="E780" s="6"/>
      <c r="F780" s="6" t="s">
        <v>310</v>
      </c>
      <c r="G780" s="12">
        <v>45446</v>
      </c>
      <c r="H780" s="5">
        <v>0.83125000000000004</v>
      </c>
      <c r="I780" s="4">
        <v>45825</v>
      </c>
      <c r="J780" s="5">
        <v>0.80833333333333335</v>
      </c>
      <c r="K780" s="10"/>
      <c r="O780" s="6" t="s">
        <v>1299</v>
      </c>
      <c r="P780" s="6" t="s">
        <v>1300</v>
      </c>
      <c r="Q780" s="6" t="s">
        <v>1323</v>
      </c>
      <c r="R780" s="6" t="s">
        <v>1324</v>
      </c>
      <c r="S780" s="6" t="s">
        <v>42</v>
      </c>
      <c r="T780" s="11">
        <v>547089</v>
      </c>
      <c r="U780" s="7">
        <v>6</v>
      </c>
      <c r="V780" s="6" t="s">
        <v>36</v>
      </c>
      <c r="W780" s="7"/>
      <c r="X780" s="6" t="s">
        <v>35</v>
      </c>
      <c r="Y780" s="7">
        <v>0.4</v>
      </c>
      <c r="Z780" s="7">
        <v>0.5</v>
      </c>
      <c r="AA780" s="6" t="s">
        <v>314</v>
      </c>
      <c r="AB780" s="6" t="s">
        <v>38</v>
      </c>
      <c r="AD780" s="6" t="s">
        <v>39</v>
      </c>
      <c r="AE780" s="6" t="s">
        <v>40</v>
      </c>
      <c r="AG780" s="6" t="s">
        <v>37</v>
      </c>
      <c r="AH780" s="7">
        <v>60</v>
      </c>
      <c r="AI780" s="6" t="s">
        <v>40</v>
      </c>
      <c r="AJ780" s="6" t="s">
        <v>238</v>
      </c>
      <c r="AL780" s="6" t="s">
        <v>1301</v>
      </c>
      <c r="AM780" s="6" t="s">
        <v>1320</v>
      </c>
    </row>
    <row r="781" spans="1:40" hidden="1" x14ac:dyDescent="0.25">
      <c r="A781" s="4">
        <v>45863</v>
      </c>
      <c r="B781" s="6" t="s">
        <v>865</v>
      </c>
      <c r="C781" s="6" t="str">
        <f>_xlfn.XLOOKUP(Table3[[#This Row],[station]],station_waterbody_county!A:A, station_waterbody_county!B:B)</f>
        <v>Nyanza Bay</v>
      </c>
      <c r="D781" s="3" t="str">
        <f>_xlfn.XLOOKUP(Table3[[#This Row],[station]],station_waterbody_county!A:A, station_waterbody_county!C:C)</f>
        <v>Victoria</v>
      </c>
      <c r="E781" s="6"/>
      <c r="F781" s="6" t="s">
        <v>34</v>
      </c>
      <c r="G781" s="12">
        <v>45825</v>
      </c>
      <c r="H781" s="5">
        <v>0.82430555555555551</v>
      </c>
      <c r="I781" s="4"/>
      <c r="J781" s="5"/>
      <c r="K781" s="10"/>
      <c r="O781" s="6" t="s">
        <v>1325</v>
      </c>
      <c r="P781" s="6" t="s">
        <v>1326</v>
      </c>
      <c r="S781" s="6" t="s">
        <v>240</v>
      </c>
      <c r="T781" s="11">
        <v>671014</v>
      </c>
      <c r="U781" s="7">
        <v>2</v>
      </c>
      <c r="V781" s="6" t="s">
        <v>36</v>
      </c>
      <c r="W781" s="7">
        <v>6.6</v>
      </c>
      <c r="X781" s="6" t="s">
        <v>35</v>
      </c>
      <c r="Y781" s="7">
        <v>0.5</v>
      </c>
      <c r="Z781" s="7">
        <v>0.5</v>
      </c>
      <c r="AA781" s="6" t="s">
        <v>243</v>
      </c>
      <c r="AB781" s="6" t="s">
        <v>38</v>
      </c>
      <c r="AD781" s="6" t="s">
        <v>39</v>
      </c>
      <c r="AE781" s="6" t="s">
        <v>40</v>
      </c>
      <c r="AG781" s="6" t="s">
        <v>37</v>
      </c>
      <c r="AH781" s="7">
        <v>60</v>
      </c>
      <c r="AI781" s="6" t="s">
        <v>40</v>
      </c>
      <c r="AJ781" s="6" t="s">
        <v>238</v>
      </c>
      <c r="AL781" s="6" t="s">
        <v>1320</v>
      </c>
    </row>
    <row r="782" spans="1:40" hidden="1" x14ac:dyDescent="0.25">
      <c r="A782" s="4">
        <v>45863</v>
      </c>
      <c r="B782" s="6" t="s">
        <v>865</v>
      </c>
      <c r="C782" s="6" t="str">
        <f>_xlfn.XLOOKUP(Table3[[#This Row],[station]],station_waterbody_county!A:A, station_waterbody_county!B:B)</f>
        <v>Nyanza Bay</v>
      </c>
      <c r="D782" s="3" t="str">
        <f>_xlfn.XLOOKUP(Table3[[#This Row],[station]],station_waterbody_county!A:A, station_waterbody_county!C:C)</f>
        <v>Victoria</v>
      </c>
      <c r="E782" s="6"/>
      <c r="F782" s="6" t="s">
        <v>34</v>
      </c>
      <c r="G782" s="12">
        <v>45825</v>
      </c>
      <c r="H782" s="5">
        <v>0.82430555555555551</v>
      </c>
      <c r="I782" s="4"/>
      <c r="J782" s="5"/>
      <c r="K782" s="10"/>
      <c r="O782" s="6" t="s">
        <v>1325</v>
      </c>
      <c r="P782" s="6" t="s">
        <v>1326</v>
      </c>
      <c r="S782" s="6" t="s">
        <v>239</v>
      </c>
      <c r="T782" s="11">
        <v>21444892</v>
      </c>
      <c r="U782" s="7">
        <v>5</v>
      </c>
      <c r="V782" s="6" t="s">
        <v>36</v>
      </c>
      <c r="W782" s="7">
        <v>6.6</v>
      </c>
      <c r="X782" s="6" t="s">
        <v>35</v>
      </c>
      <c r="Y782" s="7">
        <v>0.5</v>
      </c>
      <c r="Z782" s="7">
        <v>0.5</v>
      </c>
      <c r="AA782" s="6" t="s">
        <v>243</v>
      </c>
      <c r="AB782" s="6" t="s">
        <v>38</v>
      </c>
      <c r="AD782" s="6" t="s">
        <v>39</v>
      </c>
      <c r="AE782" s="6" t="s">
        <v>40</v>
      </c>
      <c r="AG782" s="6" t="s">
        <v>37</v>
      </c>
      <c r="AH782" s="7">
        <v>60</v>
      </c>
      <c r="AI782" s="6" t="s">
        <v>40</v>
      </c>
      <c r="AJ782" s="6" t="s">
        <v>238</v>
      </c>
      <c r="AL782" s="6" t="s">
        <v>1320</v>
      </c>
    </row>
    <row r="783" spans="1:40" hidden="1" x14ac:dyDescent="0.25">
      <c r="A783" s="4">
        <v>45863</v>
      </c>
      <c r="B783" s="6" t="s">
        <v>865</v>
      </c>
      <c r="C783" s="6" t="str">
        <f>_xlfn.XLOOKUP(Table3[[#This Row],[station]],station_waterbody_county!A:A, station_waterbody_county!B:B)</f>
        <v>Nyanza Bay</v>
      </c>
      <c r="D783" s="3" t="str">
        <f>_xlfn.XLOOKUP(Table3[[#This Row],[station]],station_waterbody_county!A:A, station_waterbody_county!C:C)</f>
        <v>Victoria</v>
      </c>
      <c r="E783" s="6"/>
      <c r="F783" s="6" t="s">
        <v>34</v>
      </c>
      <c r="G783" s="12">
        <v>45825</v>
      </c>
      <c r="H783" s="5">
        <v>0.82430555555555551</v>
      </c>
      <c r="I783" s="4"/>
      <c r="J783" s="5"/>
      <c r="K783" s="10"/>
      <c r="O783" s="6" t="s">
        <v>1325</v>
      </c>
      <c r="P783" s="6" t="s">
        <v>1326</v>
      </c>
      <c r="S783" s="6" t="s">
        <v>42</v>
      </c>
      <c r="T783" s="11">
        <v>548591</v>
      </c>
      <c r="U783" s="7">
        <v>6</v>
      </c>
      <c r="V783" s="6" t="s">
        <v>36</v>
      </c>
      <c r="W783" s="7">
        <v>6.6</v>
      </c>
      <c r="X783" s="6" t="s">
        <v>35</v>
      </c>
      <c r="Y783" s="7">
        <v>0.5</v>
      </c>
      <c r="Z783" s="7">
        <v>0.5</v>
      </c>
      <c r="AA783" s="6" t="s">
        <v>243</v>
      </c>
      <c r="AB783" s="6" t="s">
        <v>38</v>
      </c>
      <c r="AD783" s="6" t="s">
        <v>39</v>
      </c>
      <c r="AE783" s="6" t="s">
        <v>40</v>
      </c>
      <c r="AG783" s="6" t="s">
        <v>37</v>
      </c>
      <c r="AH783" s="7">
        <v>60</v>
      </c>
      <c r="AI783" s="6" t="s">
        <v>40</v>
      </c>
      <c r="AJ783" s="6" t="s">
        <v>238</v>
      </c>
      <c r="AL783" s="6" t="s">
        <v>1320</v>
      </c>
    </row>
    <row r="784" spans="1:40" hidden="1" x14ac:dyDescent="0.25">
      <c r="A784" s="4">
        <v>45863</v>
      </c>
      <c r="B784" s="6" t="s">
        <v>865</v>
      </c>
      <c r="C784" s="6" t="str">
        <f>_xlfn.XLOOKUP(Table3[[#This Row],[station]],station_waterbody_county!A:A, station_waterbody_county!B:B)</f>
        <v>Nyanza Bay</v>
      </c>
      <c r="D784" s="3" t="str">
        <f>_xlfn.XLOOKUP(Table3[[#This Row],[station]],station_waterbody_county!A:A, station_waterbody_county!C:C)</f>
        <v>Victoria</v>
      </c>
      <c r="E784" s="6"/>
      <c r="F784" s="6" t="s">
        <v>34</v>
      </c>
      <c r="G784" s="12">
        <v>45825</v>
      </c>
      <c r="H784" s="5">
        <v>0.82430555555555551</v>
      </c>
      <c r="I784" s="4"/>
      <c r="J784" s="5"/>
      <c r="K784" s="10"/>
      <c r="O784" s="6" t="s">
        <v>1325</v>
      </c>
      <c r="P784" s="6" t="s">
        <v>1326</v>
      </c>
      <c r="S784" s="6" t="s">
        <v>239</v>
      </c>
      <c r="T784" s="11">
        <v>22309992</v>
      </c>
      <c r="U784" s="7">
        <v>6</v>
      </c>
      <c r="V784" s="6" t="s">
        <v>36</v>
      </c>
      <c r="W784" s="7">
        <v>6.6</v>
      </c>
      <c r="X784" s="6" t="s">
        <v>35</v>
      </c>
      <c r="Y784" s="7">
        <v>0.5</v>
      </c>
      <c r="Z784" s="7">
        <v>0.5</v>
      </c>
      <c r="AA784" s="6" t="s">
        <v>243</v>
      </c>
      <c r="AB784" s="6" t="s">
        <v>38</v>
      </c>
      <c r="AD784" s="6" t="s">
        <v>39</v>
      </c>
      <c r="AE784" s="6" t="s">
        <v>40</v>
      </c>
      <c r="AG784" s="6" t="s">
        <v>37</v>
      </c>
      <c r="AH784" s="7">
        <v>60</v>
      </c>
      <c r="AI784" s="6" t="s">
        <v>40</v>
      </c>
      <c r="AJ784" s="6" t="s">
        <v>238</v>
      </c>
      <c r="AL784" s="6" t="s">
        <v>1320</v>
      </c>
    </row>
    <row r="785" spans="1:40" hidden="1" x14ac:dyDescent="0.25">
      <c r="A785" s="12">
        <v>45859</v>
      </c>
      <c r="B785" s="6" t="s">
        <v>233</v>
      </c>
      <c r="C785" t="str">
        <f>_xlfn.XLOOKUP(Table3[[#This Row],[station]],station_waterbody_county!A:A, station_waterbody_county!B:B)</f>
        <v>Lobster Bay</v>
      </c>
      <c r="D785" t="str">
        <f>_xlfn.XLOOKUP(Table3[[#This Row],[station]],station_waterbody_county!A:A, station_waterbody_county!C:C)</f>
        <v>Yarmouth</v>
      </c>
      <c r="E785" s="6"/>
      <c r="F785" s="6" t="s">
        <v>310</v>
      </c>
      <c r="G785" s="12">
        <v>45140</v>
      </c>
      <c r="H785" s="5"/>
      <c r="I785" s="4"/>
      <c r="J785" s="5"/>
      <c r="K785" s="10">
        <v>43.69397</v>
      </c>
      <c r="L785" s="10">
        <v>-65.959425999999993</v>
      </c>
      <c r="O785" s="6"/>
      <c r="S785" s="6" t="s">
        <v>253</v>
      </c>
      <c r="T785" s="11">
        <v>686012</v>
      </c>
      <c r="U785" s="7">
        <v>2</v>
      </c>
      <c r="V785" s="6" t="s">
        <v>36</v>
      </c>
      <c r="W785" s="7">
        <v>7.8</v>
      </c>
      <c r="X785" s="6" t="s">
        <v>35</v>
      </c>
      <c r="Y785" s="7"/>
      <c r="Z785" s="7">
        <v>1</v>
      </c>
      <c r="AA785" s="6"/>
      <c r="AB785" s="6" t="s">
        <v>38</v>
      </c>
      <c r="AD785" s="6" t="s">
        <v>39</v>
      </c>
      <c r="AE785" s="6"/>
      <c r="AH785" s="7"/>
      <c r="AI785" s="6" t="s">
        <v>40</v>
      </c>
      <c r="AJ785" s="6" t="s">
        <v>238</v>
      </c>
      <c r="AK785" s="6" t="s">
        <v>35</v>
      </c>
      <c r="AL785" s="6" t="s">
        <v>294</v>
      </c>
      <c r="AM785" s="6" t="s">
        <v>682</v>
      </c>
      <c r="AN785" s="6" t="s">
        <v>683</v>
      </c>
    </row>
    <row r="786" spans="1:40" hidden="1" x14ac:dyDescent="0.25">
      <c r="A786" s="12">
        <v>45859</v>
      </c>
      <c r="B786" s="6" t="s">
        <v>233</v>
      </c>
      <c r="C786" t="str">
        <f>_xlfn.XLOOKUP(Table3[[#This Row],[station]],station_waterbody_county!A:A, station_waterbody_county!B:B)</f>
        <v>Lobster Bay</v>
      </c>
      <c r="D786" t="str">
        <f>_xlfn.XLOOKUP(Table3[[#This Row],[station]],station_waterbody_county!A:A, station_waterbody_county!C:C)</f>
        <v>Yarmouth</v>
      </c>
      <c r="E786" s="6"/>
      <c r="F786" s="6" t="s">
        <v>310</v>
      </c>
      <c r="G786" s="12">
        <v>45140</v>
      </c>
      <c r="H786" s="5"/>
      <c r="I786" s="4"/>
      <c r="J786" s="5"/>
      <c r="K786" s="10">
        <v>43.69397</v>
      </c>
      <c r="L786" s="10">
        <v>-65.959425999999993</v>
      </c>
      <c r="O786" s="6"/>
      <c r="S786" s="6" t="s">
        <v>240</v>
      </c>
      <c r="T786" s="11">
        <v>671332</v>
      </c>
      <c r="U786" s="7">
        <v>4</v>
      </c>
      <c r="V786" s="6" t="s">
        <v>36</v>
      </c>
      <c r="W786" s="7">
        <v>7.8</v>
      </c>
      <c r="X786" s="6" t="s">
        <v>35</v>
      </c>
      <c r="Y786" s="7"/>
      <c r="Z786" s="7">
        <v>1</v>
      </c>
      <c r="AA786" s="6"/>
      <c r="AB786" s="6" t="s">
        <v>38</v>
      </c>
      <c r="AD786" s="6" t="s">
        <v>39</v>
      </c>
      <c r="AE786" s="6"/>
      <c r="AH786" s="7"/>
      <c r="AI786" s="6" t="s">
        <v>40</v>
      </c>
      <c r="AJ786" s="6" t="s">
        <v>238</v>
      </c>
      <c r="AK786" s="6" t="s">
        <v>35</v>
      </c>
      <c r="AL786" s="6" t="s">
        <v>294</v>
      </c>
      <c r="AM786" s="6" t="s">
        <v>682</v>
      </c>
      <c r="AN786" s="6" t="s">
        <v>683</v>
      </c>
    </row>
    <row r="787" spans="1:40" hidden="1" x14ac:dyDescent="0.25">
      <c r="A787" s="12">
        <v>45859</v>
      </c>
      <c r="B787" s="6" t="s">
        <v>233</v>
      </c>
      <c r="C787" t="str">
        <f>_xlfn.XLOOKUP(Table3[[#This Row],[station]],station_waterbody_county!A:A, station_waterbody_county!B:B)</f>
        <v>Lobster Bay</v>
      </c>
      <c r="D787" t="str">
        <f>_xlfn.XLOOKUP(Table3[[#This Row],[station]],station_waterbody_county!A:A, station_waterbody_county!C:C)</f>
        <v>Yarmouth</v>
      </c>
      <c r="E787" s="6"/>
      <c r="F787" s="6" t="s">
        <v>310</v>
      </c>
      <c r="G787" s="12">
        <v>45140</v>
      </c>
      <c r="H787" s="5"/>
      <c r="I787" s="4"/>
      <c r="J787" s="5"/>
      <c r="K787" s="10">
        <v>43.69397</v>
      </c>
      <c r="L787" s="10">
        <v>-65.959425999999993</v>
      </c>
      <c r="O787" s="6"/>
      <c r="S787" s="6" t="s">
        <v>239</v>
      </c>
      <c r="T787" s="11">
        <v>21043069</v>
      </c>
      <c r="U787" s="7">
        <v>4.5</v>
      </c>
      <c r="V787" s="6" t="s">
        <v>36</v>
      </c>
      <c r="W787" s="7">
        <v>7.8</v>
      </c>
      <c r="X787" s="6" t="s">
        <v>35</v>
      </c>
      <c r="Y787" s="7"/>
      <c r="Z787" s="7">
        <v>1</v>
      </c>
      <c r="AA787" s="6"/>
      <c r="AB787" s="6" t="s">
        <v>38</v>
      </c>
      <c r="AD787" s="6" t="s">
        <v>39</v>
      </c>
      <c r="AE787" s="6"/>
      <c r="AH787" s="7"/>
      <c r="AI787" s="6" t="s">
        <v>40</v>
      </c>
      <c r="AJ787" s="6" t="s">
        <v>238</v>
      </c>
      <c r="AK787" s="6" t="s">
        <v>35</v>
      </c>
      <c r="AL787" s="6" t="s">
        <v>294</v>
      </c>
      <c r="AM787" s="6" t="s">
        <v>682</v>
      </c>
      <c r="AN787" s="6" t="s">
        <v>683</v>
      </c>
    </row>
    <row r="788" spans="1:40" hidden="1" x14ac:dyDescent="0.25">
      <c r="A788" s="12">
        <v>45859</v>
      </c>
      <c r="B788" s="6" t="s">
        <v>233</v>
      </c>
      <c r="C788" t="str">
        <f>_xlfn.XLOOKUP(Table3[[#This Row],[station]],station_waterbody_county!A:A, station_waterbody_county!B:B)</f>
        <v>Lobster Bay</v>
      </c>
      <c r="D788" t="str">
        <f>_xlfn.XLOOKUP(Table3[[#This Row],[station]],station_waterbody_county!A:A, station_waterbody_county!C:C)</f>
        <v>Yarmouth</v>
      </c>
      <c r="E788" s="6"/>
      <c r="F788" s="6" t="s">
        <v>310</v>
      </c>
      <c r="G788" s="12">
        <v>45140</v>
      </c>
      <c r="H788" s="5"/>
      <c r="I788" s="4"/>
      <c r="J788" s="5"/>
      <c r="K788" s="10">
        <v>43.69397</v>
      </c>
      <c r="L788" s="10">
        <v>-65.959425999999993</v>
      </c>
      <c r="O788" s="6"/>
      <c r="S788" s="6" t="s">
        <v>42</v>
      </c>
      <c r="T788" s="11">
        <v>548590</v>
      </c>
      <c r="U788" s="7">
        <v>5</v>
      </c>
      <c r="V788" s="6" t="s">
        <v>36</v>
      </c>
      <c r="W788" s="7">
        <v>7</v>
      </c>
      <c r="X788" s="6" t="s">
        <v>35</v>
      </c>
      <c r="Y788" s="7"/>
      <c r="Z788" s="7">
        <v>1</v>
      </c>
      <c r="AA788" s="6"/>
      <c r="AB788" s="6" t="s">
        <v>38</v>
      </c>
      <c r="AD788" s="6" t="s">
        <v>39</v>
      </c>
      <c r="AE788" s="6"/>
      <c r="AH788" s="7"/>
      <c r="AI788" s="6" t="s">
        <v>40</v>
      </c>
      <c r="AJ788" s="6" t="s">
        <v>238</v>
      </c>
      <c r="AK788" s="6" t="s">
        <v>35</v>
      </c>
      <c r="AL788" s="6" t="s">
        <v>294</v>
      </c>
      <c r="AM788" s="6" t="s">
        <v>682</v>
      </c>
      <c r="AN788" s="6" t="s">
        <v>683</v>
      </c>
    </row>
    <row r="789" spans="1:40" hidden="1" x14ac:dyDescent="0.25">
      <c r="A789" s="4">
        <v>45884</v>
      </c>
      <c r="B789" s="6" t="s">
        <v>233</v>
      </c>
      <c r="C789" s="6" t="str">
        <f>_xlfn.XLOOKUP(Table3[[#This Row],[station]],station_waterbody_county!A:A, station_waterbody_county!B:B)</f>
        <v>Lobster Bay</v>
      </c>
      <c r="D789" s="3" t="str">
        <f>_xlfn.XLOOKUP(Table3[[#This Row],[station]],station_waterbody_county!A:A, station_waterbody_county!C:C)</f>
        <v>Yarmouth</v>
      </c>
      <c r="E789" s="6"/>
      <c r="F789" s="6" t="s">
        <v>34</v>
      </c>
      <c r="G789" s="12">
        <v>45869</v>
      </c>
      <c r="H789" s="5">
        <v>0.72499999999999998</v>
      </c>
      <c r="I789" s="4"/>
      <c r="J789" s="5"/>
      <c r="K789" s="10"/>
      <c r="O789" s="6" t="s">
        <v>1397</v>
      </c>
      <c r="P789" s="6" t="s">
        <v>1398</v>
      </c>
      <c r="S789" s="6" t="s">
        <v>253</v>
      </c>
      <c r="T789" s="11">
        <v>680155</v>
      </c>
      <c r="U789" s="7">
        <v>2</v>
      </c>
      <c r="V789" s="6" t="s">
        <v>36</v>
      </c>
      <c r="W789" s="7">
        <v>9.3000000000000007</v>
      </c>
      <c r="X789" s="6" t="s">
        <v>35</v>
      </c>
      <c r="Y789" s="7">
        <v>2.9</v>
      </c>
      <c r="Z789" s="7">
        <v>1</v>
      </c>
      <c r="AA789" s="6" t="s">
        <v>243</v>
      </c>
      <c r="AB789" s="6" t="s">
        <v>321</v>
      </c>
      <c r="AC789" s="6" t="s">
        <v>321</v>
      </c>
      <c r="AD789" s="6" t="s">
        <v>39</v>
      </c>
      <c r="AE789" s="6" t="s">
        <v>40</v>
      </c>
      <c r="AG789" s="6" t="s">
        <v>37</v>
      </c>
      <c r="AH789" s="7">
        <v>60</v>
      </c>
      <c r="AI789" s="6" t="s">
        <v>40</v>
      </c>
      <c r="AJ789" s="6" t="s">
        <v>238</v>
      </c>
      <c r="AL789" s="6" t="s">
        <v>41</v>
      </c>
    </row>
    <row r="790" spans="1:40" hidden="1" x14ac:dyDescent="0.25">
      <c r="A790" s="4">
        <v>45884</v>
      </c>
      <c r="B790" s="6" t="s">
        <v>233</v>
      </c>
      <c r="C790" s="6" t="str">
        <f>_xlfn.XLOOKUP(Table3[[#This Row],[station]],station_waterbody_county!A:A, station_waterbody_county!B:B)</f>
        <v>Lobster Bay</v>
      </c>
      <c r="D790" s="3" t="str">
        <f>_xlfn.XLOOKUP(Table3[[#This Row],[station]],station_waterbody_county!A:A, station_waterbody_county!C:C)</f>
        <v>Yarmouth</v>
      </c>
      <c r="E790" s="6"/>
      <c r="F790" s="6" t="s">
        <v>34</v>
      </c>
      <c r="G790" s="12">
        <v>45869</v>
      </c>
      <c r="H790" s="5">
        <v>0.72499999999999998</v>
      </c>
      <c r="I790" s="4"/>
      <c r="J790" s="5"/>
      <c r="K790" s="10"/>
      <c r="O790" s="6" t="s">
        <v>1397</v>
      </c>
      <c r="P790" s="6" t="s">
        <v>1398</v>
      </c>
      <c r="S790" s="6" t="s">
        <v>240</v>
      </c>
      <c r="T790" s="11">
        <v>670376</v>
      </c>
      <c r="U790" s="7">
        <v>4</v>
      </c>
      <c r="V790" s="6" t="s">
        <v>36</v>
      </c>
      <c r="W790" s="7">
        <v>9.3000000000000007</v>
      </c>
      <c r="X790" s="6" t="s">
        <v>35</v>
      </c>
      <c r="Y790" s="7">
        <v>2.9</v>
      </c>
      <c r="Z790" s="7">
        <v>1</v>
      </c>
      <c r="AA790" s="6" t="s">
        <v>243</v>
      </c>
      <c r="AB790" s="6" t="s">
        <v>321</v>
      </c>
      <c r="AC790" s="6" t="s">
        <v>321</v>
      </c>
      <c r="AD790" s="6" t="s">
        <v>39</v>
      </c>
      <c r="AE790" s="6" t="s">
        <v>40</v>
      </c>
      <c r="AG790" s="6" t="s">
        <v>37</v>
      </c>
      <c r="AH790" s="7">
        <v>60</v>
      </c>
      <c r="AI790" s="6" t="s">
        <v>40</v>
      </c>
      <c r="AJ790" s="6" t="s">
        <v>238</v>
      </c>
      <c r="AL790" s="6" t="s">
        <v>41</v>
      </c>
    </row>
    <row r="791" spans="1:40" hidden="1" x14ac:dyDescent="0.25">
      <c r="A791" s="4">
        <v>45884</v>
      </c>
      <c r="B791" s="6" t="s">
        <v>233</v>
      </c>
      <c r="C791" s="6" t="str">
        <f>_xlfn.XLOOKUP(Table3[[#This Row],[station]],station_waterbody_county!A:A, station_waterbody_county!B:B)</f>
        <v>Lobster Bay</v>
      </c>
      <c r="D791" s="3" t="str">
        <f>_xlfn.XLOOKUP(Table3[[#This Row],[station]],station_waterbody_county!A:A, station_waterbody_county!C:C)</f>
        <v>Yarmouth</v>
      </c>
      <c r="E791" s="6"/>
      <c r="F791" s="6" t="s">
        <v>34</v>
      </c>
      <c r="G791" s="12">
        <v>45869</v>
      </c>
      <c r="H791" s="5">
        <v>0.72499999999999998</v>
      </c>
      <c r="I791" s="4"/>
      <c r="J791" s="5"/>
      <c r="K791" s="10"/>
      <c r="O791" s="6" t="s">
        <v>1397</v>
      </c>
      <c r="P791" s="6" t="s">
        <v>1398</v>
      </c>
      <c r="S791" s="6" t="s">
        <v>239</v>
      </c>
      <c r="T791" s="11">
        <v>22311504</v>
      </c>
      <c r="U791" s="7">
        <v>4.5</v>
      </c>
      <c r="V791" s="6" t="s">
        <v>36</v>
      </c>
      <c r="W791" s="7">
        <v>9.3000000000000007</v>
      </c>
      <c r="X791" s="6" t="s">
        <v>35</v>
      </c>
      <c r="Y791" s="7">
        <v>2.9</v>
      </c>
      <c r="Z791" s="7">
        <v>1</v>
      </c>
      <c r="AA791" s="6" t="s">
        <v>243</v>
      </c>
      <c r="AB791" s="6" t="s">
        <v>321</v>
      </c>
      <c r="AC791" s="6" t="s">
        <v>321</v>
      </c>
      <c r="AD791" s="6" t="s">
        <v>39</v>
      </c>
      <c r="AE791" s="6" t="s">
        <v>40</v>
      </c>
      <c r="AG791" s="6" t="s">
        <v>37</v>
      </c>
      <c r="AH791" s="7">
        <v>60</v>
      </c>
      <c r="AI791" s="6" t="s">
        <v>40</v>
      </c>
      <c r="AJ791" s="6" t="s">
        <v>238</v>
      </c>
      <c r="AL791" s="6" t="s">
        <v>41</v>
      </c>
    </row>
    <row r="792" spans="1:40" hidden="1" x14ac:dyDescent="0.25">
      <c r="A792" s="4">
        <v>45884</v>
      </c>
      <c r="B792" s="6" t="s">
        <v>233</v>
      </c>
      <c r="C792" s="6" t="str">
        <f>_xlfn.XLOOKUP(Table3[[#This Row],[station]],station_waterbody_county!A:A, station_waterbody_county!B:B)</f>
        <v>Lobster Bay</v>
      </c>
      <c r="D792" s="3" t="str">
        <f>_xlfn.XLOOKUP(Table3[[#This Row],[station]],station_waterbody_county!A:A, station_waterbody_county!C:C)</f>
        <v>Yarmouth</v>
      </c>
      <c r="E792" s="6"/>
      <c r="F792" s="6" t="s">
        <v>34</v>
      </c>
      <c r="G792" s="12">
        <v>45869</v>
      </c>
      <c r="H792" s="5">
        <v>0.72499999999999998</v>
      </c>
      <c r="I792" s="4"/>
      <c r="J792" s="5"/>
      <c r="K792" s="10"/>
      <c r="O792" s="6" t="s">
        <v>1397</v>
      </c>
      <c r="P792" s="6" t="s">
        <v>1398</v>
      </c>
      <c r="S792" s="6" t="s">
        <v>42</v>
      </c>
      <c r="T792" s="11">
        <v>600010</v>
      </c>
      <c r="U792" s="7">
        <v>5</v>
      </c>
      <c r="V792" s="6" t="s">
        <v>36</v>
      </c>
      <c r="W792" s="7">
        <v>9.3000000000000007</v>
      </c>
      <c r="X792" s="6" t="s">
        <v>35</v>
      </c>
      <c r="Y792" s="7">
        <v>2.9</v>
      </c>
      <c r="Z792" s="7">
        <v>1</v>
      </c>
      <c r="AA792" s="6" t="s">
        <v>243</v>
      </c>
      <c r="AB792" s="6" t="s">
        <v>321</v>
      </c>
      <c r="AC792" s="6" t="s">
        <v>321</v>
      </c>
      <c r="AD792" s="6" t="s">
        <v>39</v>
      </c>
      <c r="AE792" s="6" t="s">
        <v>40</v>
      </c>
      <c r="AG792" s="6" t="s">
        <v>37</v>
      </c>
      <c r="AH792" s="7">
        <v>60</v>
      </c>
      <c r="AI792" s="6" t="s">
        <v>40</v>
      </c>
      <c r="AJ792" s="6" t="s">
        <v>238</v>
      </c>
      <c r="AL792" s="6" t="s">
        <v>41</v>
      </c>
    </row>
    <row r="793" spans="1:40" hidden="1" x14ac:dyDescent="0.25">
      <c r="A793" s="4">
        <v>45884</v>
      </c>
      <c r="B793" s="6" t="s">
        <v>233</v>
      </c>
      <c r="C793" s="6" t="str">
        <f>_xlfn.XLOOKUP(Table3[[#This Row],[station]],station_waterbody_county!A:A, station_waterbody_county!B:B)</f>
        <v>Lobster Bay</v>
      </c>
      <c r="D793" s="3" t="str">
        <f>_xlfn.XLOOKUP(Table3[[#This Row],[station]],station_waterbody_county!A:A, station_waterbody_county!C:C)</f>
        <v>Yarmouth</v>
      </c>
      <c r="E793" s="6"/>
      <c r="F793" s="6" t="s">
        <v>34</v>
      </c>
      <c r="G793" s="12">
        <v>45869</v>
      </c>
      <c r="H793" s="5">
        <v>0.72499999999999998</v>
      </c>
      <c r="I793" s="4"/>
      <c r="J793" s="5"/>
      <c r="K793" s="10"/>
      <c r="O793" s="6" t="s">
        <v>1397</v>
      </c>
      <c r="P793" s="6" t="s">
        <v>1398</v>
      </c>
      <c r="S793" s="6" t="s">
        <v>239</v>
      </c>
      <c r="T793" s="11">
        <v>21650146</v>
      </c>
      <c r="U793" s="7">
        <v>5</v>
      </c>
      <c r="V793" s="6" t="s">
        <v>36</v>
      </c>
      <c r="W793" s="7">
        <v>9.3000000000000007</v>
      </c>
      <c r="X793" s="6" t="s">
        <v>35</v>
      </c>
      <c r="Y793" s="7">
        <v>2.9</v>
      </c>
      <c r="Z793" s="7">
        <v>1</v>
      </c>
      <c r="AA793" s="6" t="s">
        <v>243</v>
      </c>
      <c r="AB793" s="6" t="s">
        <v>321</v>
      </c>
      <c r="AC793" s="6" t="s">
        <v>321</v>
      </c>
      <c r="AD793" s="6" t="s">
        <v>39</v>
      </c>
      <c r="AE793" s="6" t="s">
        <v>40</v>
      </c>
      <c r="AG793" s="6" t="s">
        <v>37</v>
      </c>
      <c r="AH793" s="7">
        <v>60</v>
      </c>
      <c r="AI793" s="6" t="s">
        <v>40</v>
      </c>
      <c r="AJ793" s="6" t="s">
        <v>238</v>
      </c>
      <c r="AL793" s="6" t="s">
        <v>41</v>
      </c>
    </row>
    <row r="794" spans="1:40" x14ac:dyDescent="0.25">
      <c r="A794" s="4">
        <v>45863</v>
      </c>
      <c r="B794" s="6" t="s">
        <v>869</v>
      </c>
      <c r="C794" t="str">
        <f>_xlfn.XLOOKUP(Table3[[#This Row],[station]],station_waterbody_county!A:A, station_waterbody_county!B:B)</f>
        <v>Head of West Bay Cove</v>
      </c>
      <c r="D794" t="str">
        <f>_xlfn.XLOOKUP(Table3[[#This Row],[station]],station_waterbody_county!A:A, station_waterbody_county!C:C)</f>
        <v>Richmond</v>
      </c>
      <c r="E794" s="6"/>
      <c r="F794" s="6" t="s">
        <v>310</v>
      </c>
      <c r="G794" s="12">
        <v>45448</v>
      </c>
      <c r="H794" s="5">
        <v>0.81597222222222221</v>
      </c>
      <c r="I794" s="4">
        <v>45826</v>
      </c>
      <c r="J794" s="5">
        <v>0.63680555555555551</v>
      </c>
      <c r="K794" s="10"/>
      <c r="O794" s="6" t="s">
        <v>1304</v>
      </c>
      <c r="P794" s="6" t="s">
        <v>1305</v>
      </c>
      <c r="Q794" s="6" t="s">
        <v>1327</v>
      </c>
      <c r="R794" s="6" t="s">
        <v>1328</v>
      </c>
      <c r="S794" s="6" t="s">
        <v>240</v>
      </c>
      <c r="T794" s="11">
        <v>671378</v>
      </c>
      <c r="U794" s="7">
        <v>2</v>
      </c>
      <c r="V794" s="6" t="s">
        <v>36</v>
      </c>
      <c r="W794" s="7"/>
      <c r="X794" s="6" t="s">
        <v>35</v>
      </c>
      <c r="Y794" s="7">
        <v>0.4</v>
      </c>
      <c r="Z794" s="7">
        <v>0.5</v>
      </c>
      <c r="AA794" s="6" t="s">
        <v>251</v>
      </c>
      <c r="AB794" s="6" t="s">
        <v>38</v>
      </c>
      <c r="AD794" s="6" t="s">
        <v>39</v>
      </c>
      <c r="AE794" s="6" t="s">
        <v>40</v>
      </c>
      <c r="AG794" s="6" t="s">
        <v>37</v>
      </c>
      <c r="AH794" s="7">
        <v>60</v>
      </c>
      <c r="AI794" s="6" t="s">
        <v>40</v>
      </c>
      <c r="AJ794" s="6" t="s">
        <v>238</v>
      </c>
      <c r="AL794" s="6" t="s">
        <v>1301</v>
      </c>
      <c r="AM794" s="6" t="s">
        <v>1442</v>
      </c>
    </row>
    <row r="795" spans="1:40" x14ac:dyDescent="0.25">
      <c r="A795" s="4">
        <v>45863</v>
      </c>
      <c r="B795" s="6" t="s">
        <v>869</v>
      </c>
      <c r="C795" t="str">
        <f>_xlfn.XLOOKUP(Table3[[#This Row],[station]],station_waterbody_county!A:A, station_waterbody_county!B:B)</f>
        <v>Head of West Bay Cove</v>
      </c>
      <c r="D795" t="str">
        <f>_xlfn.XLOOKUP(Table3[[#This Row],[station]],station_waterbody_county!A:A, station_waterbody_county!C:C)</f>
        <v>Richmond</v>
      </c>
      <c r="E795" s="6"/>
      <c r="F795" s="6" t="s">
        <v>310</v>
      </c>
      <c r="G795" s="12">
        <v>45448</v>
      </c>
      <c r="H795" s="5">
        <v>0.81597222222222221</v>
      </c>
      <c r="I795" s="4">
        <v>45826</v>
      </c>
      <c r="J795" s="5">
        <v>0.63680555555555551</v>
      </c>
      <c r="K795" s="10"/>
      <c r="O795" s="6" t="s">
        <v>1304</v>
      </c>
      <c r="P795" s="6" t="s">
        <v>1305</v>
      </c>
      <c r="Q795" s="6" t="s">
        <v>1327</v>
      </c>
      <c r="R795" s="6" t="s">
        <v>1328</v>
      </c>
      <c r="S795" s="6" t="s">
        <v>239</v>
      </c>
      <c r="T795" s="11">
        <v>21927309</v>
      </c>
      <c r="U795" s="7">
        <v>5</v>
      </c>
      <c r="V795" s="6" t="s">
        <v>36</v>
      </c>
      <c r="W795" s="7"/>
      <c r="X795" s="6" t="s">
        <v>35</v>
      </c>
      <c r="Y795" s="7">
        <v>0.4</v>
      </c>
      <c r="Z795" s="7">
        <v>0.5</v>
      </c>
      <c r="AA795" s="6" t="s">
        <v>251</v>
      </c>
      <c r="AB795" s="6" t="s">
        <v>38</v>
      </c>
      <c r="AD795" s="6" t="s">
        <v>39</v>
      </c>
      <c r="AE795" s="6" t="s">
        <v>40</v>
      </c>
      <c r="AG795" s="6" t="s">
        <v>37</v>
      </c>
      <c r="AH795" s="7">
        <v>60</v>
      </c>
      <c r="AI795" s="6" t="s">
        <v>40</v>
      </c>
      <c r="AJ795" s="6" t="s">
        <v>238</v>
      </c>
      <c r="AL795" s="6" t="s">
        <v>1301</v>
      </c>
      <c r="AM795" s="6" t="s">
        <v>1442</v>
      </c>
    </row>
    <row r="796" spans="1:40" x14ac:dyDescent="0.25">
      <c r="A796" s="4">
        <v>45863</v>
      </c>
      <c r="B796" s="6" t="s">
        <v>869</v>
      </c>
      <c r="C796" t="str">
        <f>_xlfn.XLOOKUP(Table3[[#This Row],[station]],station_waterbody_county!A:A, station_waterbody_county!B:B)</f>
        <v>Head of West Bay Cove</v>
      </c>
      <c r="D796" t="str">
        <f>_xlfn.XLOOKUP(Table3[[#This Row],[station]],station_waterbody_county!A:A, station_waterbody_county!C:C)</f>
        <v>Richmond</v>
      </c>
      <c r="E796" s="6"/>
      <c r="F796" s="6" t="s">
        <v>310</v>
      </c>
      <c r="G796" s="12">
        <v>45448</v>
      </c>
      <c r="H796" s="5">
        <v>0.81597222222222221</v>
      </c>
      <c r="I796" s="4">
        <v>45826</v>
      </c>
      <c r="J796" s="5">
        <v>0.63680555555555551</v>
      </c>
      <c r="K796" s="10"/>
      <c r="O796" s="6" t="s">
        <v>1304</v>
      </c>
      <c r="P796" s="6" t="s">
        <v>1305</v>
      </c>
      <c r="Q796" s="6" t="s">
        <v>1327</v>
      </c>
      <c r="R796" s="6" t="s">
        <v>1328</v>
      </c>
      <c r="S796" s="6" t="s">
        <v>239</v>
      </c>
      <c r="T796" s="11">
        <v>20495227</v>
      </c>
      <c r="U796" s="7">
        <v>10</v>
      </c>
      <c r="V796" s="6" t="s">
        <v>36</v>
      </c>
      <c r="W796" s="7"/>
      <c r="X796" s="6" t="s">
        <v>35</v>
      </c>
      <c r="Y796" s="7">
        <v>0.4</v>
      </c>
      <c r="Z796" s="7">
        <v>0.5</v>
      </c>
      <c r="AA796" s="6" t="s">
        <v>251</v>
      </c>
      <c r="AB796" s="6" t="s">
        <v>38</v>
      </c>
      <c r="AD796" s="6" t="s">
        <v>39</v>
      </c>
      <c r="AE796" s="6" t="s">
        <v>40</v>
      </c>
      <c r="AG796" s="6" t="s">
        <v>37</v>
      </c>
      <c r="AH796" s="7">
        <v>60</v>
      </c>
      <c r="AI796" s="6" t="s">
        <v>40</v>
      </c>
      <c r="AJ796" s="6" t="s">
        <v>238</v>
      </c>
      <c r="AL796" s="6" t="s">
        <v>1301</v>
      </c>
      <c r="AM796" s="6" t="s">
        <v>1442</v>
      </c>
    </row>
    <row r="797" spans="1:40" x14ac:dyDescent="0.25">
      <c r="A797" s="4">
        <v>45863</v>
      </c>
      <c r="B797" s="6" t="s">
        <v>869</v>
      </c>
      <c r="C797" t="str">
        <f>_xlfn.XLOOKUP(Table3[[#This Row],[station]],station_waterbody_county!A:A, station_waterbody_county!B:B)</f>
        <v>Head of West Bay Cove</v>
      </c>
      <c r="D797" t="str">
        <f>_xlfn.XLOOKUP(Table3[[#This Row],[station]],station_waterbody_county!A:A, station_waterbody_county!C:C)</f>
        <v>Richmond</v>
      </c>
      <c r="E797" s="6"/>
      <c r="F797" s="6" t="s">
        <v>310</v>
      </c>
      <c r="G797" s="12">
        <v>45448</v>
      </c>
      <c r="H797" s="5">
        <v>0.81597222222222221</v>
      </c>
      <c r="I797" s="4">
        <v>45826</v>
      </c>
      <c r="J797" s="5">
        <v>0.63680555555555551</v>
      </c>
      <c r="K797" s="10"/>
      <c r="O797" s="6" t="s">
        <v>1304</v>
      </c>
      <c r="P797" s="6" t="s">
        <v>1305</v>
      </c>
      <c r="Q797" s="6" t="s">
        <v>1327</v>
      </c>
      <c r="R797" s="6" t="s">
        <v>1328</v>
      </c>
      <c r="S797" s="6" t="s">
        <v>239</v>
      </c>
      <c r="T797" s="11">
        <v>21927324</v>
      </c>
      <c r="U797" s="7">
        <v>15</v>
      </c>
      <c r="V797" s="6" t="s">
        <v>36</v>
      </c>
      <c r="W797" s="7"/>
      <c r="X797" s="6" t="s">
        <v>35</v>
      </c>
      <c r="Y797" s="7">
        <v>0.4</v>
      </c>
      <c r="Z797" s="7">
        <v>0.5</v>
      </c>
      <c r="AA797" s="6" t="s">
        <v>251</v>
      </c>
      <c r="AB797" s="6" t="s">
        <v>38</v>
      </c>
      <c r="AD797" s="6" t="s">
        <v>39</v>
      </c>
      <c r="AE797" s="6" t="s">
        <v>40</v>
      </c>
      <c r="AG797" s="6" t="s">
        <v>37</v>
      </c>
      <c r="AH797" s="7">
        <v>60</v>
      </c>
      <c r="AI797" s="6" t="s">
        <v>40</v>
      </c>
      <c r="AJ797" s="6" t="s">
        <v>238</v>
      </c>
      <c r="AL797" s="6" t="s">
        <v>1301</v>
      </c>
      <c r="AM797" s="6" t="s">
        <v>1442</v>
      </c>
    </row>
    <row r="798" spans="1:40" x14ac:dyDescent="0.25">
      <c r="A798" s="4">
        <v>45863</v>
      </c>
      <c r="B798" s="6" t="s">
        <v>869</v>
      </c>
      <c r="C798" t="str">
        <f>_xlfn.XLOOKUP(Table3[[#This Row],[station]],station_waterbody_county!A:A, station_waterbody_county!B:B)</f>
        <v>Head of West Bay Cove</v>
      </c>
      <c r="D798" t="str">
        <f>_xlfn.XLOOKUP(Table3[[#This Row],[station]],station_waterbody_county!A:A, station_waterbody_county!C:C)</f>
        <v>Richmond</v>
      </c>
      <c r="E798" s="6"/>
      <c r="F798" s="6" t="s">
        <v>310</v>
      </c>
      <c r="G798" s="12">
        <v>45448</v>
      </c>
      <c r="H798" s="5">
        <v>0.81597222222222221</v>
      </c>
      <c r="I798" s="4">
        <v>45826</v>
      </c>
      <c r="J798" s="5">
        <v>0.63680555555555551</v>
      </c>
      <c r="K798" s="10"/>
      <c r="O798" s="6" t="s">
        <v>1304</v>
      </c>
      <c r="P798" s="6" t="s">
        <v>1305</v>
      </c>
      <c r="Q798" s="6" t="s">
        <v>1327</v>
      </c>
      <c r="R798" s="6" t="s">
        <v>1328</v>
      </c>
      <c r="S798" s="6" t="s">
        <v>42</v>
      </c>
      <c r="T798" s="11">
        <v>551261</v>
      </c>
      <c r="U798" s="7">
        <v>18</v>
      </c>
      <c r="V798" s="6" t="s">
        <v>36</v>
      </c>
      <c r="W798" s="7"/>
      <c r="X798" s="6" t="s">
        <v>35</v>
      </c>
      <c r="Y798" s="7">
        <v>0.4</v>
      </c>
      <c r="Z798" s="7">
        <v>0.5</v>
      </c>
      <c r="AA798" s="6" t="s">
        <v>251</v>
      </c>
      <c r="AB798" s="6" t="s">
        <v>38</v>
      </c>
      <c r="AD798" s="6" t="s">
        <v>39</v>
      </c>
      <c r="AE798" s="6" t="s">
        <v>40</v>
      </c>
      <c r="AG798" s="6" t="s">
        <v>37</v>
      </c>
      <c r="AH798" s="7">
        <v>60</v>
      </c>
      <c r="AI798" s="6" t="s">
        <v>40</v>
      </c>
      <c r="AJ798" s="6" t="s">
        <v>238</v>
      </c>
      <c r="AL798" s="6" t="s">
        <v>1301</v>
      </c>
      <c r="AM798" s="6" t="s">
        <v>1442</v>
      </c>
    </row>
    <row r="799" spans="1:40" hidden="1" x14ac:dyDescent="0.25">
      <c r="A799" s="4">
        <v>45863</v>
      </c>
      <c r="B799" s="6" t="s">
        <v>869</v>
      </c>
      <c r="C799" s="6" t="str">
        <f>_xlfn.XLOOKUP(Table3[[#This Row],[station]],station_waterbody_county!A:A, station_waterbody_county!B:B)</f>
        <v>Head of West Bay Cove</v>
      </c>
      <c r="D799" s="3" t="str">
        <f>_xlfn.XLOOKUP(Table3[[#This Row],[station]],station_waterbody_county!A:A, station_waterbody_county!C:C)</f>
        <v>Richmond</v>
      </c>
      <c r="E799" s="6"/>
      <c r="F799" s="6" t="s">
        <v>34</v>
      </c>
      <c r="G799" s="12">
        <v>45826</v>
      </c>
      <c r="H799" s="5">
        <v>0.65138888888888891</v>
      </c>
      <c r="I799" s="4"/>
      <c r="J799" s="5"/>
      <c r="K799" s="10"/>
      <c r="O799" s="6" t="s">
        <v>1329</v>
      </c>
      <c r="P799" s="6" t="s">
        <v>1330</v>
      </c>
      <c r="S799" s="6" t="s">
        <v>240</v>
      </c>
      <c r="T799" s="11">
        <v>671305</v>
      </c>
      <c r="U799" s="7">
        <v>2</v>
      </c>
      <c r="V799" s="6" t="s">
        <v>36</v>
      </c>
      <c r="W799" s="7">
        <v>18.7</v>
      </c>
      <c r="X799" s="6" t="s">
        <v>35</v>
      </c>
      <c r="Y799" s="7">
        <v>0.4</v>
      </c>
      <c r="Z799" s="7">
        <v>0.5</v>
      </c>
      <c r="AA799" s="6" t="s">
        <v>243</v>
      </c>
      <c r="AB799" s="6" t="s">
        <v>38</v>
      </c>
      <c r="AD799" s="6" t="s">
        <v>39</v>
      </c>
      <c r="AE799" s="6" t="s">
        <v>40</v>
      </c>
      <c r="AG799" s="6" t="s">
        <v>37</v>
      </c>
      <c r="AH799" s="7">
        <v>60</v>
      </c>
      <c r="AI799" s="6" t="s">
        <v>40</v>
      </c>
      <c r="AJ799" s="6" t="s">
        <v>238</v>
      </c>
      <c r="AL799" s="6" t="s">
        <v>1320</v>
      </c>
    </row>
    <row r="800" spans="1:40" hidden="1" x14ac:dyDescent="0.25">
      <c r="A800" s="4">
        <v>45863</v>
      </c>
      <c r="B800" s="6" t="s">
        <v>869</v>
      </c>
      <c r="C800" s="6" t="str">
        <f>_xlfn.XLOOKUP(Table3[[#This Row],[station]],station_waterbody_county!A:A, station_waterbody_county!B:B)</f>
        <v>Head of West Bay Cove</v>
      </c>
      <c r="D800" s="3" t="str">
        <f>_xlfn.XLOOKUP(Table3[[#This Row],[station]],station_waterbody_county!A:A, station_waterbody_county!C:C)</f>
        <v>Richmond</v>
      </c>
      <c r="E800" s="6"/>
      <c r="F800" s="6" t="s">
        <v>34</v>
      </c>
      <c r="G800" s="12">
        <v>45826</v>
      </c>
      <c r="H800" s="5">
        <v>0.65138888888888891</v>
      </c>
      <c r="I800" s="4"/>
      <c r="J800" s="5"/>
      <c r="K800" s="10"/>
      <c r="O800" s="6" t="s">
        <v>1329</v>
      </c>
      <c r="P800" s="6" t="s">
        <v>1330</v>
      </c>
      <c r="S800" s="6" t="s">
        <v>239</v>
      </c>
      <c r="T800" s="11">
        <v>22311511</v>
      </c>
      <c r="U800" s="7">
        <v>5</v>
      </c>
      <c r="V800" s="6" t="s">
        <v>36</v>
      </c>
      <c r="W800" s="7">
        <v>18.7</v>
      </c>
      <c r="X800" s="6" t="s">
        <v>35</v>
      </c>
      <c r="Y800" s="7">
        <v>0.4</v>
      </c>
      <c r="Z800" s="7">
        <v>0.5</v>
      </c>
      <c r="AA800" s="6" t="s">
        <v>243</v>
      </c>
      <c r="AB800" s="6" t="s">
        <v>38</v>
      </c>
      <c r="AD800" s="6" t="s">
        <v>39</v>
      </c>
      <c r="AE800" s="6" t="s">
        <v>40</v>
      </c>
      <c r="AG800" s="6" t="s">
        <v>37</v>
      </c>
      <c r="AH800" s="7">
        <v>60</v>
      </c>
      <c r="AI800" s="6" t="s">
        <v>40</v>
      </c>
      <c r="AJ800" s="6" t="s">
        <v>238</v>
      </c>
      <c r="AL800" s="6" t="s">
        <v>1320</v>
      </c>
    </row>
    <row r="801" spans="1:40" hidden="1" x14ac:dyDescent="0.25">
      <c r="A801" s="4">
        <v>45863</v>
      </c>
      <c r="B801" s="6" t="s">
        <v>869</v>
      </c>
      <c r="C801" s="6" t="str">
        <f>_xlfn.XLOOKUP(Table3[[#This Row],[station]],station_waterbody_county!A:A, station_waterbody_county!B:B)</f>
        <v>Head of West Bay Cove</v>
      </c>
      <c r="D801" s="3" t="str">
        <f>_xlfn.XLOOKUP(Table3[[#This Row],[station]],station_waterbody_county!A:A, station_waterbody_county!C:C)</f>
        <v>Richmond</v>
      </c>
      <c r="E801" s="6"/>
      <c r="F801" s="6" t="s">
        <v>34</v>
      </c>
      <c r="G801" s="12">
        <v>45826</v>
      </c>
      <c r="H801" s="5">
        <v>0.65138888888888891</v>
      </c>
      <c r="I801" s="4"/>
      <c r="J801" s="5"/>
      <c r="K801" s="10"/>
      <c r="O801" s="6" t="s">
        <v>1329</v>
      </c>
      <c r="P801" s="6" t="s">
        <v>1330</v>
      </c>
      <c r="S801" s="6" t="s">
        <v>239</v>
      </c>
      <c r="T801" s="11">
        <v>21650148</v>
      </c>
      <c r="U801" s="7">
        <v>10</v>
      </c>
      <c r="V801" s="6" t="s">
        <v>36</v>
      </c>
      <c r="W801" s="7">
        <v>18.7</v>
      </c>
      <c r="X801" s="6" t="s">
        <v>35</v>
      </c>
      <c r="Y801" s="7">
        <v>0.4</v>
      </c>
      <c r="Z801" s="7">
        <v>0.5</v>
      </c>
      <c r="AA801" s="6" t="s">
        <v>243</v>
      </c>
      <c r="AB801" s="6" t="s">
        <v>38</v>
      </c>
      <c r="AD801" s="6" t="s">
        <v>39</v>
      </c>
      <c r="AE801" s="6" t="s">
        <v>40</v>
      </c>
      <c r="AG801" s="6" t="s">
        <v>37</v>
      </c>
      <c r="AH801" s="7">
        <v>60</v>
      </c>
      <c r="AI801" s="6" t="s">
        <v>40</v>
      </c>
      <c r="AJ801" s="6" t="s">
        <v>238</v>
      </c>
      <c r="AL801" s="6" t="s">
        <v>1320</v>
      </c>
    </row>
    <row r="802" spans="1:40" hidden="1" x14ac:dyDescent="0.25">
      <c r="A802" s="4">
        <v>45863</v>
      </c>
      <c r="B802" s="6" t="s">
        <v>869</v>
      </c>
      <c r="C802" s="6" t="str">
        <f>_xlfn.XLOOKUP(Table3[[#This Row],[station]],station_waterbody_county!A:A, station_waterbody_county!B:B)</f>
        <v>Head of West Bay Cove</v>
      </c>
      <c r="D802" s="3" t="str">
        <f>_xlfn.XLOOKUP(Table3[[#This Row],[station]],station_waterbody_county!A:A, station_waterbody_county!C:C)</f>
        <v>Richmond</v>
      </c>
      <c r="E802" s="6"/>
      <c r="F802" s="6" t="s">
        <v>34</v>
      </c>
      <c r="G802" s="12">
        <v>45826</v>
      </c>
      <c r="H802" s="5">
        <v>0.65138888888888891</v>
      </c>
      <c r="I802" s="4"/>
      <c r="J802" s="5"/>
      <c r="K802" s="10"/>
      <c r="O802" s="6" t="s">
        <v>1329</v>
      </c>
      <c r="P802" s="6" t="s">
        <v>1330</v>
      </c>
      <c r="S802" s="6" t="s">
        <v>239</v>
      </c>
      <c r="T802" s="11">
        <v>21082887</v>
      </c>
      <c r="U802" s="7">
        <v>15</v>
      </c>
      <c r="V802" s="6" t="s">
        <v>36</v>
      </c>
      <c r="W802" s="7">
        <v>18.7</v>
      </c>
      <c r="X802" s="6" t="s">
        <v>35</v>
      </c>
      <c r="Y802" s="7">
        <v>0.4</v>
      </c>
      <c r="Z802" s="7">
        <v>0.5</v>
      </c>
      <c r="AA802" s="6" t="s">
        <v>243</v>
      </c>
      <c r="AB802" s="6" t="s">
        <v>38</v>
      </c>
      <c r="AD802" s="6" t="s">
        <v>39</v>
      </c>
      <c r="AE802" s="6" t="s">
        <v>40</v>
      </c>
      <c r="AG802" s="6" t="s">
        <v>37</v>
      </c>
      <c r="AH802" s="7">
        <v>60</v>
      </c>
      <c r="AI802" s="6" t="s">
        <v>40</v>
      </c>
      <c r="AJ802" s="6" t="s">
        <v>238</v>
      </c>
      <c r="AL802" s="6" t="s">
        <v>1320</v>
      </c>
    </row>
    <row r="803" spans="1:40" hidden="1" x14ac:dyDescent="0.25">
      <c r="A803" s="4">
        <v>45863</v>
      </c>
      <c r="B803" s="6" t="s">
        <v>869</v>
      </c>
      <c r="C803" s="6" t="str">
        <f>_xlfn.XLOOKUP(Table3[[#This Row],[station]],station_waterbody_county!A:A, station_waterbody_county!B:B)</f>
        <v>Head of West Bay Cove</v>
      </c>
      <c r="D803" s="3" t="str">
        <f>_xlfn.XLOOKUP(Table3[[#This Row],[station]],station_waterbody_county!A:A, station_waterbody_county!C:C)</f>
        <v>Richmond</v>
      </c>
      <c r="E803" s="6"/>
      <c r="F803" s="6" t="s">
        <v>34</v>
      </c>
      <c r="G803" s="12">
        <v>45826</v>
      </c>
      <c r="H803" s="5">
        <v>0.65138888888888891</v>
      </c>
      <c r="I803" s="4"/>
      <c r="J803" s="5"/>
      <c r="K803" s="10"/>
      <c r="O803" s="6" t="s">
        <v>1329</v>
      </c>
      <c r="P803" s="6" t="s">
        <v>1330</v>
      </c>
      <c r="S803" s="6" t="s">
        <v>42</v>
      </c>
      <c r="T803" s="11">
        <v>548586</v>
      </c>
      <c r="U803" s="7">
        <v>18</v>
      </c>
      <c r="V803" s="6" t="s">
        <v>36</v>
      </c>
      <c r="W803" s="7">
        <v>18.7</v>
      </c>
      <c r="X803" s="6" t="s">
        <v>35</v>
      </c>
      <c r="Y803" s="7">
        <v>0.4</v>
      </c>
      <c r="Z803" s="7">
        <v>0.5</v>
      </c>
      <c r="AA803" s="6" t="s">
        <v>243</v>
      </c>
      <c r="AB803" s="6" t="s">
        <v>38</v>
      </c>
      <c r="AD803" s="6" t="s">
        <v>39</v>
      </c>
      <c r="AE803" s="6" t="s">
        <v>40</v>
      </c>
      <c r="AG803" s="6" t="s">
        <v>37</v>
      </c>
      <c r="AH803" s="7">
        <v>60</v>
      </c>
      <c r="AI803" s="6" t="s">
        <v>40</v>
      </c>
      <c r="AJ803" s="6" t="s">
        <v>238</v>
      </c>
      <c r="AL803" s="6" t="s">
        <v>1320</v>
      </c>
    </row>
    <row r="804" spans="1:40" hidden="1" x14ac:dyDescent="0.25">
      <c r="A804" s="4">
        <v>45863</v>
      </c>
      <c r="B804" s="6" t="s">
        <v>869</v>
      </c>
      <c r="C804" s="6" t="str">
        <f>_xlfn.XLOOKUP(Table3[[#This Row],[station]],station_waterbody_county!A:A, station_waterbody_county!B:B)</f>
        <v>Head of West Bay Cove</v>
      </c>
      <c r="D804" s="3" t="str">
        <f>_xlfn.XLOOKUP(Table3[[#This Row],[station]],station_waterbody_county!A:A, station_waterbody_county!C:C)</f>
        <v>Richmond</v>
      </c>
      <c r="E804" s="6"/>
      <c r="F804" s="6" t="s">
        <v>34</v>
      </c>
      <c r="G804" s="12">
        <v>45826</v>
      </c>
      <c r="H804" s="5">
        <v>0.65138888888888891</v>
      </c>
      <c r="I804" s="4"/>
      <c r="J804" s="5"/>
      <c r="K804" s="10"/>
      <c r="O804" s="6" t="s">
        <v>1329</v>
      </c>
      <c r="P804" s="6" t="s">
        <v>1330</v>
      </c>
      <c r="S804" s="6" t="s">
        <v>239</v>
      </c>
      <c r="T804" s="11">
        <v>22310001</v>
      </c>
      <c r="U804" s="7">
        <v>18</v>
      </c>
      <c r="V804" s="6" t="s">
        <v>36</v>
      </c>
      <c r="W804" s="7">
        <v>18.7</v>
      </c>
      <c r="X804" s="6" t="s">
        <v>35</v>
      </c>
      <c r="Y804" s="7">
        <v>0.4</v>
      </c>
      <c r="Z804" s="7">
        <v>0.5</v>
      </c>
      <c r="AA804" s="6" t="s">
        <v>243</v>
      </c>
      <c r="AB804" s="6" t="s">
        <v>38</v>
      </c>
      <c r="AD804" s="6" t="s">
        <v>39</v>
      </c>
      <c r="AE804" s="6" t="s">
        <v>40</v>
      </c>
      <c r="AG804" s="6" t="s">
        <v>37</v>
      </c>
      <c r="AH804" s="7">
        <v>60</v>
      </c>
      <c r="AI804" s="6" t="s">
        <v>40</v>
      </c>
      <c r="AJ804" s="6" t="s">
        <v>238</v>
      </c>
      <c r="AL804" s="6" t="s">
        <v>1320</v>
      </c>
    </row>
    <row r="805" spans="1:40" x14ac:dyDescent="0.25">
      <c r="A805" s="4">
        <v>45933</v>
      </c>
      <c r="B805" s="6" t="s">
        <v>235</v>
      </c>
      <c r="C805" t="str">
        <f>_xlfn.XLOOKUP(Table3[[#This Row],[station]],station_waterbody_county!A:A, station_waterbody_county!B:B)</f>
        <v>Whitehead Harbour</v>
      </c>
      <c r="D805" t="str">
        <f>_xlfn.XLOOKUP(Table3[[#This Row],[station]],station_waterbody_county!A:A, station_waterbody_county!C:C)</f>
        <v>Guysborough</v>
      </c>
      <c r="E805" s="6" t="s">
        <v>542</v>
      </c>
      <c r="F805" s="6" t="s">
        <v>310</v>
      </c>
      <c r="G805" s="4">
        <v>45600</v>
      </c>
      <c r="H805" s="5">
        <v>0.5854166666666667</v>
      </c>
      <c r="I805" s="4">
        <v>45919</v>
      </c>
      <c r="J805" s="5">
        <v>0.49930555555555556</v>
      </c>
      <c r="K805" s="10"/>
      <c r="O805" s="6" t="s">
        <v>539</v>
      </c>
      <c r="P805" s="6" t="s">
        <v>540</v>
      </c>
      <c r="Q805" s="6" t="s">
        <v>1440</v>
      </c>
      <c r="R805" s="6" t="s">
        <v>1441</v>
      </c>
      <c r="S805" s="6" t="s">
        <v>239</v>
      </c>
      <c r="T805" s="11">
        <v>22048591</v>
      </c>
      <c r="U805" s="7">
        <v>1</v>
      </c>
      <c r="V805" s="6" t="s">
        <v>246</v>
      </c>
      <c r="W805" s="7"/>
      <c r="X805" s="6" t="s">
        <v>241</v>
      </c>
      <c r="Y805" s="7"/>
      <c r="AA805" s="6"/>
      <c r="AE805" s="6"/>
      <c r="AH805" s="7"/>
      <c r="AI805" s="6" t="s">
        <v>40</v>
      </c>
      <c r="AJ805" s="6" t="s">
        <v>238</v>
      </c>
      <c r="AL805" s="6" t="s">
        <v>536</v>
      </c>
      <c r="AN805" s="6" t="s">
        <v>541</v>
      </c>
    </row>
    <row r="806" spans="1:40" hidden="1" x14ac:dyDescent="0.25">
      <c r="A806" s="4">
        <v>45856</v>
      </c>
      <c r="B806" s="6" t="s">
        <v>1063</v>
      </c>
      <c r="C806" s="6" t="str">
        <f>_xlfn.XLOOKUP(Table3[[#This Row],[station]],station_waterbody_county!A:A, station_waterbody_county!B:B)</f>
        <v>Port Mouton</v>
      </c>
      <c r="D806" s="3" t="str">
        <f>_xlfn.XLOOKUP(Table3[[#This Row],[station]],station_waterbody_county!A:A, station_waterbody_county!C:C)</f>
        <v>Queens</v>
      </c>
      <c r="E806" s="6"/>
      <c r="F806" s="6" t="s">
        <v>34</v>
      </c>
      <c r="G806" s="12">
        <v>45848</v>
      </c>
      <c r="H806" s="5">
        <v>0.59236111111111112</v>
      </c>
      <c r="I806" s="4"/>
      <c r="J806" s="5"/>
      <c r="K806" s="10"/>
      <c r="O806" s="6" t="s">
        <v>1352</v>
      </c>
      <c r="P806" s="6" t="s">
        <v>1353</v>
      </c>
      <c r="S806" s="6" t="s">
        <v>239</v>
      </c>
      <c r="T806" s="11">
        <v>22285945</v>
      </c>
      <c r="U806" s="7">
        <v>2</v>
      </c>
      <c r="V806" s="6" t="s">
        <v>36</v>
      </c>
      <c r="W806" s="7">
        <v>23.4</v>
      </c>
      <c r="X806" s="6" t="s">
        <v>35</v>
      </c>
      <c r="Y806" s="7">
        <v>1.27</v>
      </c>
      <c r="Z806" s="7">
        <v>0.5</v>
      </c>
      <c r="AA806" s="6" t="s">
        <v>251</v>
      </c>
      <c r="AB806" s="6" t="s">
        <v>321</v>
      </c>
      <c r="AC806" s="6" t="s">
        <v>321</v>
      </c>
      <c r="AD806" s="6" t="s">
        <v>39</v>
      </c>
      <c r="AE806" s="6" t="s">
        <v>1244</v>
      </c>
      <c r="AF806" s="11">
        <v>1</v>
      </c>
      <c r="AG806" s="6" t="s">
        <v>37</v>
      </c>
      <c r="AH806" s="7">
        <v>60</v>
      </c>
      <c r="AI806" s="6" t="s">
        <v>40</v>
      </c>
      <c r="AJ806" s="6" t="s">
        <v>238</v>
      </c>
      <c r="AK806" s="6" t="s">
        <v>241</v>
      </c>
      <c r="AL806" s="6" t="s">
        <v>41</v>
      </c>
    </row>
    <row r="807" spans="1:40" hidden="1" x14ac:dyDescent="0.25">
      <c r="A807" s="4">
        <v>45856</v>
      </c>
      <c r="B807" s="6" t="s">
        <v>1063</v>
      </c>
      <c r="C807" s="6" t="str">
        <f>_xlfn.XLOOKUP(Table3[[#This Row],[station]],station_waterbody_county!A:A, station_waterbody_county!B:B)</f>
        <v>Port Mouton</v>
      </c>
      <c r="D807" s="3" t="str">
        <f>_xlfn.XLOOKUP(Table3[[#This Row],[station]],station_waterbody_county!A:A, station_waterbody_county!C:C)</f>
        <v>Queens</v>
      </c>
      <c r="E807" s="6"/>
      <c r="F807" s="6" t="s">
        <v>34</v>
      </c>
      <c r="G807" s="12">
        <v>45848</v>
      </c>
      <c r="H807" s="5">
        <v>0.59236111111111112</v>
      </c>
      <c r="I807" s="4"/>
      <c r="J807" s="5"/>
      <c r="K807" s="10"/>
      <c r="O807" s="6" t="s">
        <v>1352</v>
      </c>
      <c r="P807" s="6" t="s">
        <v>1353</v>
      </c>
      <c r="S807" s="6" t="s">
        <v>239</v>
      </c>
      <c r="T807" s="11">
        <v>22309988</v>
      </c>
      <c r="U807" s="7">
        <v>5</v>
      </c>
      <c r="V807" s="6" t="s">
        <v>36</v>
      </c>
      <c r="W807" s="7">
        <v>23.4</v>
      </c>
      <c r="X807" s="6" t="s">
        <v>35</v>
      </c>
      <c r="Y807" s="7">
        <v>1.27</v>
      </c>
      <c r="Z807" s="7">
        <v>0.5</v>
      </c>
      <c r="AA807" s="6" t="s">
        <v>251</v>
      </c>
      <c r="AB807" s="6" t="s">
        <v>321</v>
      </c>
      <c r="AC807" s="6" t="s">
        <v>321</v>
      </c>
      <c r="AD807" s="6" t="s">
        <v>39</v>
      </c>
      <c r="AE807" s="6" t="s">
        <v>1244</v>
      </c>
      <c r="AF807" s="11">
        <v>1</v>
      </c>
      <c r="AG807" s="6" t="s">
        <v>37</v>
      </c>
      <c r="AH807" s="7">
        <v>60</v>
      </c>
      <c r="AI807" s="6" t="s">
        <v>40</v>
      </c>
      <c r="AJ807" s="6" t="s">
        <v>238</v>
      </c>
      <c r="AK807" s="6" t="s">
        <v>241</v>
      </c>
      <c r="AL807" s="6" t="s">
        <v>41</v>
      </c>
    </row>
    <row r="808" spans="1:40" hidden="1" x14ac:dyDescent="0.25">
      <c r="A808" s="4">
        <v>45856</v>
      </c>
      <c r="B808" s="6" t="s">
        <v>1063</v>
      </c>
      <c r="C808" s="6" t="str">
        <f>_xlfn.XLOOKUP(Table3[[#This Row],[station]],station_waterbody_county!A:A, station_waterbody_county!B:B)</f>
        <v>Port Mouton</v>
      </c>
      <c r="D808" s="3" t="str">
        <f>_xlfn.XLOOKUP(Table3[[#This Row],[station]],station_waterbody_county!A:A, station_waterbody_county!C:C)</f>
        <v>Queens</v>
      </c>
      <c r="E808" s="6"/>
      <c r="F808" s="6" t="s">
        <v>34</v>
      </c>
      <c r="G808" s="12">
        <v>45848</v>
      </c>
      <c r="H808" s="5">
        <v>0.59236111111111112</v>
      </c>
      <c r="I808" s="4"/>
      <c r="J808" s="5"/>
      <c r="K808" s="10"/>
      <c r="O808" s="6" t="s">
        <v>1352</v>
      </c>
      <c r="P808" s="6" t="s">
        <v>1353</v>
      </c>
      <c r="S808" s="6" t="s">
        <v>239</v>
      </c>
      <c r="T808" s="11">
        <v>20495247</v>
      </c>
      <c r="U808" s="7">
        <v>10</v>
      </c>
      <c r="V808" s="6" t="s">
        <v>36</v>
      </c>
      <c r="W808" s="7">
        <v>23.4</v>
      </c>
      <c r="X808" s="6" t="s">
        <v>35</v>
      </c>
      <c r="Y808" s="7">
        <v>1.27</v>
      </c>
      <c r="Z808" s="7">
        <v>0.5</v>
      </c>
      <c r="AA808" s="6" t="s">
        <v>251</v>
      </c>
      <c r="AB808" s="6" t="s">
        <v>321</v>
      </c>
      <c r="AC808" s="6" t="s">
        <v>321</v>
      </c>
      <c r="AD808" s="6" t="s">
        <v>39</v>
      </c>
      <c r="AE808" s="6" t="s">
        <v>1244</v>
      </c>
      <c r="AF808" s="11">
        <v>1</v>
      </c>
      <c r="AG808" s="6" t="s">
        <v>37</v>
      </c>
      <c r="AH808" s="7">
        <v>60</v>
      </c>
      <c r="AI808" s="6" t="s">
        <v>40</v>
      </c>
      <c r="AJ808" s="6" t="s">
        <v>238</v>
      </c>
      <c r="AK808" s="6" t="s">
        <v>241</v>
      </c>
      <c r="AL808" s="6" t="s">
        <v>41</v>
      </c>
    </row>
    <row r="809" spans="1:40" hidden="1" x14ac:dyDescent="0.25">
      <c r="A809" s="4">
        <v>45856</v>
      </c>
      <c r="B809" s="6" t="s">
        <v>1063</v>
      </c>
      <c r="C809" s="6" t="str">
        <f>_xlfn.XLOOKUP(Table3[[#This Row],[station]],station_waterbody_county!A:A, station_waterbody_county!B:B)</f>
        <v>Port Mouton</v>
      </c>
      <c r="D809" s="3" t="str">
        <f>_xlfn.XLOOKUP(Table3[[#This Row],[station]],station_waterbody_county!A:A, station_waterbody_county!C:C)</f>
        <v>Queens</v>
      </c>
      <c r="E809" s="6"/>
      <c r="F809" s="6" t="s">
        <v>34</v>
      </c>
      <c r="G809" s="12">
        <v>45848</v>
      </c>
      <c r="H809" s="5">
        <v>0.59236111111111112</v>
      </c>
      <c r="I809" s="4"/>
      <c r="J809" s="5"/>
      <c r="K809" s="10"/>
      <c r="O809" s="6" t="s">
        <v>1352</v>
      </c>
      <c r="P809" s="6" t="s">
        <v>1353</v>
      </c>
      <c r="S809" s="6" t="s">
        <v>42</v>
      </c>
      <c r="T809" s="11">
        <v>545777</v>
      </c>
      <c r="U809" s="7">
        <v>12</v>
      </c>
      <c r="V809" s="6" t="s">
        <v>36</v>
      </c>
      <c r="W809" s="7">
        <v>23.4</v>
      </c>
      <c r="X809" s="6" t="s">
        <v>35</v>
      </c>
      <c r="Y809" s="7">
        <v>1.27</v>
      </c>
      <c r="Z809" s="7">
        <v>0.5</v>
      </c>
      <c r="AA809" s="6" t="s">
        <v>251</v>
      </c>
      <c r="AB809" s="6" t="s">
        <v>321</v>
      </c>
      <c r="AC809" s="6" t="s">
        <v>321</v>
      </c>
      <c r="AD809" s="6" t="s">
        <v>39</v>
      </c>
      <c r="AE809" s="6" t="s">
        <v>1244</v>
      </c>
      <c r="AF809" s="11">
        <v>1</v>
      </c>
      <c r="AG809" s="6" t="s">
        <v>37</v>
      </c>
      <c r="AH809" s="7">
        <v>60</v>
      </c>
      <c r="AI809" s="6" t="s">
        <v>40</v>
      </c>
      <c r="AJ809" s="6" t="s">
        <v>238</v>
      </c>
      <c r="AK809" s="6" t="s">
        <v>241</v>
      </c>
      <c r="AL809" s="6" t="s">
        <v>41</v>
      </c>
    </row>
    <row r="810" spans="1:40" hidden="1" x14ac:dyDescent="0.25">
      <c r="A810" s="4">
        <v>45856</v>
      </c>
      <c r="B810" s="6" t="s">
        <v>1063</v>
      </c>
      <c r="C810" s="6" t="str">
        <f>_xlfn.XLOOKUP(Table3[[#This Row],[station]],station_waterbody_county!A:A, station_waterbody_county!B:B)</f>
        <v>Port Mouton</v>
      </c>
      <c r="D810" s="3" t="str">
        <f>_xlfn.XLOOKUP(Table3[[#This Row],[station]],station_waterbody_county!A:A, station_waterbody_county!C:C)</f>
        <v>Queens</v>
      </c>
      <c r="E810" s="6"/>
      <c r="F810" s="6" t="s">
        <v>34</v>
      </c>
      <c r="G810" s="12">
        <v>45848</v>
      </c>
      <c r="H810" s="5">
        <v>0.59236111111111112</v>
      </c>
      <c r="I810" s="4"/>
      <c r="J810" s="5"/>
      <c r="K810" s="10"/>
      <c r="O810" s="6" t="s">
        <v>1352</v>
      </c>
      <c r="P810" s="6" t="s">
        <v>1353</v>
      </c>
      <c r="S810" s="6" t="s">
        <v>239</v>
      </c>
      <c r="T810" s="11">
        <v>20820334</v>
      </c>
      <c r="U810" s="7">
        <v>12</v>
      </c>
      <c r="V810" s="6" t="s">
        <v>36</v>
      </c>
      <c r="W810" s="7">
        <v>23.4</v>
      </c>
      <c r="X810" s="6" t="s">
        <v>35</v>
      </c>
      <c r="Y810" s="7">
        <v>1.27</v>
      </c>
      <c r="Z810" s="7">
        <v>0.5</v>
      </c>
      <c r="AA810" s="6" t="s">
        <v>251</v>
      </c>
      <c r="AB810" s="6" t="s">
        <v>321</v>
      </c>
      <c r="AC810" s="6" t="s">
        <v>321</v>
      </c>
      <c r="AD810" s="6" t="s">
        <v>39</v>
      </c>
      <c r="AE810" s="6" t="s">
        <v>1244</v>
      </c>
      <c r="AF810" s="11">
        <v>1</v>
      </c>
      <c r="AG810" s="6" t="s">
        <v>37</v>
      </c>
      <c r="AH810" s="7">
        <v>60</v>
      </c>
      <c r="AI810" s="6" t="s">
        <v>40</v>
      </c>
      <c r="AJ810" s="6" t="s">
        <v>238</v>
      </c>
      <c r="AK810" s="6" t="s">
        <v>241</v>
      </c>
      <c r="AL810" s="6" t="s">
        <v>41</v>
      </c>
    </row>
    <row r="811" spans="1:40" x14ac:dyDescent="0.25">
      <c r="A811" s="4">
        <v>45931</v>
      </c>
      <c r="B811" s="6" t="s">
        <v>101</v>
      </c>
      <c r="C811" t="str">
        <f>_xlfn.XLOOKUP(Table3[[#This Row],[station]],station_waterbody_county!A:A, station_waterbody_county!B:B)</f>
        <v>Wine Harbour</v>
      </c>
      <c r="D811" t="str">
        <f>_xlfn.XLOOKUP(Table3[[#This Row],[station]],station_waterbody_county!A:A, station_waterbody_county!C:C)</f>
        <v>Guysborough</v>
      </c>
      <c r="E811" s="6" t="s">
        <v>564</v>
      </c>
      <c r="F811" s="6" t="s">
        <v>311</v>
      </c>
      <c r="G811" s="4">
        <v>45600</v>
      </c>
      <c r="H811" s="5">
        <v>0.73611111111111116</v>
      </c>
      <c r="I811" s="4">
        <v>45919</v>
      </c>
      <c r="J811" s="5">
        <v>0.63541666666666663</v>
      </c>
      <c r="K811" s="10"/>
      <c r="O811" s="6" t="s">
        <v>565</v>
      </c>
      <c r="P811" s="6" t="s">
        <v>566</v>
      </c>
      <c r="Q811" s="6" t="s">
        <v>565</v>
      </c>
      <c r="R811" s="6" t="s">
        <v>566</v>
      </c>
      <c r="S811" s="6" t="s">
        <v>253</v>
      </c>
      <c r="T811" s="11">
        <v>680360</v>
      </c>
      <c r="U811" s="7">
        <v>0.5</v>
      </c>
      <c r="V811" s="6" t="s">
        <v>254</v>
      </c>
      <c r="W811" s="7"/>
      <c r="X811" s="6" t="s">
        <v>241</v>
      </c>
      <c r="Y811" s="7"/>
      <c r="AA811" s="6"/>
      <c r="AB811" s="6" t="s">
        <v>321</v>
      </c>
      <c r="AE811" s="6" t="s">
        <v>40</v>
      </c>
      <c r="AG811" s="6" t="s">
        <v>37</v>
      </c>
      <c r="AH811" s="7">
        <v>60</v>
      </c>
      <c r="AI811" s="6" t="s">
        <v>40</v>
      </c>
      <c r="AJ811" s="6" t="s">
        <v>238</v>
      </c>
      <c r="AK811" s="6" t="s">
        <v>241</v>
      </c>
      <c r="AL811" s="6" t="s">
        <v>536</v>
      </c>
      <c r="AM811" s="6" t="s">
        <v>1424</v>
      </c>
      <c r="AN811" s="6" t="s">
        <v>1428</v>
      </c>
    </row>
    <row r="812" spans="1:40" x14ac:dyDescent="0.25">
      <c r="A812" s="4">
        <v>45931</v>
      </c>
      <c r="B812" s="6" t="s">
        <v>101</v>
      </c>
      <c r="C812" t="str">
        <f>_xlfn.XLOOKUP(Table3[[#This Row],[station]],station_waterbody_county!A:A, station_waterbody_county!B:B)</f>
        <v>Wine Harbour</v>
      </c>
      <c r="D812" t="str">
        <f>_xlfn.XLOOKUP(Table3[[#This Row],[station]],station_waterbody_county!A:A, station_waterbody_county!C:C)</f>
        <v>Guysborough</v>
      </c>
      <c r="E812" s="6" t="s">
        <v>564</v>
      </c>
      <c r="F812" s="6" t="s">
        <v>310</v>
      </c>
      <c r="G812" s="4">
        <v>45600</v>
      </c>
      <c r="H812" s="5">
        <v>0.73611111111111116</v>
      </c>
      <c r="I812" s="4">
        <v>45919</v>
      </c>
      <c r="J812" s="5">
        <v>0.63541666666666663</v>
      </c>
      <c r="K812" s="10"/>
      <c r="O812" s="6" t="s">
        <v>565</v>
      </c>
      <c r="P812" s="6" t="s">
        <v>566</v>
      </c>
      <c r="Q812" s="6" t="s">
        <v>565</v>
      </c>
      <c r="R812" s="6" t="s">
        <v>566</v>
      </c>
      <c r="S812" s="6" t="s">
        <v>239</v>
      </c>
      <c r="T812" s="11">
        <v>22048573</v>
      </c>
      <c r="U812" s="7">
        <v>1</v>
      </c>
      <c r="V812" s="6" t="s">
        <v>254</v>
      </c>
      <c r="W812" s="7"/>
      <c r="X812" s="6" t="s">
        <v>241</v>
      </c>
      <c r="Y812" s="7"/>
      <c r="AA812" s="6"/>
      <c r="AB812" s="6" t="s">
        <v>321</v>
      </c>
      <c r="AE812" s="6" t="s">
        <v>40</v>
      </c>
      <c r="AG812" s="6" t="s">
        <v>37</v>
      </c>
      <c r="AH812" s="7">
        <v>60</v>
      </c>
      <c r="AI812" s="6" t="s">
        <v>40</v>
      </c>
      <c r="AJ812" s="6" t="s">
        <v>238</v>
      </c>
      <c r="AK812" s="6" t="s">
        <v>241</v>
      </c>
      <c r="AL812" s="6" t="s">
        <v>536</v>
      </c>
      <c r="AM812" s="6" t="s">
        <v>1424</v>
      </c>
    </row>
    <row r="813" spans="1:40" x14ac:dyDescent="0.25">
      <c r="A813" s="4">
        <v>45931</v>
      </c>
      <c r="B813" s="6" t="s">
        <v>101</v>
      </c>
      <c r="C813" t="str">
        <f>_xlfn.XLOOKUP(Table3[[#This Row],[station]],station_waterbody_county!A:A, station_waterbody_county!B:B)</f>
        <v>Wine Harbour</v>
      </c>
      <c r="D813" t="str">
        <f>_xlfn.XLOOKUP(Table3[[#This Row],[station]],station_waterbody_county!A:A, station_waterbody_county!C:C)</f>
        <v>Guysborough</v>
      </c>
      <c r="E813" s="6" t="s">
        <v>564</v>
      </c>
      <c r="F813" s="6" t="s">
        <v>310</v>
      </c>
      <c r="G813" s="4">
        <v>45600</v>
      </c>
      <c r="H813" s="5">
        <v>0.73611111111111116</v>
      </c>
      <c r="I813" s="4">
        <v>45919</v>
      </c>
      <c r="J813" s="5">
        <v>0.63541666666666663</v>
      </c>
      <c r="K813" s="10"/>
      <c r="O813" s="6" t="s">
        <v>565</v>
      </c>
      <c r="P813" s="6" t="s">
        <v>566</v>
      </c>
      <c r="Q813" s="6" t="s">
        <v>565</v>
      </c>
      <c r="R813" s="6" t="s">
        <v>566</v>
      </c>
      <c r="S813" s="6" t="s">
        <v>239</v>
      </c>
      <c r="T813" s="11">
        <v>22048569</v>
      </c>
      <c r="U813" s="7">
        <v>7</v>
      </c>
      <c r="V813" s="6" t="s">
        <v>254</v>
      </c>
      <c r="W813" s="7"/>
      <c r="X813" s="6" t="s">
        <v>241</v>
      </c>
      <c r="Y813" s="7"/>
      <c r="AA813" s="6"/>
      <c r="AB813" s="6" t="s">
        <v>321</v>
      </c>
      <c r="AE813" s="6" t="s">
        <v>40</v>
      </c>
      <c r="AG813" s="6" t="s">
        <v>37</v>
      </c>
      <c r="AH813" s="7">
        <v>60</v>
      </c>
      <c r="AI813" s="6" t="s">
        <v>40</v>
      </c>
      <c r="AJ813" s="6" t="s">
        <v>238</v>
      </c>
      <c r="AK813" s="6" t="s">
        <v>241</v>
      </c>
      <c r="AL813" s="6" t="s">
        <v>536</v>
      </c>
      <c r="AM813" s="6" t="s">
        <v>1424</v>
      </c>
    </row>
    <row r="814" spans="1:40" x14ac:dyDescent="0.25">
      <c r="A814" s="4">
        <v>45933</v>
      </c>
      <c r="B814" s="6" t="s">
        <v>236</v>
      </c>
      <c r="C814" t="str">
        <f>_xlfn.XLOOKUP(Table3[[#This Row],[station]],station_waterbody_county!A:A, station_waterbody_county!B:B)</f>
        <v>Whitehead Harbour</v>
      </c>
      <c r="D814" t="str">
        <f>_xlfn.XLOOKUP(Table3[[#This Row],[station]],station_waterbody_county!A:A, station_waterbody_county!C:C)</f>
        <v>Guysborough</v>
      </c>
      <c r="E814" s="6" t="s">
        <v>295</v>
      </c>
      <c r="F814" s="6" t="s">
        <v>310</v>
      </c>
      <c r="G814" s="4">
        <v>45600</v>
      </c>
      <c r="H814" s="5">
        <v>0.60763888888888884</v>
      </c>
      <c r="I814" s="4">
        <v>45919</v>
      </c>
      <c r="J814" s="5">
        <v>0.53333333333333333</v>
      </c>
      <c r="K814" s="10"/>
      <c r="O814" s="6" t="s">
        <v>555</v>
      </c>
      <c r="P814" s="6" t="s">
        <v>556</v>
      </c>
      <c r="Q814" s="6" t="s">
        <v>557</v>
      </c>
      <c r="R814" s="6" t="s">
        <v>556</v>
      </c>
      <c r="S814" s="6" t="s">
        <v>239</v>
      </c>
      <c r="T814" s="11">
        <v>22055897</v>
      </c>
      <c r="U814" s="7">
        <v>1</v>
      </c>
      <c r="V814" s="6" t="s">
        <v>246</v>
      </c>
      <c r="W814" s="7"/>
      <c r="X814" s="6" t="s">
        <v>241</v>
      </c>
      <c r="Y814" s="7"/>
      <c r="AA814" s="6"/>
      <c r="AE814" s="6"/>
      <c r="AH814" s="7"/>
      <c r="AI814" s="6" t="s">
        <v>40</v>
      </c>
      <c r="AJ814" s="6" t="s">
        <v>238</v>
      </c>
      <c r="AL814" s="6" t="s">
        <v>536</v>
      </c>
      <c r="AM814" s="6" t="s">
        <v>1424</v>
      </c>
    </row>
    <row r="815" spans="1:40" hidden="1" x14ac:dyDescent="0.25">
      <c r="A815" s="12">
        <v>45608</v>
      </c>
      <c r="B815" s="6" t="s">
        <v>236</v>
      </c>
      <c r="C815" t="str">
        <f>_xlfn.XLOOKUP(Table3[[#This Row],[station]],station_waterbody_county!A:A, station_waterbody_county!B:B)</f>
        <v>Whitehead Harbour</v>
      </c>
      <c r="D815" t="str">
        <f>_xlfn.XLOOKUP(Table3[[#This Row],[station]],station_waterbody_county!A:A, station_waterbody_county!C:C)</f>
        <v>Guysborough</v>
      </c>
      <c r="E815" s="6" t="s">
        <v>295</v>
      </c>
      <c r="F815" s="6" t="s">
        <v>310</v>
      </c>
      <c r="G815" s="12">
        <v>45244</v>
      </c>
      <c r="H815" s="5"/>
      <c r="I815" s="4">
        <v>45600</v>
      </c>
      <c r="J815" s="5">
        <v>0.60624999999999996</v>
      </c>
      <c r="K815" s="10">
        <v>45.233623999999999</v>
      </c>
      <c r="L815" s="10">
        <v>-61.158470999999999</v>
      </c>
      <c r="O815" s="6"/>
      <c r="Q815" s="6" t="s">
        <v>555</v>
      </c>
      <c r="R815" s="6" t="s">
        <v>556</v>
      </c>
      <c r="S815" s="6" t="s">
        <v>239</v>
      </c>
      <c r="T815" s="11">
        <v>20495247</v>
      </c>
      <c r="U815" s="7">
        <v>1</v>
      </c>
      <c r="V815" s="6" t="s">
        <v>246</v>
      </c>
      <c r="W815" s="7"/>
      <c r="X815" s="6" t="s">
        <v>241</v>
      </c>
      <c r="Y815" s="7"/>
      <c r="AA815" s="6"/>
      <c r="AE815" s="6"/>
      <c r="AH815" s="7"/>
      <c r="AI815" s="6" t="s">
        <v>40</v>
      </c>
      <c r="AJ815" s="6" t="s">
        <v>238</v>
      </c>
      <c r="AK815" s="6" t="s">
        <v>35</v>
      </c>
      <c r="AL815" s="6" t="s">
        <v>274</v>
      </c>
      <c r="AM815" s="6" t="s">
        <v>536</v>
      </c>
      <c r="AN815" s="6" t="s">
        <v>267</v>
      </c>
    </row>
    <row r="816" spans="1:40" x14ac:dyDescent="0.25">
      <c r="A816" s="4">
        <v>45884</v>
      </c>
      <c r="B816" s="6" t="s">
        <v>237</v>
      </c>
      <c r="C816" t="str">
        <f>_xlfn.XLOOKUP(Table3[[#This Row],[station]],station_waterbody_county!A:A, station_waterbody_county!B:B)</f>
        <v>Careys Cove</v>
      </c>
      <c r="D816" t="str">
        <f>_xlfn.XLOOKUP(Table3[[#This Row],[station]],station_waterbody_county!A:A, station_waterbody_county!C:C)</f>
        <v>Yarmouth</v>
      </c>
      <c r="E816" s="6"/>
      <c r="F816" s="6" t="s">
        <v>310</v>
      </c>
      <c r="G816" s="4">
        <v>45511</v>
      </c>
      <c r="H816" s="5">
        <v>0.73124999999999996</v>
      </c>
      <c r="I816" s="4">
        <v>45869</v>
      </c>
      <c r="J816" s="5">
        <v>0.58750000000000002</v>
      </c>
      <c r="K816" s="10"/>
      <c r="O816" s="6" t="s">
        <v>442</v>
      </c>
      <c r="P816" s="6" t="s">
        <v>443</v>
      </c>
      <c r="Q816" s="6" t="s">
        <v>1383</v>
      </c>
      <c r="R816" s="6" t="s">
        <v>1384</v>
      </c>
      <c r="S816" s="6" t="s">
        <v>239</v>
      </c>
      <c r="T816" s="11">
        <v>21488192</v>
      </c>
      <c r="U816" s="7">
        <v>2</v>
      </c>
      <c r="V816" s="6" t="s">
        <v>36</v>
      </c>
      <c r="W816" s="7">
        <v>21</v>
      </c>
      <c r="X816" s="6" t="s">
        <v>35</v>
      </c>
      <c r="Y816" s="7">
        <v>3.9</v>
      </c>
      <c r="Z816" s="7">
        <v>0.5</v>
      </c>
      <c r="AA816" s="6" t="s">
        <v>251</v>
      </c>
      <c r="AB816" s="6" t="s">
        <v>321</v>
      </c>
      <c r="AD816" s="6" t="s">
        <v>39</v>
      </c>
      <c r="AE816" s="6"/>
      <c r="AG816" s="6" t="s">
        <v>37</v>
      </c>
      <c r="AH816" s="7">
        <v>60</v>
      </c>
      <c r="AI816" s="6" t="s">
        <v>40</v>
      </c>
      <c r="AJ816" s="6" t="s">
        <v>238</v>
      </c>
      <c r="AK816" s="6" t="s">
        <v>241</v>
      </c>
      <c r="AL816" s="6" t="s">
        <v>41</v>
      </c>
      <c r="AM816" s="6" t="s">
        <v>41</v>
      </c>
      <c r="AN816" s="6" t="s">
        <v>439</v>
      </c>
    </row>
    <row r="817" spans="1:40" x14ac:dyDescent="0.25">
      <c r="A817" s="4">
        <v>45884</v>
      </c>
      <c r="B817" s="6" t="s">
        <v>237</v>
      </c>
      <c r="C817" t="str">
        <f>_xlfn.XLOOKUP(Table3[[#This Row],[station]],station_waterbody_county!A:A, station_waterbody_county!B:B)</f>
        <v>Careys Cove</v>
      </c>
      <c r="D817" t="str">
        <f>_xlfn.XLOOKUP(Table3[[#This Row],[station]],station_waterbody_county!A:A, station_waterbody_county!C:C)</f>
        <v>Yarmouth</v>
      </c>
      <c r="E817" s="6"/>
      <c r="F817" s="6" t="s">
        <v>310</v>
      </c>
      <c r="G817" s="4">
        <v>45511</v>
      </c>
      <c r="H817" s="5">
        <v>0.73124999999999996</v>
      </c>
      <c r="I817" s="4">
        <v>45869</v>
      </c>
      <c r="J817" s="5">
        <v>0.58750000000000002</v>
      </c>
      <c r="K817" s="10"/>
      <c r="O817" s="6" t="s">
        <v>442</v>
      </c>
      <c r="P817" s="6" t="s">
        <v>443</v>
      </c>
      <c r="Q817" s="6" t="s">
        <v>1383</v>
      </c>
      <c r="R817" s="6" t="s">
        <v>1384</v>
      </c>
      <c r="S817" s="6" t="s">
        <v>240</v>
      </c>
      <c r="T817" s="11">
        <v>671187</v>
      </c>
      <c r="U817" s="7">
        <v>5</v>
      </c>
      <c r="V817" s="6" t="s">
        <v>36</v>
      </c>
      <c r="W817" s="7">
        <v>21</v>
      </c>
      <c r="X817" s="6" t="s">
        <v>35</v>
      </c>
      <c r="Y817" s="7">
        <v>3.9</v>
      </c>
      <c r="Z817" s="7">
        <v>0.5</v>
      </c>
      <c r="AA817" s="6" t="s">
        <v>251</v>
      </c>
      <c r="AB817" s="6" t="s">
        <v>321</v>
      </c>
      <c r="AD817" s="6" t="s">
        <v>39</v>
      </c>
      <c r="AE817" s="6"/>
      <c r="AG817" s="6" t="s">
        <v>37</v>
      </c>
      <c r="AH817" s="7">
        <v>60</v>
      </c>
      <c r="AI817" s="6" t="s">
        <v>40</v>
      </c>
      <c r="AJ817" s="6" t="s">
        <v>238</v>
      </c>
      <c r="AK817" s="6" t="s">
        <v>241</v>
      </c>
      <c r="AL817" s="6" t="s">
        <v>41</v>
      </c>
      <c r="AM817" s="6" t="s">
        <v>41</v>
      </c>
      <c r="AN817" s="6" t="s">
        <v>439</v>
      </c>
    </row>
    <row r="818" spans="1:40" x14ac:dyDescent="0.25">
      <c r="A818" s="4">
        <v>45884</v>
      </c>
      <c r="B818" s="6" t="s">
        <v>237</v>
      </c>
      <c r="C818" t="str">
        <f>_xlfn.XLOOKUP(Table3[[#This Row],[station]],station_waterbody_county!A:A, station_waterbody_county!B:B)</f>
        <v>Careys Cove</v>
      </c>
      <c r="D818" t="str">
        <f>_xlfn.XLOOKUP(Table3[[#This Row],[station]],station_waterbody_county!A:A, station_waterbody_county!C:C)</f>
        <v>Yarmouth</v>
      </c>
      <c r="E818" s="6"/>
      <c r="F818" s="6" t="s">
        <v>310</v>
      </c>
      <c r="G818" s="4">
        <v>45511</v>
      </c>
      <c r="H818" s="5">
        <v>0.73124999999999996</v>
      </c>
      <c r="I818" s="4">
        <v>45869</v>
      </c>
      <c r="J818" s="5">
        <v>0.58750000000000002</v>
      </c>
      <c r="K818" s="10"/>
      <c r="O818" s="6" t="s">
        <v>442</v>
      </c>
      <c r="P818" s="6" t="s">
        <v>443</v>
      </c>
      <c r="Q818" s="6" t="s">
        <v>1383</v>
      </c>
      <c r="R818" s="6" t="s">
        <v>1384</v>
      </c>
      <c r="S818" s="6" t="s">
        <v>239</v>
      </c>
      <c r="T818" s="11">
        <v>21444877</v>
      </c>
      <c r="U818" s="7">
        <v>10</v>
      </c>
      <c r="V818" s="6" t="s">
        <v>36</v>
      </c>
      <c r="W818" s="7">
        <v>21</v>
      </c>
      <c r="X818" s="6" t="s">
        <v>35</v>
      </c>
      <c r="Y818" s="7">
        <v>3.9</v>
      </c>
      <c r="Z818" s="7">
        <v>0.5</v>
      </c>
      <c r="AA818" s="6" t="s">
        <v>251</v>
      </c>
      <c r="AB818" s="6" t="s">
        <v>321</v>
      </c>
      <c r="AD818" s="6" t="s">
        <v>39</v>
      </c>
      <c r="AE818" s="6"/>
      <c r="AG818" s="6" t="s">
        <v>37</v>
      </c>
      <c r="AH818" s="7">
        <v>60</v>
      </c>
      <c r="AI818" s="6" t="s">
        <v>40</v>
      </c>
      <c r="AJ818" s="6" t="s">
        <v>238</v>
      </c>
      <c r="AK818" s="6" t="s">
        <v>241</v>
      </c>
      <c r="AL818" s="6" t="s">
        <v>41</v>
      </c>
      <c r="AM818" s="6" t="s">
        <v>41</v>
      </c>
      <c r="AN818" s="6" t="s">
        <v>439</v>
      </c>
    </row>
    <row r="819" spans="1:40" x14ac:dyDescent="0.25">
      <c r="A819" s="4">
        <v>45884</v>
      </c>
      <c r="B819" s="6" t="s">
        <v>237</v>
      </c>
      <c r="C819" t="str">
        <f>_xlfn.XLOOKUP(Table3[[#This Row],[station]],station_waterbody_county!A:A, station_waterbody_county!B:B)</f>
        <v>Careys Cove</v>
      </c>
      <c r="D819" t="str">
        <f>_xlfn.XLOOKUP(Table3[[#This Row],[station]],station_waterbody_county!A:A, station_waterbody_county!C:C)</f>
        <v>Yarmouth</v>
      </c>
      <c r="E819" s="6"/>
      <c r="F819" s="6" t="s">
        <v>310</v>
      </c>
      <c r="G819" s="4">
        <v>45511</v>
      </c>
      <c r="H819" s="5">
        <v>0.73124999999999996</v>
      </c>
      <c r="I819" s="4">
        <v>45869</v>
      </c>
      <c r="J819" s="5">
        <v>0.58750000000000002</v>
      </c>
      <c r="K819" s="10"/>
      <c r="O819" s="6" t="s">
        <v>442</v>
      </c>
      <c r="P819" s="6" t="s">
        <v>443</v>
      </c>
      <c r="Q819" s="6" t="s">
        <v>1383</v>
      </c>
      <c r="R819" s="6" t="s">
        <v>1384</v>
      </c>
      <c r="S819" s="6" t="s">
        <v>42</v>
      </c>
      <c r="T819" s="11">
        <v>548553</v>
      </c>
      <c r="U819" s="7">
        <v>15</v>
      </c>
      <c r="V819" s="6" t="s">
        <v>36</v>
      </c>
      <c r="W819" s="7">
        <v>21</v>
      </c>
      <c r="X819" s="6" t="s">
        <v>35</v>
      </c>
      <c r="Y819" s="7">
        <v>3.9</v>
      </c>
      <c r="Z819" s="7">
        <v>0.5</v>
      </c>
      <c r="AA819" s="6" t="s">
        <v>251</v>
      </c>
      <c r="AB819" s="6" t="s">
        <v>321</v>
      </c>
      <c r="AD819" s="6" t="s">
        <v>39</v>
      </c>
      <c r="AE819" s="6"/>
      <c r="AG819" s="6" t="s">
        <v>37</v>
      </c>
      <c r="AH819" s="7">
        <v>60</v>
      </c>
      <c r="AI819" s="6" t="s">
        <v>40</v>
      </c>
      <c r="AJ819" s="6" t="s">
        <v>238</v>
      </c>
      <c r="AK819" s="6" t="s">
        <v>241</v>
      </c>
      <c r="AL819" s="6" t="s">
        <v>41</v>
      </c>
      <c r="AM819" s="6" t="s">
        <v>41</v>
      </c>
      <c r="AN819" s="6" t="s">
        <v>439</v>
      </c>
    </row>
    <row r="820" spans="1:40" hidden="1" x14ac:dyDescent="0.25">
      <c r="A820" s="4">
        <v>45678</v>
      </c>
      <c r="B820" s="6" t="s">
        <v>237</v>
      </c>
      <c r="C820" t="str">
        <f>_xlfn.XLOOKUP(Table3[[#This Row],[station]],station_waterbody_county!A:A, station_waterbody_county!B:B)</f>
        <v>Careys Cove</v>
      </c>
      <c r="D820" t="str">
        <f>_xlfn.XLOOKUP(Table3[[#This Row],[station]],station_waterbody_county!A:A, station_waterbody_county!C:C)</f>
        <v>Yarmouth</v>
      </c>
      <c r="E820" s="6"/>
      <c r="F820" s="6" t="s">
        <v>310</v>
      </c>
      <c r="G820" s="12">
        <v>45141</v>
      </c>
      <c r="H820" s="5"/>
      <c r="I820" s="4">
        <v>45511</v>
      </c>
      <c r="J820" s="5">
        <v>0.71250000000000002</v>
      </c>
      <c r="K820" s="10">
        <v>43.831525999999997</v>
      </c>
      <c r="L820" s="10">
        <v>-66.173208000000002</v>
      </c>
      <c r="O820" s="6"/>
      <c r="Q820" s="6" t="s">
        <v>440</v>
      </c>
      <c r="R820" s="6" t="s">
        <v>441</v>
      </c>
      <c r="S820" s="6" t="s">
        <v>239</v>
      </c>
      <c r="T820" s="11">
        <v>20804688</v>
      </c>
      <c r="U820" s="7">
        <v>2</v>
      </c>
      <c r="V820" s="6" t="s">
        <v>36</v>
      </c>
      <c r="W820" s="7">
        <v>19.399999999999999</v>
      </c>
      <c r="X820" s="6" t="s">
        <v>35</v>
      </c>
      <c r="Y820" s="7">
        <v>1.9</v>
      </c>
      <c r="Z820" s="7">
        <v>1</v>
      </c>
      <c r="AA820" s="6" t="s">
        <v>243</v>
      </c>
      <c r="AB820" s="6" t="s">
        <v>321</v>
      </c>
      <c r="AD820" s="6" t="s">
        <v>39</v>
      </c>
      <c r="AE820" s="6"/>
      <c r="AG820" s="6" t="s">
        <v>37</v>
      </c>
      <c r="AH820" s="7">
        <v>60</v>
      </c>
      <c r="AI820" s="6" t="s">
        <v>40</v>
      </c>
      <c r="AJ820" s="6" t="s">
        <v>238</v>
      </c>
      <c r="AK820" s="6" t="s">
        <v>35</v>
      </c>
      <c r="AL820" s="6" t="s">
        <v>269</v>
      </c>
      <c r="AM820" s="6" t="s">
        <v>41</v>
      </c>
    </row>
    <row r="821" spans="1:40" hidden="1" x14ac:dyDescent="0.25">
      <c r="A821" s="4">
        <v>45678</v>
      </c>
      <c r="B821" s="6" t="s">
        <v>237</v>
      </c>
      <c r="C821" t="str">
        <f>_xlfn.XLOOKUP(Table3[[#This Row],[station]],station_waterbody_county!A:A, station_waterbody_county!B:B)</f>
        <v>Careys Cove</v>
      </c>
      <c r="D821" t="str">
        <f>_xlfn.XLOOKUP(Table3[[#This Row],[station]],station_waterbody_county!A:A, station_waterbody_county!C:C)</f>
        <v>Yarmouth</v>
      </c>
      <c r="E821" s="6"/>
      <c r="F821" s="6" t="s">
        <v>310</v>
      </c>
      <c r="G821" s="12">
        <v>45141</v>
      </c>
      <c r="H821" s="5"/>
      <c r="I821" s="4">
        <v>45511</v>
      </c>
      <c r="J821" s="5">
        <v>0.71250000000000002</v>
      </c>
      <c r="K821" s="10">
        <v>43.831525999999997</v>
      </c>
      <c r="L821" s="10">
        <v>-66.173208000000002</v>
      </c>
      <c r="O821" s="6"/>
      <c r="Q821" s="6" t="s">
        <v>440</v>
      </c>
      <c r="R821" s="6" t="s">
        <v>441</v>
      </c>
      <c r="S821" s="6" t="s">
        <v>240</v>
      </c>
      <c r="T821" s="11">
        <v>671185</v>
      </c>
      <c r="U821" s="7">
        <v>5</v>
      </c>
      <c r="V821" s="6" t="s">
        <v>36</v>
      </c>
      <c r="W821" s="7">
        <v>19.399999999999999</v>
      </c>
      <c r="X821" s="6" t="s">
        <v>35</v>
      </c>
      <c r="Y821" s="7">
        <v>1.9</v>
      </c>
      <c r="Z821" s="7">
        <v>1</v>
      </c>
      <c r="AA821" s="6" t="s">
        <v>243</v>
      </c>
      <c r="AB821" s="6" t="s">
        <v>321</v>
      </c>
      <c r="AD821" s="6" t="s">
        <v>39</v>
      </c>
      <c r="AE821" s="6"/>
      <c r="AG821" s="6" t="s">
        <v>37</v>
      </c>
      <c r="AH821" s="7">
        <v>60</v>
      </c>
      <c r="AI821" s="6" t="s">
        <v>40</v>
      </c>
      <c r="AJ821" s="6" t="s">
        <v>238</v>
      </c>
      <c r="AK821" s="6" t="s">
        <v>35</v>
      </c>
      <c r="AL821" s="6" t="s">
        <v>269</v>
      </c>
      <c r="AM821" s="6" t="s">
        <v>41</v>
      </c>
    </row>
    <row r="822" spans="1:40" hidden="1" x14ac:dyDescent="0.25">
      <c r="A822" s="4">
        <v>45678</v>
      </c>
      <c r="B822" s="6" t="s">
        <v>237</v>
      </c>
      <c r="C822" t="str">
        <f>_xlfn.XLOOKUP(Table3[[#This Row],[station]],station_waterbody_county!A:A, station_waterbody_county!B:B)</f>
        <v>Careys Cove</v>
      </c>
      <c r="D822" t="str">
        <f>_xlfn.XLOOKUP(Table3[[#This Row],[station]],station_waterbody_county!A:A, station_waterbody_county!C:C)</f>
        <v>Yarmouth</v>
      </c>
      <c r="E822" s="6"/>
      <c r="F822" s="6" t="s">
        <v>310</v>
      </c>
      <c r="G822" s="12">
        <v>45141</v>
      </c>
      <c r="H822" s="5"/>
      <c r="I822" s="4">
        <v>45511</v>
      </c>
      <c r="J822" s="5">
        <v>0.71250000000000002</v>
      </c>
      <c r="K822" s="10">
        <v>43.831525999999997</v>
      </c>
      <c r="L822" s="10">
        <v>-66.173208000000002</v>
      </c>
      <c r="O822" s="6"/>
      <c r="Q822" s="6" t="s">
        <v>440</v>
      </c>
      <c r="R822" s="6" t="s">
        <v>441</v>
      </c>
      <c r="S822" s="6" t="s">
        <v>239</v>
      </c>
      <c r="T822" s="11">
        <v>20330413</v>
      </c>
      <c r="U822" s="7">
        <v>10</v>
      </c>
      <c r="V822" s="6" t="s">
        <v>36</v>
      </c>
      <c r="W822" s="7">
        <v>19.399999999999999</v>
      </c>
      <c r="X822" s="6" t="s">
        <v>35</v>
      </c>
      <c r="Y822" s="7">
        <v>1.9</v>
      </c>
      <c r="Z822" s="7">
        <v>1</v>
      </c>
      <c r="AA822" s="6" t="s">
        <v>243</v>
      </c>
      <c r="AB822" s="6" t="s">
        <v>321</v>
      </c>
      <c r="AD822" s="6" t="s">
        <v>39</v>
      </c>
      <c r="AE822" s="6"/>
      <c r="AG822" s="6" t="s">
        <v>37</v>
      </c>
      <c r="AH822" s="7">
        <v>60</v>
      </c>
      <c r="AI822" s="6" t="s">
        <v>40</v>
      </c>
      <c r="AJ822" s="6" t="s">
        <v>238</v>
      </c>
      <c r="AK822" s="6" t="s">
        <v>35</v>
      </c>
      <c r="AL822" s="6" t="s">
        <v>269</v>
      </c>
      <c r="AM822" s="6" t="s">
        <v>41</v>
      </c>
    </row>
    <row r="823" spans="1:40" hidden="1" x14ac:dyDescent="0.25">
      <c r="A823" s="4">
        <v>45678</v>
      </c>
      <c r="B823" s="6" t="s">
        <v>237</v>
      </c>
      <c r="C823" t="str">
        <f>_xlfn.XLOOKUP(Table3[[#This Row],[station]],station_waterbody_county!A:A, station_waterbody_county!B:B)</f>
        <v>Careys Cove</v>
      </c>
      <c r="D823" t="str">
        <f>_xlfn.XLOOKUP(Table3[[#This Row],[station]],station_waterbody_county!A:A, station_waterbody_county!C:C)</f>
        <v>Yarmouth</v>
      </c>
      <c r="E823" s="6"/>
      <c r="F823" s="6" t="s">
        <v>310</v>
      </c>
      <c r="G823" s="12">
        <v>45141</v>
      </c>
      <c r="H823" s="5"/>
      <c r="I823" s="4">
        <v>45511</v>
      </c>
      <c r="J823" s="5">
        <v>0.71250000000000002</v>
      </c>
      <c r="K823" s="10">
        <v>43.831525999999997</v>
      </c>
      <c r="L823" s="10">
        <v>-66.173208000000002</v>
      </c>
      <c r="O823" s="6"/>
      <c r="Q823" s="6" t="s">
        <v>440</v>
      </c>
      <c r="R823" s="6" t="s">
        <v>441</v>
      </c>
      <c r="S823" s="6" t="s">
        <v>42</v>
      </c>
      <c r="T823" s="11">
        <v>548586</v>
      </c>
      <c r="U823" s="7">
        <v>15</v>
      </c>
      <c r="V823" s="6" t="s">
        <v>36</v>
      </c>
      <c r="W823" s="7">
        <v>19.399999999999999</v>
      </c>
      <c r="X823" s="6" t="s">
        <v>35</v>
      </c>
      <c r="Y823" s="7">
        <v>1.9</v>
      </c>
      <c r="Z823" s="7">
        <v>1</v>
      </c>
      <c r="AA823" s="6" t="s">
        <v>243</v>
      </c>
      <c r="AB823" s="6" t="s">
        <v>321</v>
      </c>
      <c r="AD823" s="6" t="s">
        <v>39</v>
      </c>
      <c r="AE823" s="6"/>
      <c r="AG823" s="6" t="s">
        <v>37</v>
      </c>
      <c r="AH823" s="7">
        <v>60</v>
      </c>
      <c r="AI823" s="6" t="s">
        <v>40</v>
      </c>
      <c r="AJ823" s="6" t="s">
        <v>238</v>
      </c>
      <c r="AK823" s="6" t="s">
        <v>35</v>
      </c>
      <c r="AL823" s="6" t="s">
        <v>269</v>
      </c>
      <c r="AM823" s="6" t="s">
        <v>41</v>
      </c>
    </row>
    <row r="824" spans="1:40" hidden="1" x14ac:dyDescent="0.25">
      <c r="A824" s="4">
        <v>45884</v>
      </c>
      <c r="B824" s="6" t="s">
        <v>237</v>
      </c>
      <c r="C824" s="6" t="str">
        <f>_xlfn.XLOOKUP(Table3[[#This Row],[station]],station_waterbody_county!A:A, station_waterbody_county!B:B)</f>
        <v>Careys Cove</v>
      </c>
      <c r="D824" s="3" t="str">
        <f>_xlfn.XLOOKUP(Table3[[#This Row],[station]],station_waterbody_county!A:A, station_waterbody_county!C:C)</f>
        <v>Yarmouth</v>
      </c>
      <c r="E824" s="6"/>
      <c r="F824" s="6" t="s">
        <v>34</v>
      </c>
      <c r="G824" s="12">
        <v>45869</v>
      </c>
      <c r="H824" s="5">
        <v>0.59652777777777777</v>
      </c>
      <c r="I824" s="4"/>
      <c r="J824" s="5"/>
      <c r="K824" s="10"/>
      <c r="O824" s="6" t="s">
        <v>1385</v>
      </c>
      <c r="P824" s="6" t="s">
        <v>1386</v>
      </c>
      <c r="S824" s="6" t="s">
        <v>239</v>
      </c>
      <c r="T824" s="11">
        <v>22310010</v>
      </c>
      <c r="U824" s="7">
        <v>2</v>
      </c>
      <c r="V824" s="6" t="s">
        <v>36</v>
      </c>
      <c r="W824" s="7">
        <v>20.3</v>
      </c>
      <c r="X824" s="6" t="s">
        <v>35</v>
      </c>
      <c r="Y824" s="7">
        <v>1.4</v>
      </c>
      <c r="Z824" s="7">
        <v>1</v>
      </c>
      <c r="AA824" s="6" t="s">
        <v>243</v>
      </c>
      <c r="AB824" s="6" t="s">
        <v>321</v>
      </c>
      <c r="AD824" s="6" t="s">
        <v>39</v>
      </c>
      <c r="AE824" s="6" t="s">
        <v>40</v>
      </c>
      <c r="AG824" s="6" t="s">
        <v>37</v>
      </c>
      <c r="AH824" s="7">
        <v>60</v>
      </c>
      <c r="AI824" s="6" t="s">
        <v>40</v>
      </c>
      <c r="AJ824" s="6" t="s">
        <v>238</v>
      </c>
      <c r="AL824" s="6" t="s">
        <v>41</v>
      </c>
    </row>
    <row r="825" spans="1:40" hidden="1" x14ac:dyDescent="0.25">
      <c r="A825" s="4">
        <v>45884</v>
      </c>
      <c r="B825" s="6" t="s">
        <v>237</v>
      </c>
      <c r="C825" s="6" t="str">
        <f>_xlfn.XLOOKUP(Table3[[#This Row],[station]],station_waterbody_county!A:A, station_waterbody_county!B:B)</f>
        <v>Careys Cove</v>
      </c>
      <c r="D825" s="3" t="str">
        <f>_xlfn.XLOOKUP(Table3[[#This Row],[station]],station_waterbody_county!A:A, station_waterbody_county!C:C)</f>
        <v>Yarmouth</v>
      </c>
      <c r="E825" s="6"/>
      <c r="F825" s="6" t="s">
        <v>34</v>
      </c>
      <c r="G825" s="12">
        <v>45869</v>
      </c>
      <c r="H825" s="5">
        <v>0.59652777777777777</v>
      </c>
      <c r="I825" s="4"/>
      <c r="J825" s="5"/>
      <c r="K825" s="10"/>
      <c r="O825" s="6" t="s">
        <v>1385</v>
      </c>
      <c r="P825" s="6" t="s">
        <v>1386</v>
      </c>
      <c r="S825" s="6" t="s">
        <v>239</v>
      </c>
      <c r="T825" s="11">
        <v>22285941</v>
      </c>
      <c r="U825" s="7">
        <v>5</v>
      </c>
      <c r="V825" s="6" t="s">
        <v>36</v>
      </c>
      <c r="W825" s="7">
        <v>20.3</v>
      </c>
      <c r="X825" s="6" t="s">
        <v>35</v>
      </c>
      <c r="Y825" s="7">
        <v>1.4</v>
      </c>
      <c r="Z825" s="7">
        <v>1</v>
      </c>
      <c r="AA825" s="6" t="s">
        <v>243</v>
      </c>
      <c r="AB825" s="6" t="s">
        <v>321</v>
      </c>
      <c r="AD825" s="6" t="s">
        <v>39</v>
      </c>
      <c r="AE825" s="6" t="s">
        <v>40</v>
      </c>
      <c r="AG825" s="6" t="s">
        <v>37</v>
      </c>
      <c r="AH825" s="7">
        <v>60</v>
      </c>
      <c r="AI825" s="6" t="s">
        <v>40</v>
      </c>
      <c r="AJ825" s="6" t="s">
        <v>238</v>
      </c>
      <c r="AL825" s="6" t="s">
        <v>41</v>
      </c>
    </row>
    <row r="826" spans="1:40" hidden="1" x14ac:dyDescent="0.25">
      <c r="A826" s="4">
        <v>45884</v>
      </c>
      <c r="B826" s="6" t="s">
        <v>237</v>
      </c>
      <c r="C826" s="6" t="str">
        <f>_xlfn.XLOOKUP(Table3[[#This Row],[station]],station_waterbody_county!A:A, station_waterbody_county!B:B)</f>
        <v>Careys Cove</v>
      </c>
      <c r="D826" s="3" t="str">
        <f>_xlfn.XLOOKUP(Table3[[#This Row],[station]],station_waterbody_county!A:A, station_waterbody_county!C:C)</f>
        <v>Yarmouth</v>
      </c>
      <c r="E826" s="6"/>
      <c r="F826" s="6" t="s">
        <v>34</v>
      </c>
      <c r="G826" s="12">
        <v>45869</v>
      </c>
      <c r="H826" s="5">
        <v>0.59652777777777777</v>
      </c>
      <c r="I826" s="4"/>
      <c r="J826" s="5"/>
      <c r="K826" s="10"/>
      <c r="O826" s="6" t="s">
        <v>1385</v>
      </c>
      <c r="P826" s="6" t="s">
        <v>1386</v>
      </c>
      <c r="S826" s="6" t="s">
        <v>239</v>
      </c>
      <c r="T826" s="11">
        <v>20495227</v>
      </c>
      <c r="U826" s="7">
        <v>10</v>
      </c>
      <c r="V826" s="6" t="s">
        <v>36</v>
      </c>
      <c r="W826" s="7">
        <v>20.3</v>
      </c>
      <c r="X826" s="6" t="s">
        <v>35</v>
      </c>
      <c r="Y826" s="7">
        <v>1.4</v>
      </c>
      <c r="Z826" s="7">
        <v>1</v>
      </c>
      <c r="AA826" s="6" t="s">
        <v>243</v>
      </c>
      <c r="AB826" s="6" t="s">
        <v>321</v>
      </c>
      <c r="AD826" s="6" t="s">
        <v>39</v>
      </c>
      <c r="AE826" s="6" t="s">
        <v>40</v>
      </c>
      <c r="AG826" s="6" t="s">
        <v>37</v>
      </c>
      <c r="AH826" s="7">
        <v>60</v>
      </c>
      <c r="AI826" s="6" t="s">
        <v>40</v>
      </c>
      <c r="AJ826" s="6" t="s">
        <v>238</v>
      </c>
      <c r="AL826" s="6" t="s">
        <v>41</v>
      </c>
    </row>
    <row r="827" spans="1:40" hidden="1" x14ac:dyDescent="0.25">
      <c r="A827" s="4">
        <v>45884</v>
      </c>
      <c r="B827" s="6" t="s">
        <v>237</v>
      </c>
      <c r="C827" s="6" t="str">
        <f>_xlfn.XLOOKUP(Table3[[#This Row],[station]],station_waterbody_county!A:A, station_waterbody_county!B:B)</f>
        <v>Careys Cove</v>
      </c>
      <c r="D827" s="3" t="str">
        <f>_xlfn.XLOOKUP(Table3[[#This Row],[station]],station_waterbody_county!A:A, station_waterbody_county!C:C)</f>
        <v>Yarmouth</v>
      </c>
      <c r="E827" s="6"/>
      <c r="F827" s="6" t="s">
        <v>34</v>
      </c>
      <c r="G827" s="12">
        <v>45869</v>
      </c>
      <c r="H827" s="5">
        <v>0.59652777777777777</v>
      </c>
      <c r="I827" s="4"/>
      <c r="J827" s="5"/>
      <c r="K827" s="10"/>
      <c r="O827" s="6" t="s">
        <v>1385</v>
      </c>
      <c r="P827" s="6" t="s">
        <v>1386</v>
      </c>
      <c r="S827" s="6" t="s">
        <v>42</v>
      </c>
      <c r="T827" s="11">
        <v>600008</v>
      </c>
      <c r="U827" s="7">
        <v>15</v>
      </c>
      <c r="V827" s="6" t="s">
        <v>36</v>
      </c>
      <c r="W827" s="7">
        <v>20.3</v>
      </c>
      <c r="X827" s="6" t="s">
        <v>35</v>
      </c>
      <c r="Y827" s="7">
        <v>1.4</v>
      </c>
      <c r="Z827" s="7">
        <v>1</v>
      </c>
      <c r="AA827" s="6" t="s">
        <v>243</v>
      </c>
      <c r="AB827" s="6" t="s">
        <v>321</v>
      </c>
      <c r="AD827" s="6" t="s">
        <v>39</v>
      </c>
      <c r="AE827" s="6" t="s">
        <v>40</v>
      </c>
      <c r="AG827" s="6" t="s">
        <v>37</v>
      </c>
      <c r="AH827" s="7">
        <v>60</v>
      </c>
      <c r="AI827" s="6" t="s">
        <v>40</v>
      </c>
      <c r="AJ827" s="6" t="s">
        <v>238</v>
      </c>
      <c r="AL827" s="6" t="s">
        <v>41</v>
      </c>
    </row>
    <row r="828" spans="1:40" hidden="1" x14ac:dyDescent="0.25">
      <c r="A828" s="4">
        <v>45884</v>
      </c>
      <c r="B828" s="6" t="s">
        <v>237</v>
      </c>
      <c r="C828" s="6" t="str">
        <f>_xlfn.XLOOKUP(Table3[[#This Row],[station]],station_waterbody_county!A:A, station_waterbody_county!B:B)</f>
        <v>Careys Cove</v>
      </c>
      <c r="D828" s="3" t="str">
        <f>_xlfn.XLOOKUP(Table3[[#This Row],[station]],station_waterbody_county!A:A, station_waterbody_county!C:C)</f>
        <v>Yarmouth</v>
      </c>
      <c r="E828" s="6"/>
      <c r="F828" s="6" t="s">
        <v>34</v>
      </c>
      <c r="G828" s="12">
        <v>45869</v>
      </c>
      <c r="H828" s="5">
        <v>0.59652777777777777</v>
      </c>
      <c r="I828" s="4"/>
      <c r="J828" s="5"/>
      <c r="K828" s="10"/>
      <c r="O828" s="6" t="s">
        <v>1385</v>
      </c>
      <c r="P828" s="6" t="s">
        <v>1386</v>
      </c>
      <c r="S828" s="6" t="s">
        <v>239</v>
      </c>
      <c r="T828" s="11">
        <v>22311492</v>
      </c>
      <c r="U828" s="7">
        <v>15</v>
      </c>
      <c r="V828" s="6" t="s">
        <v>36</v>
      </c>
      <c r="W828" s="7">
        <v>20.3</v>
      </c>
      <c r="X828" s="6" t="s">
        <v>35</v>
      </c>
      <c r="Y828" s="7">
        <v>1.4</v>
      </c>
      <c r="Z828" s="7">
        <v>1</v>
      </c>
      <c r="AA828" s="6" t="s">
        <v>243</v>
      </c>
      <c r="AB828" s="6" t="s">
        <v>321</v>
      </c>
      <c r="AD828" s="6" t="s">
        <v>39</v>
      </c>
      <c r="AE828" s="6" t="s">
        <v>40</v>
      </c>
      <c r="AG828" s="6" t="s">
        <v>37</v>
      </c>
      <c r="AH828" s="7">
        <v>60</v>
      </c>
      <c r="AI828" s="6" t="s">
        <v>40</v>
      </c>
      <c r="AJ828" s="6" t="s">
        <v>238</v>
      </c>
      <c r="AL828" s="6" t="s">
        <v>41</v>
      </c>
    </row>
    <row r="829" spans="1:40" hidden="1" x14ac:dyDescent="0.25">
      <c r="A829" s="4">
        <v>45931</v>
      </c>
      <c r="B829" s="6" t="s">
        <v>188</v>
      </c>
      <c r="C829" s="6" t="str">
        <f>_xlfn.XLOOKUP(Table3[[#This Row],[station]],station_waterbody_county!A:A, station_waterbody_county!B:B)</f>
        <v>Whitehead Harbour</v>
      </c>
      <c r="D829" s="3" t="str">
        <f>_xlfn.XLOOKUP(Table3[[#This Row],[station]],station_waterbody_county!A:A, station_waterbody_county!C:C)</f>
        <v>Guysborough</v>
      </c>
      <c r="E829" s="6"/>
      <c r="F829" s="6" t="s">
        <v>34</v>
      </c>
      <c r="G829" s="12">
        <v>45919</v>
      </c>
      <c r="H829" s="5">
        <v>0.47499999999999998</v>
      </c>
      <c r="I829" s="4"/>
      <c r="J829" s="5"/>
      <c r="K829" s="10"/>
      <c r="O829" s="6" t="s">
        <v>1425</v>
      </c>
      <c r="P829" s="6" t="s">
        <v>1426</v>
      </c>
      <c r="S829" s="6" t="s">
        <v>239</v>
      </c>
      <c r="T829" s="11">
        <v>22285922</v>
      </c>
      <c r="U829" s="7">
        <v>1</v>
      </c>
      <c r="V829" s="6" t="s">
        <v>246</v>
      </c>
      <c r="W829" s="7"/>
      <c r="X829" s="6" t="s">
        <v>241</v>
      </c>
      <c r="Y829" s="7"/>
      <c r="AA829" s="6"/>
      <c r="AE829" s="6"/>
      <c r="AH829" s="7"/>
      <c r="AI829" s="6" t="s">
        <v>40</v>
      </c>
      <c r="AJ829" s="6" t="s">
        <v>238</v>
      </c>
      <c r="AL829" s="6" t="s">
        <v>1424</v>
      </c>
      <c r="AN829" s="6" t="s">
        <v>1427</v>
      </c>
    </row>
    <row r="830" spans="1:40" hidden="1" x14ac:dyDescent="0.25">
      <c r="A830" s="4">
        <v>45931</v>
      </c>
      <c r="B830" s="6" t="s">
        <v>188</v>
      </c>
      <c r="C830" s="6" t="str">
        <f>_xlfn.XLOOKUP(Table3[[#This Row],[station]],station_waterbody_county!A:A, station_waterbody_county!B:B)</f>
        <v>Whitehead Harbour</v>
      </c>
      <c r="D830" s="3" t="str">
        <f>_xlfn.XLOOKUP(Table3[[#This Row],[station]],station_waterbody_county!A:A, station_waterbody_county!C:C)</f>
        <v>Guysborough</v>
      </c>
      <c r="E830" s="6"/>
      <c r="F830" s="6" t="s">
        <v>34</v>
      </c>
      <c r="G830" s="12">
        <v>45919</v>
      </c>
      <c r="H830" s="5">
        <v>0.47499999999999998</v>
      </c>
      <c r="I830" s="4"/>
      <c r="J830" s="5"/>
      <c r="K830" s="10"/>
      <c r="O830" s="6" t="s">
        <v>1425</v>
      </c>
      <c r="P830" s="6" t="s">
        <v>1426</v>
      </c>
      <c r="S830" s="6" t="s">
        <v>239</v>
      </c>
      <c r="T830" s="11">
        <v>22285934</v>
      </c>
      <c r="U830" s="7">
        <v>5</v>
      </c>
      <c r="V830" s="6" t="s">
        <v>246</v>
      </c>
      <c r="W830" s="7"/>
      <c r="X830" s="6" t="s">
        <v>241</v>
      </c>
      <c r="Y830" s="7"/>
      <c r="AA830" s="6"/>
      <c r="AE830" s="6"/>
      <c r="AH830" s="7"/>
      <c r="AI830" s="6" t="s">
        <v>40</v>
      </c>
      <c r="AJ830" s="6" t="s">
        <v>238</v>
      </c>
      <c r="AL830" s="6" t="s">
        <v>1424</v>
      </c>
      <c r="AN830" s="6" t="s">
        <v>1427</v>
      </c>
    </row>
    <row r="831" spans="1:40" hidden="1" x14ac:dyDescent="0.25">
      <c r="A831" s="4">
        <v>45931</v>
      </c>
      <c r="B831" s="6" t="s">
        <v>188</v>
      </c>
      <c r="C831" s="6" t="str">
        <f>_xlfn.XLOOKUP(Table3[[#This Row],[station]],station_waterbody_county!A:A, station_waterbody_county!B:B)</f>
        <v>Whitehead Harbour</v>
      </c>
      <c r="D831" s="3" t="str">
        <f>_xlfn.XLOOKUP(Table3[[#This Row],[station]],station_waterbody_county!A:A, station_waterbody_county!C:C)</f>
        <v>Guysborough</v>
      </c>
      <c r="E831" s="6"/>
      <c r="F831" s="6" t="s">
        <v>34</v>
      </c>
      <c r="G831" s="12">
        <v>45919</v>
      </c>
      <c r="H831" s="5">
        <v>0.47499999999999998</v>
      </c>
      <c r="I831" s="4"/>
      <c r="J831" s="5"/>
      <c r="K831" s="10"/>
      <c r="O831" s="6" t="s">
        <v>1425</v>
      </c>
      <c r="P831" s="6" t="s">
        <v>1426</v>
      </c>
      <c r="S831" s="6" t="s">
        <v>239</v>
      </c>
      <c r="T831" s="11">
        <v>21152409</v>
      </c>
      <c r="U831" s="7">
        <v>10</v>
      </c>
      <c r="V831" s="6" t="s">
        <v>246</v>
      </c>
      <c r="W831" s="7"/>
      <c r="X831" s="6" t="s">
        <v>241</v>
      </c>
      <c r="Y831" s="7"/>
      <c r="AA831" s="6"/>
      <c r="AE831" s="6"/>
      <c r="AH831" s="7"/>
      <c r="AI831" s="6" t="s">
        <v>40</v>
      </c>
      <c r="AJ831" s="6" t="s">
        <v>238</v>
      </c>
      <c r="AL831" s="6" t="s">
        <v>1424</v>
      </c>
      <c r="AN831" s="6" t="s">
        <v>1427</v>
      </c>
    </row>
    <row r="832" spans="1:40" hidden="1" x14ac:dyDescent="0.25">
      <c r="A832" s="4">
        <v>45931</v>
      </c>
      <c r="B832" s="6" t="s">
        <v>101</v>
      </c>
      <c r="C832" s="6" t="str">
        <f>_xlfn.XLOOKUP(Table3[[#This Row],[station]],station_waterbody_county!A:A, station_waterbody_county!B:B)</f>
        <v>Wine Harbour</v>
      </c>
      <c r="D832" s="3" t="str">
        <f>_xlfn.XLOOKUP(Table3[[#This Row],[station]],station_waterbody_county!A:A, station_waterbody_county!C:C)</f>
        <v>Guysborough</v>
      </c>
      <c r="E832" s="6"/>
      <c r="F832" s="6" t="s">
        <v>34</v>
      </c>
      <c r="G832" s="12">
        <v>45919</v>
      </c>
      <c r="H832" s="5">
        <v>0.63888888888888884</v>
      </c>
      <c r="I832" s="4"/>
      <c r="J832" s="5"/>
      <c r="K832" s="10"/>
      <c r="O832" s="6" t="s">
        <v>1429</v>
      </c>
      <c r="P832" s="6" t="s">
        <v>1430</v>
      </c>
      <c r="S832" s="6" t="s">
        <v>239</v>
      </c>
      <c r="T832" s="11">
        <v>21927324</v>
      </c>
      <c r="U832" s="7">
        <v>1</v>
      </c>
      <c r="V832" s="6" t="s">
        <v>254</v>
      </c>
      <c r="W832" s="7"/>
      <c r="X832" s="6" t="s">
        <v>241</v>
      </c>
      <c r="Y832" s="7"/>
      <c r="AA832" s="6"/>
      <c r="AB832" s="6" t="s">
        <v>321</v>
      </c>
      <c r="AE832" s="6" t="s">
        <v>40</v>
      </c>
      <c r="AG832" s="6" t="s">
        <v>37</v>
      </c>
      <c r="AH832" s="7">
        <v>60</v>
      </c>
      <c r="AI832" s="6" t="s">
        <v>40</v>
      </c>
      <c r="AJ832" s="6" t="s">
        <v>238</v>
      </c>
      <c r="AL832" s="6" t="s">
        <v>1424</v>
      </c>
    </row>
    <row r="833" spans="1:40" hidden="1" x14ac:dyDescent="0.25">
      <c r="A833" s="4">
        <v>45931</v>
      </c>
      <c r="B833" s="6" t="s">
        <v>101</v>
      </c>
      <c r="C833" s="6" t="str">
        <f>_xlfn.XLOOKUP(Table3[[#This Row],[station]],station_waterbody_county!A:A, station_waterbody_county!B:B)</f>
        <v>Wine Harbour</v>
      </c>
      <c r="D833" s="3" t="str">
        <f>_xlfn.XLOOKUP(Table3[[#This Row],[station]],station_waterbody_county!A:A, station_waterbody_county!C:C)</f>
        <v>Guysborough</v>
      </c>
      <c r="E833" s="6"/>
      <c r="F833" s="6" t="s">
        <v>34</v>
      </c>
      <c r="G833" s="12">
        <v>45919</v>
      </c>
      <c r="H833" s="5">
        <v>0.63888888888888884</v>
      </c>
      <c r="I833" s="4"/>
      <c r="J833" s="5"/>
      <c r="K833" s="10"/>
      <c r="O833" s="6" t="s">
        <v>1429</v>
      </c>
      <c r="P833" s="6" t="s">
        <v>1430</v>
      </c>
      <c r="S833" s="6" t="s">
        <v>239</v>
      </c>
      <c r="T833" s="11">
        <v>22048593</v>
      </c>
      <c r="U833" s="7">
        <v>7</v>
      </c>
      <c r="V833" s="6" t="s">
        <v>254</v>
      </c>
      <c r="W833" s="7"/>
      <c r="X833" s="6" t="s">
        <v>241</v>
      </c>
      <c r="Y833" s="7"/>
      <c r="AA833" s="6"/>
      <c r="AB833" s="6" t="s">
        <v>321</v>
      </c>
      <c r="AE833" s="6" t="s">
        <v>40</v>
      </c>
      <c r="AG833" s="6" t="s">
        <v>37</v>
      </c>
      <c r="AH833" s="7">
        <v>60</v>
      </c>
      <c r="AI833" s="6" t="s">
        <v>40</v>
      </c>
      <c r="AJ833" s="6" t="s">
        <v>238</v>
      </c>
      <c r="AL833" s="6" t="s">
        <v>1424</v>
      </c>
    </row>
    <row r="834" spans="1:40" hidden="1" x14ac:dyDescent="0.25">
      <c r="A834" s="4">
        <v>45931</v>
      </c>
      <c r="B834" s="6" t="s">
        <v>141</v>
      </c>
      <c r="C834" s="6" t="str">
        <f>_xlfn.XLOOKUP(Table3[[#This Row],[station]],station_waterbody_county!A:A, station_waterbody_county!B:B)</f>
        <v>Whitehead Harbour</v>
      </c>
      <c r="D834" s="3" t="str">
        <f>_xlfn.XLOOKUP(Table3[[#This Row],[station]],station_waterbody_county!A:A, station_waterbody_county!C:C)</f>
        <v>Guysborough</v>
      </c>
      <c r="E834" s="6"/>
      <c r="F834" s="6" t="s">
        <v>34</v>
      </c>
      <c r="G834" s="12">
        <v>45919</v>
      </c>
      <c r="H834" s="5">
        <v>0.44305555555555554</v>
      </c>
      <c r="I834" s="4"/>
      <c r="J834" s="5"/>
      <c r="K834" s="10"/>
      <c r="O834" s="6" t="s">
        <v>1433</v>
      </c>
      <c r="P834" s="6" t="s">
        <v>1434</v>
      </c>
      <c r="S834" s="6" t="s">
        <v>253</v>
      </c>
      <c r="T834" s="11">
        <v>680323</v>
      </c>
      <c r="U834" s="7">
        <v>2</v>
      </c>
      <c r="V834" s="6" t="s">
        <v>36</v>
      </c>
      <c r="W834" s="7"/>
      <c r="X834" s="6" t="s">
        <v>35</v>
      </c>
      <c r="Y834" s="7"/>
      <c r="Z834" s="7">
        <v>1.5</v>
      </c>
      <c r="AA834" s="6" t="s">
        <v>251</v>
      </c>
      <c r="AB834" s="6" t="s">
        <v>321</v>
      </c>
      <c r="AD834" s="6" t="s">
        <v>39</v>
      </c>
      <c r="AE834" s="6" t="s">
        <v>40</v>
      </c>
      <c r="AG834" s="6" t="s">
        <v>37</v>
      </c>
      <c r="AH834" s="7">
        <v>60</v>
      </c>
      <c r="AI834" s="6" t="s">
        <v>40</v>
      </c>
      <c r="AJ834" s="6" t="s">
        <v>238</v>
      </c>
      <c r="AL834" s="6" t="s">
        <v>1424</v>
      </c>
    </row>
    <row r="835" spans="1:40" hidden="1" x14ac:dyDescent="0.25">
      <c r="A835" s="4">
        <v>45931</v>
      </c>
      <c r="B835" s="6" t="s">
        <v>141</v>
      </c>
      <c r="C835" s="6" t="str">
        <f>_xlfn.XLOOKUP(Table3[[#This Row],[station]],station_waterbody_county!A:A, station_waterbody_county!B:B)</f>
        <v>Whitehead Harbour</v>
      </c>
      <c r="D835" s="3" t="str">
        <f>_xlfn.XLOOKUP(Table3[[#This Row],[station]],station_waterbody_county!A:A, station_waterbody_county!C:C)</f>
        <v>Guysborough</v>
      </c>
      <c r="E835" s="6"/>
      <c r="F835" s="6" t="s">
        <v>34</v>
      </c>
      <c r="G835" s="12">
        <v>45919</v>
      </c>
      <c r="H835" s="5">
        <v>0.44305555555555554</v>
      </c>
      <c r="I835" s="4"/>
      <c r="J835" s="5"/>
      <c r="K835" s="10"/>
      <c r="O835" s="6" t="s">
        <v>1433</v>
      </c>
      <c r="P835" s="6" t="s">
        <v>1434</v>
      </c>
      <c r="S835" s="6" t="s">
        <v>240</v>
      </c>
      <c r="T835" s="11">
        <v>671187</v>
      </c>
      <c r="U835" s="7">
        <v>5</v>
      </c>
      <c r="V835" s="6" t="s">
        <v>36</v>
      </c>
      <c r="W835" s="7"/>
      <c r="X835" s="6" t="s">
        <v>35</v>
      </c>
      <c r="Y835" s="7"/>
      <c r="Z835" s="7">
        <v>1.5</v>
      </c>
      <c r="AA835" s="6" t="s">
        <v>251</v>
      </c>
      <c r="AB835" s="6" t="s">
        <v>321</v>
      </c>
      <c r="AD835" s="6" t="s">
        <v>39</v>
      </c>
      <c r="AE835" s="6" t="s">
        <v>40</v>
      </c>
      <c r="AG835" s="6" t="s">
        <v>37</v>
      </c>
      <c r="AH835" s="7">
        <v>60</v>
      </c>
      <c r="AI835" s="6" t="s">
        <v>40</v>
      </c>
      <c r="AJ835" s="6" t="s">
        <v>238</v>
      </c>
      <c r="AL835" s="6" t="s">
        <v>1424</v>
      </c>
    </row>
    <row r="836" spans="1:40" hidden="1" x14ac:dyDescent="0.25">
      <c r="A836" s="4">
        <v>45931</v>
      </c>
      <c r="B836" s="6" t="s">
        <v>141</v>
      </c>
      <c r="C836" s="6" t="str">
        <f>_xlfn.XLOOKUP(Table3[[#This Row],[station]],station_waterbody_county!A:A, station_waterbody_county!B:B)</f>
        <v>Whitehead Harbour</v>
      </c>
      <c r="D836" s="3" t="str">
        <f>_xlfn.XLOOKUP(Table3[[#This Row],[station]],station_waterbody_county!A:A, station_waterbody_county!C:C)</f>
        <v>Guysborough</v>
      </c>
      <c r="E836" s="6"/>
      <c r="F836" s="6" t="s">
        <v>34</v>
      </c>
      <c r="G836" s="12">
        <v>45919</v>
      </c>
      <c r="H836" s="5">
        <v>0.44305555555555554</v>
      </c>
      <c r="I836" s="4"/>
      <c r="J836" s="5"/>
      <c r="K836" s="10"/>
      <c r="O836" s="6" t="s">
        <v>1433</v>
      </c>
      <c r="P836" s="6" t="s">
        <v>1434</v>
      </c>
      <c r="S836" s="6" t="s">
        <v>239</v>
      </c>
      <c r="T836" s="11">
        <v>20820379</v>
      </c>
      <c r="U836" s="7">
        <v>10</v>
      </c>
      <c r="V836" s="6" t="s">
        <v>36</v>
      </c>
      <c r="W836" s="7"/>
      <c r="X836" s="6" t="s">
        <v>35</v>
      </c>
      <c r="Y836" s="7"/>
      <c r="Z836" s="7">
        <v>1.5</v>
      </c>
      <c r="AA836" s="6" t="s">
        <v>251</v>
      </c>
      <c r="AB836" s="6" t="s">
        <v>321</v>
      </c>
      <c r="AD836" s="6" t="s">
        <v>39</v>
      </c>
      <c r="AE836" s="6" t="s">
        <v>40</v>
      </c>
      <c r="AG836" s="6" t="s">
        <v>37</v>
      </c>
      <c r="AH836" s="7">
        <v>60</v>
      </c>
      <c r="AI836" s="6" t="s">
        <v>40</v>
      </c>
      <c r="AJ836" s="6" t="s">
        <v>238</v>
      </c>
      <c r="AL836" s="6" t="s">
        <v>1424</v>
      </c>
    </row>
    <row r="837" spans="1:40" hidden="1" x14ac:dyDescent="0.25">
      <c r="A837" s="4">
        <v>45931</v>
      </c>
      <c r="B837" s="6" t="s">
        <v>141</v>
      </c>
      <c r="C837" s="6" t="str">
        <f>_xlfn.XLOOKUP(Table3[[#This Row],[station]],station_waterbody_county!A:A, station_waterbody_county!B:B)</f>
        <v>Whitehead Harbour</v>
      </c>
      <c r="D837" s="3" t="str">
        <f>_xlfn.XLOOKUP(Table3[[#This Row],[station]],station_waterbody_county!A:A, station_waterbody_county!C:C)</f>
        <v>Guysborough</v>
      </c>
      <c r="E837" s="6"/>
      <c r="F837" s="6" t="s">
        <v>34</v>
      </c>
      <c r="G837" s="12">
        <v>45919</v>
      </c>
      <c r="H837" s="5">
        <v>0.44305555555555554</v>
      </c>
      <c r="I837" s="4"/>
      <c r="J837" s="5"/>
      <c r="K837" s="10"/>
      <c r="O837" s="6" t="s">
        <v>1433</v>
      </c>
      <c r="P837" s="6" t="s">
        <v>1434</v>
      </c>
      <c r="S837" s="6" t="s">
        <v>239</v>
      </c>
      <c r="T837" s="11">
        <v>21152399</v>
      </c>
      <c r="U837" s="7">
        <v>20</v>
      </c>
      <c r="V837" s="6" t="s">
        <v>36</v>
      </c>
      <c r="W837" s="7"/>
      <c r="X837" s="6" t="s">
        <v>35</v>
      </c>
      <c r="Y837" s="7"/>
      <c r="Z837" s="7">
        <v>1.5</v>
      </c>
      <c r="AA837" s="6" t="s">
        <v>251</v>
      </c>
      <c r="AB837" s="6" t="s">
        <v>321</v>
      </c>
      <c r="AD837" s="6" t="s">
        <v>39</v>
      </c>
      <c r="AE837" s="6" t="s">
        <v>40</v>
      </c>
      <c r="AG837" s="6" t="s">
        <v>37</v>
      </c>
      <c r="AH837" s="7">
        <v>60</v>
      </c>
      <c r="AI837" s="6" t="s">
        <v>40</v>
      </c>
      <c r="AJ837" s="6" t="s">
        <v>238</v>
      </c>
      <c r="AL837" s="6" t="s">
        <v>1424</v>
      </c>
    </row>
    <row r="838" spans="1:40" hidden="1" x14ac:dyDescent="0.25">
      <c r="A838" s="4">
        <v>45931</v>
      </c>
      <c r="B838" s="6" t="s">
        <v>141</v>
      </c>
      <c r="C838" s="6" t="str">
        <f>_xlfn.XLOOKUP(Table3[[#This Row],[station]],station_waterbody_county!A:A, station_waterbody_county!B:B)</f>
        <v>Whitehead Harbour</v>
      </c>
      <c r="D838" s="3" t="str">
        <f>_xlfn.XLOOKUP(Table3[[#This Row],[station]],station_waterbody_county!A:A, station_waterbody_county!C:C)</f>
        <v>Guysborough</v>
      </c>
      <c r="E838" s="6"/>
      <c r="F838" s="6" t="s">
        <v>34</v>
      </c>
      <c r="G838" s="12">
        <v>45919</v>
      </c>
      <c r="H838" s="5">
        <v>0.44305555555555554</v>
      </c>
      <c r="I838" s="4"/>
      <c r="J838" s="5"/>
      <c r="K838" s="10"/>
      <c r="O838" s="6" t="s">
        <v>1433</v>
      </c>
      <c r="P838" s="6" t="s">
        <v>1434</v>
      </c>
      <c r="S838" s="6" t="s">
        <v>239</v>
      </c>
      <c r="T838" s="11">
        <v>22285932</v>
      </c>
      <c r="U838" s="7">
        <v>30</v>
      </c>
      <c r="V838" s="6" t="s">
        <v>36</v>
      </c>
      <c r="W838" s="7"/>
      <c r="X838" s="6" t="s">
        <v>35</v>
      </c>
      <c r="Y838" s="7"/>
      <c r="Z838" s="7">
        <v>1.5</v>
      </c>
      <c r="AA838" s="6" t="s">
        <v>251</v>
      </c>
      <c r="AB838" s="6" t="s">
        <v>321</v>
      </c>
      <c r="AD838" s="6" t="s">
        <v>39</v>
      </c>
      <c r="AE838" s="6" t="s">
        <v>40</v>
      </c>
      <c r="AG838" s="6" t="s">
        <v>37</v>
      </c>
      <c r="AH838" s="7">
        <v>60</v>
      </c>
      <c r="AI838" s="6" t="s">
        <v>40</v>
      </c>
      <c r="AJ838" s="6" t="s">
        <v>238</v>
      </c>
      <c r="AL838" s="6" t="s">
        <v>1424</v>
      </c>
    </row>
    <row r="839" spans="1:40" hidden="1" x14ac:dyDescent="0.25">
      <c r="A839" s="4">
        <v>45931</v>
      </c>
      <c r="B839" s="6" t="s">
        <v>141</v>
      </c>
      <c r="C839" s="6" t="str">
        <f>_xlfn.XLOOKUP(Table3[[#This Row],[station]],station_waterbody_county!A:A, station_waterbody_county!B:B)</f>
        <v>Whitehead Harbour</v>
      </c>
      <c r="D839" s="3" t="str">
        <f>_xlfn.XLOOKUP(Table3[[#This Row],[station]],station_waterbody_county!A:A, station_waterbody_county!C:C)</f>
        <v>Guysborough</v>
      </c>
      <c r="E839" s="6"/>
      <c r="F839" s="6" t="s">
        <v>34</v>
      </c>
      <c r="G839" s="12">
        <v>45919</v>
      </c>
      <c r="H839" s="5">
        <v>0.44305555555555554</v>
      </c>
      <c r="I839" s="4"/>
      <c r="J839" s="5"/>
      <c r="K839" s="10"/>
      <c r="O839" s="6" t="s">
        <v>1433</v>
      </c>
      <c r="P839" s="6" t="s">
        <v>1434</v>
      </c>
      <c r="S839" s="6" t="s">
        <v>239</v>
      </c>
      <c r="T839" s="11">
        <v>22285898</v>
      </c>
      <c r="U839" s="7">
        <v>40</v>
      </c>
      <c r="V839" s="6" t="s">
        <v>36</v>
      </c>
      <c r="W839" s="7"/>
      <c r="X839" s="6" t="s">
        <v>35</v>
      </c>
      <c r="Y839" s="7"/>
      <c r="Z839" s="7">
        <v>1.5</v>
      </c>
      <c r="AA839" s="6" t="s">
        <v>251</v>
      </c>
      <c r="AB839" s="6" t="s">
        <v>321</v>
      </c>
      <c r="AD839" s="6" t="s">
        <v>39</v>
      </c>
      <c r="AE839" s="6" t="s">
        <v>40</v>
      </c>
      <c r="AG839" s="6" t="s">
        <v>37</v>
      </c>
      <c r="AH839" s="7">
        <v>60</v>
      </c>
      <c r="AI839" s="6" t="s">
        <v>40</v>
      </c>
      <c r="AJ839" s="6" t="s">
        <v>238</v>
      </c>
      <c r="AL839" s="6" t="s">
        <v>1424</v>
      </c>
    </row>
    <row r="840" spans="1:40" hidden="1" x14ac:dyDescent="0.25">
      <c r="A840" s="4">
        <v>45931</v>
      </c>
      <c r="B840" s="6" t="s">
        <v>141</v>
      </c>
      <c r="C840" s="6" t="str">
        <f>_xlfn.XLOOKUP(Table3[[#This Row],[station]],station_waterbody_county!A:A, station_waterbody_county!B:B)</f>
        <v>Whitehead Harbour</v>
      </c>
      <c r="D840" s="3" t="str">
        <f>_xlfn.XLOOKUP(Table3[[#This Row],[station]],station_waterbody_county!A:A, station_waterbody_county!C:C)</f>
        <v>Guysborough</v>
      </c>
      <c r="E840" s="6"/>
      <c r="F840" s="6" t="s">
        <v>34</v>
      </c>
      <c r="G840" s="12">
        <v>45919</v>
      </c>
      <c r="H840" s="5">
        <v>0.44305555555555554</v>
      </c>
      <c r="I840" s="4"/>
      <c r="J840" s="5"/>
      <c r="K840" s="10"/>
      <c r="O840" s="6" t="s">
        <v>1433</v>
      </c>
      <c r="P840" s="6" t="s">
        <v>1434</v>
      </c>
      <c r="S840" s="6" t="s">
        <v>42</v>
      </c>
      <c r="T840" s="11">
        <v>548584</v>
      </c>
      <c r="U840" s="7">
        <v>44</v>
      </c>
      <c r="V840" s="6" t="s">
        <v>36</v>
      </c>
      <c r="W840" s="7"/>
      <c r="X840" s="6" t="s">
        <v>35</v>
      </c>
      <c r="Y840" s="7"/>
      <c r="Z840" s="7">
        <v>1.5</v>
      </c>
      <c r="AA840" s="6" t="s">
        <v>251</v>
      </c>
      <c r="AB840" s="6" t="s">
        <v>321</v>
      </c>
      <c r="AD840" s="6" t="s">
        <v>39</v>
      </c>
      <c r="AE840" s="6" t="s">
        <v>40</v>
      </c>
      <c r="AG840" s="6" t="s">
        <v>37</v>
      </c>
      <c r="AH840" s="7">
        <v>60</v>
      </c>
      <c r="AI840" s="6" t="s">
        <v>40</v>
      </c>
      <c r="AJ840" s="6" t="s">
        <v>238</v>
      </c>
      <c r="AL840" s="6" t="s">
        <v>1424</v>
      </c>
    </row>
    <row r="841" spans="1:40" hidden="1" x14ac:dyDescent="0.25">
      <c r="A841" s="4">
        <v>45931</v>
      </c>
      <c r="B841" s="6" t="s">
        <v>141</v>
      </c>
      <c r="C841" s="6" t="str">
        <f>_xlfn.XLOOKUP(Table3[[#This Row],[station]],station_waterbody_county!A:A, station_waterbody_county!B:B)</f>
        <v>Whitehead Harbour</v>
      </c>
      <c r="D841" s="3" t="str">
        <f>_xlfn.XLOOKUP(Table3[[#This Row],[station]],station_waterbody_county!A:A, station_waterbody_county!C:C)</f>
        <v>Guysborough</v>
      </c>
      <c r="E841" s="6"/>
      <c r="F841" s="6" t="s">
        <v>34</v>
      </c>
      <c r="G841" s="12">
        <v>45919</v>
      </c>
      <c r="H841" s="5">
        <v>0.44305555555555554</v>
      </c>
      <c r="I841" s="4"/>
      <c r="J841" s="5"/>
      <c r="K841" s="10"/>
      <c r="O841" s="6" t="s">
        <v>1433</v>
      </c>
      <c r="P841" s="6" t="s">
        <v>1434</v>
      </c>
      <c r="S841" s="6" t="s">
        <v>239</v>
      </c>
      <c r="T841" s="11">
        <v>22310003</v>
      </c>
      <c r="U841" s="7">
        <v>44</v>
      </c>
      <c r="V841" s="6" t="s">
        <v>36</v>
      </c>
      <c r="W841" s="7"/>
      <c r="X841" s="6" t="s">
        <v>35</v>
      </c>
      <c r="Y841" s="7"/>
      <c r="Z841" s="7">
        <v>1.5</v>
      </c>
      <c r="AA841" s="6" t="s">
        <v>251</v>
      </c>
      <c r="AB841" s="6" t="s">
        <v>321</v>
      </c>
      <c r="AD841" s="6" t="s">
        <v>39</v>
      </c>
      <c r="AE841" s="6" t="s">
        <v>40</v>
      </c>
      <c r="AG841" s="6" t="s">
        <v>37</v>
      </c>
      <c r="AH841" s="7">
        <v>60</v>
      </c>
      <c r="AI841" s="6" t="s">
        <v>40</v>
      </c>
      <c r="AJ841" s="6" t="s">
        <v>238</v>
      </c>
      <c r="AL841" s="6" t="s">
        <v>1424</v>
      </c>
    </row>
    <row r="842" spans="1:40" hidden="1" x14ac:dyDescent="0.25">
      <c r="A842" s="4">
        <v>45931</v>
      </c>
      <c r="B842" s="6" t="s">
        <v>221</v>
      </c>
      <c r="C842" s="6" t="str">
        <f>_xlfn.XLOOKUP(Table3[[#This Row],[station]],station_waterbody_county!A:A, station_waterbody_county!B:B)</f>
        <v>Whitehead Harbour</v>
      </c>
      <c r="D842" s="3" t="str">
        <f>_xlfn.XLOOKUP(Table3[[#This Row],[station]],station_waterbody_county!A:A, station_waterbody_county!C:C)</f>
        <v>Guysborough</v>
      </c>
      <c r="E842" s="6"/>
      <c r="F842" s="6" t="s">
        <v>34</v>
      </c>
      <c r="G842" s="12">
        <v>45919</v>
      </c>
      <c r="H842" s="5">
        <v>0.5229166666666667</v>
      </c>
      <c r="I842" s="4"/>
      <c r="J842" s="5"/>
      <c r="K842" s="10"/>
      <c r="O842" s="6" t="s">
        <v>562</v>
      </c>
      <c r="P842" s="6" t="s">
        <v>563</v>
      </c>
      <c r="S842" s="6" t="s">
        <v>239</v>
      </c>
      <c r="T842" s="11">
        <v>21465797</v>
      </c>
      <c r="U842" s="7">
        <v>2</v>
      </c>
      <c r="V842" s="6" t="s">
        <v>246</v>
      </c>
      <c r="W842" s="7"/>
      <c r="X842" s="6" t="s">
        <v>241</v>
      </c>
      <c r="Y842" s="7"/>
      <c r="AA842" s="6"/>
      <c r="AE842" s="6" t="s">
        <v>40</v>
      </c>
      <c r="AH842" s="7"/>
      <c r="AI842" s="6" t="s">
        <v>40</v>
      </c>
      <c r="AJ842" s="6" t="s">
        <v>238</v>
      </c>
      <c r="AL842" s="6" t="s">
        <v>1424</v>
      </c>
      <c r="AN842" s="6" t="s">
        <v>1435</v>
      </c>
    </row>
    <row r="843" spans="1:40" hidden="1" x14ac:dyDescent="0.25">
      <c r="A843" s="4">
        <v>45933</v>
      </c>
      <c r="B843" s="6" t="s">
        <v>148</v>
      </c>
      <c r="C843" s="6" t="str">
        <f>_xlfn.XLOOKUP(Table3[[#This Row],[station]],station_waterbody_county!A:A, station_waterbody_county!B:B)</f>
        <v>Whitehead Harbour</v>
      </c>
      <c r="D843" s="3" t="s">
        <v>759</v>
      </c>
      <c r="E843" s="6"/>
      <c r="F843" s="6" t="s">
        <v>34</v>
      </c>
      <c r="G843" s="12">
        <v>45919</v>
      </c>
      <c r="H843" s="5">
        <v>0.52916666666666667</v>
      </c>
      <c r="I843" s="4"/>
      <c r="J843" s="5"/>
      <c r="K843" s="10"/>
      <c r="O843" s="6" t="s">
        <v>1436</v>
      </c>
      <c r="P843" s="6" t="s">
        <v>1437</v>
      </c>
      <c r="S843" s="6" t="s">
        <v>239</v>
      </c>
      <c r="T843" s="11">
        <v>21981721</v>
      </c>
      <c r="U843" s="7">
        <v>1</v>
      </c>
      <c r="V843" s="6" t="s">
        <v>254</v>
      </c>
      <c r="W843" s="7"/>
      <c r="X843" s="6" t="s">
        <v>241</v>
      </c>
      <c r="Y843" s="7"/>
      <c r="AA843" s="6"/>
      <c r="AB843" s="6" t="s">
        <v>321</v>
      </c>
      <c r="AC843" s="6" t="s">
        <v>321</v>
      </c>
      <c r="AE843" s="6" t="s">
        <v>40</v>
      </c>
      <c r="AG843" s="6" t="s">
        <v>37</v>
      </c>
      <c r="AH843" s="7">
        <v>60</v>
      </c>
      <c r="AI843" s="6" t="s">
        <v>40</v>
      </c>
      <c r="AJ843" s="6" t="s">
        <v>238</v>
      </c>
      <c r="AL843" s="6" t="s">
        <v>1424</v>
      </c>
      <c r="AN843" s="6" t="s">
        <v>1438</v>
      </c>
    </row>
    <row r="844" spans="1:40" hidden="1" x14ac:dyDescent="0.25">
      <c r="A844" s="4">
        <v>45933</v>
      </c>
      <c r="B844" s="6" t="s">
        <v>236</v>
      </c>
      <c r="C844" s="6" t="str">
        <f>_xlfn.XLOOKUP(Table3[[#This Row],[station]],station_waterbody_county!A:A, station_waterbody_county!B:B)</f>
        <v>Whitehead Harbour</v>
      </c>
      <c r="D844" s="3" t="str">
        <f>_xlfn.XLOOKUP(Table3[[#This Row],[station]],station_waterbody_county!A:A, station_waterbody_county!C:C)</f>
        <v>Guysborough</v>
      </c>
      <c r="E844" s="6"/>
      <c r="F844" s="6" t="s">
        <v>34</v>
      </c>
      <c r="G844" s="12">
        <v>45919</v>
      </c>
      <c r="H844" s="5">
        <v>0.53333333333333333</v>
      </c>
      <c r="I844" s="4"/>
      <c r="J844" s="5"/>
      <c r="K844" s="10"/>
      <c r="O844" s="6" t="s">
        <v>555</v>
      </c>
      <c r="P844" s="6" t="s">
        <v>556</v>
      </c>
      <c r="R844" s="6" t="s">
        <v>1439</v>
      </c>
      <c r="S844" s="6" t="s">
        <v>239</v>
      </c>
      <c r="T844" s="11">
        <v>22285920</v>
      </c>
      <c r="U844" s="7">
        <v>1</v>
      </c>
      <c r="V844" s="6" t="s">
        <v>246</v>
      </c>
      <c r="W844" s="7"/>
      <c r="X844" s="6" t="s">
        <v>241</v>
      </c>
      <c r="Y844" s="7"/>
      <c r="AA844" s="6"/>
      <c r="AE844" s="6" t="s">
        <v>40</v>
      </c>
      <c r="AH844" s="7"/>
      <c r="AI844" s="6" t="s">
        <v>40</v>
      </c>
      <c r="AJ844" s="6" t="s">
        <v>238</v>
      </c>
      <c r="AL844" s="6" t="s">
        <v>1424</v>
      </c>
      <c r="AN844" s="6" t="s">
        <v>267</v>
      </c>
    </row>
    <row r="845" spans="1:40" hidden="1" x14ac:dyDescent="0.25">
      <c r="A845" s="4">
        <v>45933</v>
      </c>
      <c r="B845" s="6" t="s">
        <v>235</v>
      </c>
      <c r="C845" s="6" t="str">
        <f>_xlfn.XLOOKUP(Table3[[#This Row],[station]],station_waterbody_county!A:A, station_waterbody_county!B:B)</f>
        <v>Whitehead Harbour</v>
      </c>
      <c r="D845" s="3" t="str">
        <f>_xlfn.XLOOKUP(Table3[[#This Row],[station]],station_waterbody_county!A:A, station_waterbody_county!C:C)</f>
        <v>Guysborough</v>
      </c>
      <c r="E845" s="6"/>
      <c r="F845" s="6" t="s">
        <v>34</v>
      </c>
      <c r="G845" s="12">
        <v>45919</v>
      </c>
      <c r="H845" s="5">
        <v>0.49930555555555556</v>
      </c>
      <c r="I845" s="4"/>
      <c r="J845" s="5"/>
      <c r="K845" s="10"/>
      <c r="O845" s="6" t="s">
        <v>1440</v>
      </c>
      <c r="P845" s="6" t="s">
        <v>1441</v>
      </c>
      <c r="S845" s="6" t="s">
        <v>239</v>
      </c>
      <c r="T845" s="11">
        <v>22285897</v>
      </c>
      <c r="U845" s="7">
        <v>1</v>
      </c>
      <c r="V845" s="6" t="s">
        <v>246</v>
      </c>
      <c r="W845" s="7"/>
      <c r="X845" s="6" t="s">
        <v>241</v>
      </c>
      <c r="Y845" s="7"/>
      <c r="AA845" s="6"/>
      <c r="AE845" s="6" t="s">
        <v>40</v>
      </c>
      <c r="AH845" s="7"/>
      <c r="AI845" s="6" t="s">
        <v>40</v>
      </c>
      <c r="AJ845" s="6" t="s">
        <v>238</v>
      </c>
      <c r="AL845" s="6" t="s">
        <v>1424</v>
      </c>
      <c r="AN845" s="6" t="s">
        <v>1443</v>
      </c>
    </row>
    <row r="846" spans="1:40" hidden="1" x14ac:dyDescent="0.25">
      <c r="A846" s="4">
        <v>45944</v>
      </c>
      <c r="B846" s="6" t="s">
        <v>223</v>
      </c>
      <c r="C846" s="6" t="str">
        <f>_xlfn.XLOOKUP(Table3[[#This Row],[station]],station_waterbody_county!A:A, station_waterbody_county!B:B)</f>
        <v>Whitehead Harbour</v>
      </c>
      <c r="D846" s="3" t="str">
        <f>_xlfn.XLOOKUP(Table3[[#This Row],[station]],station_waterbody_county!A:A, station_waterbody_county!C:C)</f>
        <v>Guysborough</v>
      </c>
      <c r="E846" s="6"/>
      <c r="F846" s="6" t="s">
        <v>34</v>
      </c>
      <c r="G846" s="12">
        <v>45919</v>
      </c>
      <c r="H846" s="5">
        <v>0.49375000000000002</v>
      </c>
      <c r="I846" s="4"/>
      <c r="J846" s="5"/>
      <c r="K846" s="10"/>
      <c r="O846" s="6" t="s">
        <v>1448</v>
      </c>
      <c r="P846" s="6" t="s">
        <v>1449</v>
      </c>
      <c r="S846" s="6" t="s">
        <v>239</v>
      </c>
      <c r="T846" s="11">
        <v>22285930</v>
      </c>
      <c r="U846" s="7">
        <v>1</v>
      </c>
      <c r="V846" s="6" t="s">
        <v>246</v>
      </c>
      <c r="W846" s="7"/>
      <c r="X846" s="6" t="s">
        <v>241</v>
      </c>
      <c r="Y846" s="7"/>
      <c r="AA846" s="6"/>
      <c r="AE846" s="6" t="s">
        <v>40</v>
      </c>
      <c r="AH846" s="7"/>
      <c r="AI846" s="6" t="s">
        <v>40</v>
      </c>
      <c r="AJ846" s="6" t="s">
        <v>238</v>
      </c>
      <c r="AL846" s="6" t="s">
        <v>1424</v>
      </c>
      <c r="AN846" s="6" t="s">
        <v>1444</v>
      </c>
    </row>
    <row r="847" spans="1:40" hidden="1" x14ac:dyDescent="0.25">
      <c r="A847" s="4">
        <v>45944</v>
      </c>
      <c r="B847" s="6" t="s">
        <v>119</v>
      </c>
      <c r="C847" s="6" t="str">
        <f>_xlfn.XLOOKUP(Table3[[#This Row],[station]],station_waterbody_county!A:A, station_waterbody_county!B:B)</f>
        <v>Whitehead Harbour</v>
      </c>
      <c r="D847" s="3" t="str">
        <f>_xlfn.XLOOKUP(Table3[[#This Row],[station]],station_waterbody_county!A:A, station_waterbody_county!C:C)</f>
        <v>Guysborough</v>
      </c>
      <c r="E847" s="6"/>
      <c r="F847" s="6" t="s">
        <v>34</v>
      </c>
      <c r="G847" s="12">
        <v>45919</v>
      </c>
      <c r="H847" s="5">
        <v>0.48680555555555555</v>
      </c>
      <c r="I847" s="4"/>
      <c r="J847" s="5"/>
      <c r="K847" s="10"/>
      <c r="O847" s="6" t="s">
        <v>1450</v>
      </c>
      <c r="P847" s="6" t="s">
        <v>1451</v>
      </c>
      <c r="S847" s="6" t="s">
        <v>239</v>
      </c>
      <c r="T847" s="11">
        <v>22285880</v>
      </c>
      <c r="U847" s="7">
        <v>1</v>
      </c>
      <c r="V847" s="6" t="s">
        <v>246</v>
      </c>
      <c r="W847" s="7"/>
      <c r="X847" s="6" t="s">
        <v>241</v>
      </c>
      <c r="Y847" s="7"/>
      <c r="AA847" s="6"/>
      <c r="AE847" s="6" t="s">
        <v>40</v>
      </c>
      <c r="AH847" s="7"/>
      <c r="AI847" s="6" t="s">
        <v>40</v>
      </c>
      <c r="AJ847" s="6" t="s">
        <v>238</v>
      </c>
      <c r="AL847" s="6" t="s">
        <v>1424</v>
      </c>
      <c r="AN847" s="6" t="s">
        <v>1445</v>
      </c>
    </row>
    <row r="848" spans="1:40" hidden="1" x14ac:dyDescent="0.25">
      <c r="A848" s="4">
        <v>45944</v>
      </c>
      <c r="B848" s="6" t="s">
        <v>189</v>
      </c>
      <c r="C848" s="6" t="str">
        <f>_xlfn.XLOOKUP(Table3[[#This Row],[station]],station_waterbody_county!A:A, station_waterbody_county!B:B)</f>
        <v>Whitehead Harbour</v>
      </c>
      <c r="D848" s="3" t="str">
        <f>_xlfn.XLOOKUP(Table3[[#This Row],[station]],station_waterbody_county!A:A, station_waterbody_county!C:C)</f>
        <v>Guysborough</v>
      </c>
      <c r="E848" s="6"/>
      <c r="F848" s="6" t="s">
        <v>34</v>
      </c>
      <c r="G848" s="12">
        <v>45919</v>
      </c>
      <c r="H848" s="5">
        <v>0.45694444444444443</v>
      </c>
      <c r="I848" s="4"/>
      <c r="J848" s="5"/>
      <c r="K848" s="10"/>
      <c r="O848" s="6" t="s">
        <v>1452</v>
      </c>
      <c r="P848" s="6" t="s">
        <v>1453</v>
      </c>
      <c r="S848" s="6" t="s">
        <v>239</v>
      </c>
      <c r="T848" s="11">
        <v>22285937</v>
      </c>
      <c r="U848" s="7">
        <v>1</v>
      </c>
      <c r="V848" s="6" t="s">
        <v>246</v>
      </c>
      <c r="W848" s="7"/>
      <c r="X848" s="6" t="s">
        <v>241</v>
      </c>
      <c r="Y848" s="7"/>
      <c r="AA848" s="6"/>
      <c r="AE848" s="6" t="s">
        <v>40</v>
      </c>
      <c r="AH848" s="7"/>
      <c r="AI848" s="6" t="s">
        <v>40</v>
      </c>
      <c r="AJ848" s="6" t="s">
        <v>238</v>
      </c>
      <c r="AL848" s="6" t="s">
        <v>1424</v>
      </c>
      <c r="AN848" s="6" t="s">
        <v>1446</v>
      </c>
    </row>
    <row r="849" spans="1:38" hidden="1" x14ac:dyDescent="0.25">
      <c r="A849" s="4">
        <v>45944</v>
      </c>
      <c r="B849" s="6" t="s">
        <v>222</v>
      </c>
      <c r="C849" s="6" t="str">
        <f>_xlfn.XLOOKUP(Table3[[#This Row],[station]],station_waterbody_county!A:A, station_waterbody_county!B:B)</f>
        <v>New Harbour</v>
      </c>
      <c r="D849" s="3" t="str">
        <f>_xlfn.XLOOKUP(Table3[[#This Row],[station]],station_waterbody_county!A:A, station_waterbody_county!C:C)</f>
        <v>Guysborough</v>
      </c>
      <c r="E849" s="6"/>
      <c r="F849" s="6" t="s">
        <v>34</v>
      </c>
      <c r="G849" s="12">
        <v>45925</v>
      </c>
      <c r="H849" s="5">
        <v>0.47986111111111113</v>
      </c>
      <c r="I849" s="4"/>
      <c r="J849" s="5"/>
      <c r="K849" s="10"/>
      <c r="O849" s="6" t="s">
        <v>1459</v>
      </c>
      <c r="P849" s="6" t="s">
        <v>1460</v>
      </c>
      <c r="S849" s="6" t="s">
        <v>239</v>
      </c>
      <c r="T849" s="11">
        <v>22285914</v>
      </c>
      <c r="U849" s="7">
        <v>2</v>
      </c>
      <c r="V849" s="6" t="s">
        <v>36</v>
      </c>
      <c r="W849" s="7">
        <v>31.4</v>
      </c>
      <c r="X849" s="6" t="s">
        <v>35</v>
      </c>
      <c r="Y849" s="7">
        <v>1.1000000000000001</v>
      </c>
      <c r="Z849" s="7">
        <v>1.5</v>
      </c>
      <c r="AA849" s="6" t="s">
        <v>243</v>
      </c>
      <c r="AB849" s="6" t="s">
        <v>38</v>
      </c>
      <c r="AD849" s="6" t="s">
        <v>39</v>
      </c>
      <c r="AE849" s="6" t="s">
        <v>40</v>
      </c>
      <c r="AG849" s="6" t="s">
        <v>37</v>
      </c>
      <c r="AH849" s="7">
        <v>60</v>
      </c>
      <c r="AI849" s="6" t="s">
        <v>40</v>
      </c>
      <c r="AJ849" s="6" t="s">
        <v>238</v>
      </c>
      <c r="AL849" s="6" t="s">
        <v>41</v>
      </c>
    </row>
    <row r="850" spans="1:38" hidden="1" x14ac:dyDescent="0.25">
      <c r="A850" s="4">
        <v>45944</v>
      </c>
      <c r="B850" s="6" t="s">
        <v>222</v>
      </c>
      <c r="C850" s="6" t="str">
        <f>_xlfn.XLOOKUP(Table3[[#This Row],[station]],station_waterbody_county!A:A, station_waterbody_county!B:B)</f>
        <v>New Harbour</v>
      </c>
      <c r="D850" s="3" t="str">
        <f>_xlfn.XLOOKUP(Table3[[#This Row],[station]],station_waterbody_county!A:A, station_waterbody_county!C:C)</f>
        <v>Guysborough</v>
      </c>
      <c r="E850" s="6"/>
      <c r="F850" s="6" t="s">
        <v>34</v>
      </c>
      <c r="G850" s="12">
        <v>45925</v>
      </c>
      <c r="H850" s="5">
        <v>0.47986111111111113</v>
      </c>
      <c r="I850" s="4"/>
      <c r="J850" s="5"/>
      <c r="K850" s="10"/>
      <c r="O850" s="6" t="s">
        <v>1459</v>
      </c>
      <c r="P850" s="6" t="s">
        <v>1460</v>
      </c>
      <c r="S850" s="6" t="s">
        <v>239</v>
      </c>
      <c r="T850" s="11">
        <v>22285929</v>
      </c>
      <c r="U850" s="7">
        <v>5</v>
      </c>
      <c r="V850" s="6" t="s">
        <v>36</v>
      </c>
      <c r="W850" s="7">
        <v>31.4</v>
      </c>
      <c r="X850" s="6" t="s">
        <v>35</v>
      </c>
      <c r="Y850" s="7">
        <v>1.1000000000000001</v>
      </c>
      <c r="Z850" s="7">
        <v>1.5</v>
      </c>
      <c r="AA850" s="6" t="s">
        <v>243</v>
      </c>
      <c r="AB850" s="6" t="s">
        <v>38</v>
      </c>
      <c r="AD850" s="6" t="s">
        <v>39</v>
      </c>
      <c r="AE850" s="6" t="s">
        <v>40</v>
      </c>
      <c r="AG850" s="6" t="s">
        <v>37</v>
      </c>
      <c r="AH850" s="7">
        <v>60</v>
      </c>
      <c r="AI850" s="6" t="s">
        <v>40</v>
      </c>
      <c r="AJ850" s="6" t="s">
        <v>238</v>
      </c>
      <c r="AL850" s="6" t="s">
        <v>41</v>
      </c>
    </row>
    <row r="851" spans="1:38" hidden="1" x14ac:dyDescent="0.25">
      <c r="A851" s="4">
        <v>45944</v>
      </c>
      <c r="B851" s="6" t="s">
        <v>222</v>
      </c>
      <c r="C851" s="6" t="str">
        <f>_xlfn.XLOOKUP(Table3[[#This Row],[station]],station_waterbody_county!A:A, station_waterbody_county!B:B)</f>
        <v>New Harbour</v>
      </c>
      <c r="D851" s="3" t="str">
        <f>_xlfn.XLOOKUP(Table3[[#This Row],[station]],station_waterbody_county!A:A, station_waterbody_county!C:C)</f>
        <v>Guysborough</v>
      </c>
      <c r="E851" s="6"/>
      <c r="F851" s="6" t="s">
        <v>34</v>
      </c>
      <c r="G851" s="12">
        <v>45925</v>
      </c>
      <c r="H851" s="5">
        <v>0.47986111111111113</v>
      </c>
      <c r="I851" s="4"/>
      <c r="J851" s="5"/>
      <c r="K851" s="10"/>
      <c r="O851" s="6" t="s">
        <v>1459</v>
      </c>
      <c r="P851" s="6" t="s">
        <v>1460</v>
      </c>
      <c r="S851" s="6" t="s">
        <v>239</v>
      </c>
      <c r="T851" s="11">
        <v>22310005</v>
      </c>
      <c r="U851" s="7">
        <v>10</v>
      </c>
      <c r="V851" s="6" t="s">
        <v>36</v>
      </c>
      <c r="W851" s="7">
        <v>31.4</v>
      </c>
      <c r="X851" s="6" t="s">
        <v>35</v>
      </c>
      <c r="Y851" s="7">
        <v>1.1000000000000001</v>
      </c>
      <c r="Z851" s="7">
        <v>1.5</v>
      </c>
      <c r="AA851" s="6" t="s">
        <v>243</v>
      </c>
      <c r="AB851" s="6" t="s">
        <v>38</v>
      </c>
      <c r="AD851" s="6" t="s">
        <v>39</v>
      </c>
      <c r="AE851" s="6" t="s">
        <v>40</v>
      </c>
      <c r="AG851" s="6" t="s">
        <v>37</v>
      </c>
      <c r="AH851" s="7">
        <v>60</v>
      </c>
      <c r="AI851" s="6" t="s">
        <v>40</v>
      </c>
      <c r="AJ851" s="6" t="s">
        <v>238</v>
      </c>
      <c r="AL851" s="6" t="s">
        <v>41</v>
      </c>
    </row>
    <row r="852" spans="1:38" hidden="1" x14ac:dyDescent="0.25">
      <c r="A852" s="4">
        <v>45944</v>
      </c>
      <c r="B852" s="6" t="s">
        <v>222</v>
      </c>
      <c r="C852" s="6" t="str">
        <f>_xlfn.XLOOKUP(Table3[[#This Row],[station]],station_waterbody_county!A:A, station_waterbody_county!B:B)</f>
        <v>New Harbour</v>
      </c>
      <c r="D852" s="3" t="str">
        <f>_xlfn.XLOOKUP(Table3[[#This Row],[station]],station_waterbody_county!A:A, station_waterbody_county!C:C)</f>
        <v>Guysborough</v>
      </c>
      <c r="E852" s="6"/>
      <c r="F852" s="6" t="s">
        <v>34</v>
      </c>
      <c r="G852" s="12">
        <v>45925</v>
      </c>
      <c r="H852" s="5">
        <v>0.47986111111111113</v>
      </c>
      <c r="I852" s="4"/>
      <c r="J852" s="5"/>
      <c r="K852" s="10"/>
      <c r="O852" s="6" t="s">
        <v>1459</v>
      </c>
      <c r="P852" s="6" t="s">
        <v>1460</v>
      </c>
      <c r="S852" s="6" t="s">
        <v>239</v>
      </c>
      <c r="T852" s="11">
        <v>21444909</v>
      </c>
      <c r="U852" s="7">
        <v>15</v>
      </c>
      <c r="V852" s="6" t="s">
        <v>36</v>
      </c>
      <c r="W852" s="7">
        <v>31.4</v>
      </c>
      <c r="X852" s="6" t="s">
        <v>35</v>
      </c>
      <c r="Y852" s="7">
        <v>1.1000000000000001</v>
      </c>
      <c r="Z852" s="7">
        <v>1.5</v>
      </c>
      <c r="AA852" s="6" t="s">
        <v>243</v>
      </c>
      <c r="AB852" s="6" t="s">
        <v>38</v>
      </c>
      <c r="AD852" s="6" t="s">
        <v>39</v>
      </c>
      <c r="AE852" s="6" t="s">
        <v>40</v>
      </c>
      <c r="AG852" s="6" t="s">
        <v>37</v>
      </c>
      <c r="AH852" s="7">
        <v>60</v>
      </c>
      <c r="AI852" s="6" t="s">
        <v>40</v>
      </c>
      <c r="AJ852" s="6" t="s">
        <v>238</v>
      </c>
      <c r="AL852" s="6" t="s">
        <v>41</v>
      </c>
    </row>
    <row r="853" spans="1:38" hidden="1" x14ac:dyDescent="0.25">
      <c r="A853" s="4">
        <v>45944</v>
      </c>
      <c r="B853" s="6" t="s">
        <v>222</v>
      </c>
      <c r="C853" s="6" t="str">
        <f>_xlfn.XLOOKUP(Table3[[#This Row],[station]],station_waterbody_county!A:A, station_waterbody_county!B:B)</f>
        <v>New Harbour</v>
      </c>
      <c r="D853" s="3" t="str">
        <f>_xlfn.XLOOKUP(Table3[[#This Row],[station]],station_waterbody_county!A:A, station_waterbody_county!C:C)</f>
        <v>Guysborough</v>
      </c>
      <c r="E853" s="6"/>
      <c r="F853" s="6" t="s">
        <v>34</v>
      </c>
      <c r="G853" s="12">
        <v>45925</v>
      </c>
      <c r="H853" s="5">
        <v>0.47986111111111113</v>
      </c>
      <c r="I853" s="4"/>
      <c r="J853" s="5"/>
      <c r="K853" s="10"/>
      <c r="O853" s="6" t="s">
        <v>1459</v>
      </c>
      <c r="P853" s="6" t="s">
        <v>1460</v>
      </c>
      <c r="S853" s="6" t="s">
        <v>42</v>
      </c>
      <c r="T853" s="11">
        <v>547088</v>
      </c>
      <c r="U853" s="7">
        <v>28</v>
      </c>
      <c r="V853" s="6" t="s">
        <v>36</v>
      </c>
      <c r="W853" s="7">
        <v>31.4</v>
      </c>
      <c r="X853" s="6" t="s">
        <v>35</v>
      </c>
      <c r="Y853" s="7">
        <v>1.1000000000000001</v>
      </c>
      <c r="Z853" s="7">
        <v>1.5</v>
      </c>
      <c r="AA853" s="6" t="s">
        <v>243</v>
      </c>
      <c r="AB853" s="6" t="s">
        <v>38</v>
      </c>
      <c r="AD853" s="6" t="s">
        <v>39</v>
      </c>
      <c r="AE853" s="6" t="s">
        <v>40</v>
      </c>
      <c r="AG853" s="6" t="s">
        <v>37</v>
      </c>
      <c r="AH853" s="7">
        <v>60</v>
      </c>
      <c r="AI853" s="6" t="s">
        <v>40</v>
      </c>
      <c r="AJ853" s="6" t="s">
        <v>238</v>
      </c>
      <c r="AL853" s="6" t="s">
        <v>41</v>
      </c>
    </row>
    <row r="854" spans="1:38" hidden="1" x14ac:dyDescent="0.25">
      <c r="A854" s="4">
        <v>45944</v>
      </c>
      <c r="B854" s="6" t="s">
        <v>222</v>
      </c>
      <c r="C854" s="6" t="str">
        <f>_xlfn.XLOOKUP(Table3[[#This Row],[station]],station_waterbody_county!A:A, station_waterbody_county!B:B)</f>
        <v>New Harbour</v>
      </c>
      <c r="D854" s="3" t="str">
        <f>_xlfn.XLOOKUP(Table3[[#This Row],[station]],station_waterbody_county!A:A, station_waterbody_county!C:C)</f>
        <v>Guysborough</v>
      </c>
      <c r="E854" s="6"/>
      <c r="F854" s="6" t="s">
        <v>34</v>
      </c>
      <c r="G854" s="12">
        <v>45925</v>
      </c>
      <c r="H854" s="5">
        <v>0.47986111111111113</v>
      </c>
      <c r="I854" s="4"/>
      <c r="J854" s="5"/>
      <c r="K854" s="10"/>
      <c r="O854" s="6" t="s">
        <v>1459</v>
      </c>
      <c r="P854" s="6" t="s">
        <v>1460</v>
      </c>
      <c r="S854" s="6" t="s">
        <v>239</v>
      </c>
      <c r="T854" s="11">
        <v>22310022</v>
      </c>
      <c r="U854" s="7">
        <v>28</v>
      </c>
      <c r="V854" s="6" t="s">
        <v>36</v>
      </c>
      <c r="W854" s="7">
        <v>31.4</v>
      </c>
      <c r="X854" s="6" t="s">
        <v>35</v>
      </c>
      <c r="Y854" s="7">
        <v>1.1000000000000001</v>
      </c>
      <c r="Z854" s="7">
        <v>1.5</v>
      </c>
      <c r="AA854" s="6" t="s">
        <v>243</v>
      </c>
      <c r="AB854" s="6" t="s">
        <v>38</v>
      </c>
      <c r="AD854" s="6" t="s">
        <v>39</v>
      </c>
      <c r="AE854" s="6" t="s">
        <v>40</v>
      </c>
      <c r="AG854" s="6" t="s">
        <v>37</v>
      </c>
      <c r="AH854" s="7">
        <v>60</v>
      </c>
      <c r="AI854" s="6" t="s">
        <v>40</v>
      </c>
      <c r="AJ854" s="6" t="s">
        <v>238</v>
      </c>
      <c r="AL854" s="6" t="s">
        <v>41</v>
      </c>
    </row>
    <row r="855" spans="1:38" hidden="1" x14ac:dyDescent="0.25">
      <c r="A855" s="4">
        <v>45944</v>
      </c>
      <c r="B855" s="6" t="s">
        <v>214</v>
      </c>
      <c r="C855" s="6" t="str">
        <f>_xlfn.XLOOKUP(Table3[[#This Row],[station]],station_waterbody_county!A:A, station_waterbody_county!B:B)</f>
        <v>Spry Bay</v>
      </c>
      <c r="D855" s="3" t="str">
        <f>_xlfn.XLOOKUP(Table3[[#This Row],[station]],station_waterbody_county!A:A, station_waterbody_county!C:C)</f>
        <v>Halifax</v>
      </c>
      <c r="E855" s="6"/>
      <c r="F855" s="6" t="s">
        <v>34</v>
      </c>
      <c r="G855" s="12">
        <v>45925</v>
      </c>
      <c r="H855" s="5">
        <v>0.6118055555555556</v>
      </c>
      <c r="I855" s="4"/>
      <c r="J855" s="5"/>
      <c r="K855" s="10"/>
      <c r="O855" s="6" t="s">
        <v>1462</v>
      </c>
      <c r="P855" s="6" t="s">
        <v>1463</v>
      </c>
      <c r="S855" s="6" t="s">
        <v>239</v>
      </c>
      <c r="T855" s="11">
        <v>22285889</v>
      </c>
      <c r="U855" s="7">
        <v>2</v>
      </c>
      <c r="V855" s="6" t="s">
        <v>36</v>
      </c>
      <c r="W855" s="7">
        <v>15.5</v>
      </c>
      <c r="X855" s="6" t="s">
        <v>35</v>
      </c>
      <c r="Y855" s="7">
        <v>1.7</v>
      </c>
      <c r="Z855" s="7">
        <v>3</v>
      </c>
      <c r="AA855" s="6" t="s">
        <v>243</v>
      </c>
      <c r="AB855" s="6" t="s">
        <v>321</v>
      </c>
      <c r="AD855" s="6" t="s">
        <v>39</v>
      </c>
      <c r="AE855" s="6" t="s">
        <v>40</v>
      </c>
      <c r="AG855" s="6" t="s">
        <v>37</v>
      </c>
      <c r="AH855" s="7">
        <v>60</v>
      </c>
      <c r="AI855" s="6" t="s">
        <v>40</v>
      </c>
      <c r="AJ855" s="6" t="s">
        <v>238</v>
      </c>
      <c r="AL855" s="6" t="s">
        <v>41</v>
      </c>
    </row>
    <row r="856" spans="1:38" hidden="1" x14ac:dyDescent="0.25">
      <c r="A856" s="4">
        <v>45944</v>
      </c>
      <c r="B856" s="6" t="s">
        <v>214</v>
      </c>
      <c r="C856" s="6" t="str">
        <f>_xlfn.XLOOKUP(Table3[[#This Row],[station]],station_waterbody_county!A:A, station_waterbody_county!B:B)</f>
        <v>Spry Bay</v>
      </c>
      <c r="D856" s="3" t="str">
        <f>_xlfn.XLOOKUP(Table3[[#This Row],[station]],station_waterbody_county!A:A, station_waterbody_county!C:C)</f>
        <v>Halifax</v>
      </c>
      <c r="E856" s="6"/>
      <c r="F856" s="6" t="s">
        <v>34</v>
      </c>
      <c r="G856" s="12">
        <v>45925</v>
      </c>
      <c r="H856" s="5">
        <v>0.6118055555555556</v>
      </c>
      <c r="I856" s="4"/>
      <c r="J856" s="5"/>
      <c r="K856" s="10"/>
      <c r="O856" s="6" t="s">
        <v>1462</v>
      </c>
      <c r="P856" s="6" t="s">
        <v>1463</v>
      </c>
      <c r="S856" s="6" t="s">
        <v>240</v>
      </c>
      <c r="T856" s="11">
        <v>671009</v>
      </c>
      <c r="U856" s="7">
        <v>5</v>
      </c>
      <c r="V856" s="6" t="s">
        <v>36</v>
      </c>
      <c r="W856" s="7">
        <v>15.5</v>
      </c>
      <c r="X856" s="6" t="s">
        <v>35</v>
      </c>
      <c r="Y856" s="7">
        <v>1.7</v>
      </c>
      <c r="Z856" s="7">
        <v>3</v>
      </c>
      <c r="AA856" s="6" t="s">
        <v>243</v>
      </c>
      <c r="AB856" s="6" t="s">
        <v>321</v>
      </c>
      <c r="AD856" s="6" t="s">
        <v>39</v>
      </c>
      <c r="AE856" s="6" t="s">
        <v>40</v>
      </c>
      <c r="AG856" s="6" t="s">
        <v>37</v>
      </c>
      <c r="AH856" s="7">
        <v>60</v>
      </c>
      <c r="AI856" s="6" t="s">
        <v>40</v>
      </c>
      <c r="AJ856" s="6" t="s">
        <v>238</v>
      </c>
      <c r="AL856" s="6" t="s">
        <v>41</v>
      </c>
    </row>
    <row r="857" spans="1:38" hidden="1" x14ac:dyDescent="0.25">
      <c r="A857" s="4">
        <v>45944</v>
      </c>
      <c r="B857" s="6" t="s">
        <v>214</v>
      </c>
      <c r="C857" s="6" t="str">
        <f>_xlfn.XLOOKUP(Table3[[#This Row],[station]],station_waterbody_county!A:A, station_waterbody_county!B:B)</f>
        <v>Spry Bay</v>
      </c>
      <c r="D857" s="3" t="str">
        <f>_xlfn.XLOOKUP(Table3[[#This Row],[station]],station_waterbody_county!A:A, station_waterbody_county!C:C)</f>
        <v>Halifax</v>
      </c>
      <c r="E857" s="6"/>
      <c r="F857" s="6" t="s">
        <v>34</v>
      </c>
      <c r="G857" s="12">
        <v>45925</v>
      </c>
      <c r="H857" s="5">
        <v>0.6118055555555556</v>
      </c>
      <c r="I857" s="4"/>
      <c r="J857" s="5"/>
      <c r="K857" s="10"/>
      <c r="O857" s="6" t="s">
        <v>1462</v>
      </c>
      <c r="P857" s="6" t="s">
        <v>1463</v>
      </c>
      <c r="S857" s="6" t="s">
        <v>239</v>
      </c>
      <c r="T857" s="11">
        <v>21043069</v>
      </c>
      <c r="U857" s="7">
        <v>10</v>
      </c>
      <c r="V857" s="6" t="s">
        <v>36</v>
      </c>
      <c r="W857" s="7">
        <v>15.5</v>
      </c>
      <c r="X857" s="6" t="s">
        <v>35</v>
      </c>
      <c r="Y857" s="7">
        <v>1.7</v>
      </c>
      <c r="Z857" s="7">
        <v>3</v>
      </c>
      <c r="AA857" s="6" t="s">
        <v>243</v>
      </c>
      <c r="AB857" s="6" t="s">
        <v>321</v>
      </c>
      <c r="AD857" s="6" t="s">
        <v>39</v>
      </c>
      <c r="AE857" s="6" t="s">
        <v>40</v>
      </c>
      <c r="AG857" s="6" t="s">
        <v>37</v>
      </c>
      <c r="AH857" s="7">
        <v>60</v>
      </c>
      <c r="AI857" s="6" t="s">
        <v>40</v>
      </c>
      <c r="AJ857" s="6" t="s">
        <v>238</v>
      </c>
      <c r="AL857" s="6" t="s">
        <v>41</v>
      </c>
    </row>
    <row r="858" spans="1:38" hidden="1" x14ac:dyDescent="0.25">
      <c r="A858" s="4">
        <v>45944</v>
      </c>
      <c r="B858" s="6" t="s">
        <v>214</v>
      </c>
      <c r="C858" s="6" t="str">
        <f>_xlfn.XLOOKUP(Table3[[#This Row],[station]],station_waterbody_county!A:A, station_waterbody_county!B:B)</f>
        <v>Spry Bay</v>
      </c>
      <c r="D858" s="3" t="str">
        <f>_xlfn.XLOOKUP(Table3[[#This Row],[station]],station_waterbody_county!A:A, station_waterbody_county!C:C)</f>
        <v>Halifax</v>
      </c>
      <c r="E858" s="6"/>
      <c r="F858" s="6" t="s">
        <v>34</v>
      </c>
      <c r="G858" s="12">
        <v>45925</v>
      </c>
      <c r="H858" s="5">
        <v>0.6118055555555556</v>
      </c>
      <c r="I858" s="4"/>
      <c r="J858" s="5"/>
      <c r="K858" s="10"/>
      <c r="O858" s="6" t="s">
        <v>1462</v>
      </c>
      <c r="P858" s="6" t="s">
        <v>1463</v>
      </c>
      <c r="S858" s="6" t="s">
        <v>42</v>
      </c>
      <c r="T858" s="11">
        <v>549339</v>
      </c>
      <c r="U858" s="7">
        <v>12</v>
      </c>
      <c r="V858" s="6" t="s">
        <v>36</v>
      </c>
      <c r="W858" s="7">
        <v>15.5</v>
      </c>
      <c r="X858" s="6" t="s">
        <v>35</v>
      </c>
      <c r="Y858" s="7">
        <v>1.7</v>
      </c>
      <c r="Z858" s="7">
        <v>3</v>
      </c>
      <c r="AA858" s="6" t="s">
        <v>243</v>
      </c>
      <c r="AB858" s="6" t="s">
        <v>321</v>
      </c>
      <c r="AD858" s="6" t="s">
        <v>39</v>
      </c>
      <c r="AE858" s="6" t="s">
        <v>40</v>
      </c>
      <c r="AG858" s="6" t="s">
        <v>37</v>
      </c>
      <c r="AH858" s="7">
        <v>60</v>
      </c>
      <c r="AI858" s="6" t="s">
        <v>40</v>
      </c>
      <c r="AJ858" s="6" t="s">
        <v>238</v>
      </c>
      <c r="AL858" s="6" t="s">
        <v>41</v>
      </c>
    </row>
    <row r="859" spans="1:38" hidden="1" x14ac:dyDescent="0.25">
      <c r="A859" s="4">
        <v>45944</v>
      </c>
      <c r="B859" s="6" t="s">
        <v>214</v>
      </c>
      <c r="C859" s="6" t="str">
        <f>_xlfn.XLOOKUP(Table3[[#This Row],[station]],station_waterbody_county!A:A, station_waterbody_county!B:B)</f>
        <v>Spry Bay</v>
      </c>
      <c r="D859" s="3" t="str">
        <f>_xlfn.XLOOKUP(Table3[[#This Row],[station]],station_waterbody_county!A:A, station_waterbody_county!C:C)</f>
        <v>Halifax</v>
      </c>
      <c r="E859" s="6"/>
      <c r="F859" s="6" t="s">
        <v>34</v>
      </c>
      <c r="G859" s="12">
        <v>45925</v>
      </c>
      <c r="H859" s="5">
        <v>0.6118055555555556</v>
      </c>
      <c r="I859" s="4"/>
      <c r="J859" s="5"/>
      <c r="K859" s="10"/>
      <c r="O859" s="6" t="s">
        <v>1462</v>
      </c>
      <c r="P859" s="6" t="s">
        <v>1463</v>
      </c>
      <c r="S859" s="6" t="s">
        <v>239</v>
      </c>
      <c r="T859" s="11">
        <v>22309991</v>
      </c>
      <c r="U859" s="7">
        <v>12</v>
      </c>
      <c r="V859" s="6" t="s">
        <v>36</v>
      </c>
      <c r="W859" s="7">
        <v>15.5</v>
      </c>
      <c r="X859" s="6" t="s">
        <v>35</v>
      </c>
      <c r="Y859" s="7">
        <v>1.7</v>
      </c>
      <c r="Z859" s="7">
        <v>3</v>
      </c>
      <c r="AA859" s="6" t="s">
        <v>243</v>
      </c>
      <c r="AB859" s="6" t="s">
        <v>321</v>
      </c>
      <c r="AD859" s="6" t="s">
        <v>39</v>
      </c>
      <c r="AE859" s="6" t="s">
        <v>40</v>
      </c>
      <c r="AG859" s="6" t="s">
        <v>37</v>
      </c>
      <c r="AH859" s="7">
        <v>60</v>
      </c>
      <c r="AI859" s="6" t="s">
        <v>40</v>
      </c>
      <c r="AJ859" s="6" t="s">
        <v>238</v>
      </c>
      <c r="AL859" s="6" t="s">
        <v>41</v>
      </c>
    </row>
    <row r="860" spans="1:38" hidden="1" x14ac:dyDescent="0.25">
      <c r="A860" s="4">
        <v>45944</v>
      </c>
      <c r="B860" s="6" t="s">
        <v>111</v>
      </c>
      <c r="C860" s="6" t="str">
        <f>_xlfn.XLOOKUP(Table3[[#This Row],[station]],station_waterbody_county!A:A, station_waterbody_county!B:B)</f>
        <v>Marie Joseph Harbour</v>
      </c>
      <c r="D860" s="3" t="str">
        <f>_xlfn.XLOOKUP(Table3[[#This Row],[station]],station_waterbody_county!A:A, station_waterbody_county!C:C)</f>
        <v>Guysborough</v>
      </c>
      <c r="E860" s="6"/>
      <c r="F860" s="6" t="s">
        <v>34</v>
      </c>
      <c r="G860" s="12">
        <v>45924</v>
      </c>
      <c r="H860" s="5">
        <v>0.70486111111111116</v>
      </c>
      <c r="I860" s="4"/>
      <c r="J860" s="5"/>
      <c r="K860" s="10"/>
      <c r="O860" s="6" t="s">
        <v>1466</v>
      </c>
      <c r="P860" s="6" t="s">
        <v>1467</v>
      </c>
      <c r="S860" s="6" t="s">
        <v>239</v>
      </c>
      <c r="T860" s="11">
        <v>21927311</v>
      </c>
      <c r="U860" s="7">
        <v>2</v>
      </c>
      <c r="V860" s="6" t="s">
        <v>36</v>
      </c>
      <c r="W860" s="7"/>
      <c r="X860" s="6" t="s">
        <v>35</v>
      </c>
      <c r="Y860" s="7">
        <v>1</v>
      </c>
      <c r="Z860" s="7">
        <v>0.5</v>
      </c>
      <c r="AA860" s="6" t="s">
        <v>251</v>
      </c>
      <c r="AB860" s="6" t="s">
        <v>321</v>
      </c>
      <c r="AD860" s="6" t="s">
        <v>39</v>
      </c>
      <c r="AE860" s="6" t="s">
        <v>40</v>
      </c>
      <c r="AG860" s="6" t="s">
        <v>37</v>
      </c>
      <c r="AH860" s="7">
        <v>60</v>
      </c>
      <c r="AI860" s="6" t="s">
        <v>40</v>
      </c>
      <c r="AJ860" s="6" t="s">
        <v>238</v>
      </c>
      <c r="AL860" s="6" t="s">
        <v>41</v>
      </c>
    </row>
    <row r="861" spans="1:38" hidden="1" x14ac:dyDescent="0.25">
      <c r="A861" s="4">
        <v>45944</v>
      </c>
      <c r="B861" s="6" t="s">
        <v>111</v>
      </c>
      <c r="C861" s="6" t="str">
        <f>_xlfn.XLOOKUP(Table3[[#This Row],[station]],station_waterbody_county!A:A, station_waterbody_county!B:B)</f>
        <v>Marie Joseph Harbour</v>
      </c>
      <c r="D861" s="3" t="str">
        <f>_xlfn.XLOOKUP(Table3[[#This Row],[station]],station_waterbody_county!A:A, station_waterbody_county!C:C)</f>
        <v>Guysborough</v>
      </c>
      <c r="E861" s="6"/>
      <c r="F861" s="6" t="s">
        <v>34</v>
      </c>
      <c r="G861" s="12">
        <v>45924</v>
      </c>
      <c r="H861" s="5">
        <v>0.70486111111111116</v>
      </c>
      <c r="I861" s="4"/>
      <c r="J861" s="5"/>
      <c r="K861" s="10"/>
      <c r="O861" s="6" t="s">
        <v>1466</v>
      </c>
      <c r="P861" s="6" t="s">
        <v>1467</v>
      </c>
      <c r="S861" s="6" t="s">
        <v>240</v>
      </c>
      <c r="T861" s="11">
        <v>671378</v>
      </c>
      <c r="U861" s="7">
        <v>5</v>
      </c>
      <c r="V861" s="6" t="s">
        <v>36</v>
      </c>
      <c r="W861" s="7"/>
      <c r="X861" s="6" t="s">
        <v>35</v>
      </c>
      <c r="Y861" s="7">
        <v>1</v>
      </c>
      <c r="Z861" s="7">
        <v>0.5</v>
      </c>
      <c r="AA861" s="6" t="s">
        <v>251</v>
      </c>
      <c r="AB861" s="6" t="s">
        <v>321</v>
      </c>
      <c r="AD861" s="6" t="s">
        <v>39</v>
      </c>
      <c r="AE861" s="6" t="s">
        <v>40</v>
      </c>
      <c r="AG861" s="6" t="s">
        <v>37</v>
      </c>
      <c r="AH861" s="7">
        <v>60</v>
      </c>
      <c r="AI861" s="6" t="s">
        <v>40</v>
      </c>
      <c r="AJ861" s="6" t="s">
        <v>238</v>
      </c>
      <c r="AL861" s="6" t="s">
        <v>41</v>
      </c>
    </row>
    <row r="862" spans="1:38" hidden="1" x14ac:dyDescent="0.25">
      <c r="A862" s="4">
        <v>45944</v>
      </c>
      <c r="B862" s="6" t="s">
        <v>111</v>
      </c>
      <c r="C862" s="6" t="str">
        <f>_xlfn.XLOOKUP(Table3[[#This Row],[station]],station_waterbody_county!A:A, station_waterbody_county!B:B)</f>
        <v>Marie Joseph Harbour</v>
      </c>
      <c r="D862" s="3" t="str">
        <f>_xlfn.XLOOKUP(Table3[[#This Row],[station]],station_waterbody_county!A:A, station_waterbody_county!C:C)</f>
        <v>Guysborough</v>
      </c>
      <c r="E862" s="6"/>
      <c r="F862" s="6" t="s">
        <v>34</v>
      </c>
      <c r="G862" s="12">
        <v>45924</v>
      </c>
      <c r="H862" s="5">
        <v>0.70486111111111116</v>
      </c>
      <c r="I862" s="4"/>
      <c r="J862" s="5"/>
      <c r="K862" s="10"/>
      <c r="O862" s="6" t="s">
        <v>1466</v>
      </c>
      <c r="P862" s="6" t="s">
        <v>1467</v>
      </c>
      <c r="S862" s="6" t="s">
        <v>239</v>
      </c>
      <c r="T862" s="11">
        <v>21444877</v>
      </c>
      <c r="U862" s="7">
        <v>10</v>
      </c>
      <c r="V862" s="6" t="s">
        <v>36</v>
      </c>
      <c r="W862" s="7"/>
      <c r="X862" s="6" t="s">
        <v>35</v>
      </c>
      <c r="Y862" s="7">
        <v>1</v>
      </c>
      <c r="Z862" s="7">
        <v>0.5</v>
      </c>
      <c r="AA862" s="6" t="s">
        <v>251</v>
      </c>
      <c r="AB862" s="6" t="s">
        <v>321</v>
      </c>
      <c r="AD862" s="6" t="s">
        <v>39</v>
      </c>
      <c r="AE862" s="6" t="s">
        <v>40</v>
      </c>
      <c r="AG862" s="6" t="s">
        <v>37</v>
      </c>
      <c r="AH862" s="7">
        <v>60</v>
      </c>
      <c r="AI862" s="6" t="s">
        <v>40</v>
      </c>
      <c r="AJ862" s="6" t="s">
        <v>238</v>
      </c>
      <c r="AL862" s="6" t="s">
        <v>41</v>
      </c>
    </row>
    <row r="863" spans="1:38" hidden="1" x14ac:dyDescent="0.25">
      <c r="A863" s="4">
        <v>45944</v>
      </c>
      <c r="B863" s="6" t="s">
        <v>111</v>
      </c>
      <c r="C863" s="6" t="str">
        <f>_xlfn.XLOOKUP(Table3[[#This Row],[station]],station_waterbody_county!A:A, station_waterbody_county!B:B)</f>
        <v>Marie Joseph Harbour</v>
      </c>
      <c r="D863" s="3" t="str">
        <f>_xlfn.XLOOKUP(Table3[[#This Row],[station]],station_waterbody_county!A:A, station_waterbody_county!C:C)</f>
        <v>Guysborough</v>
      </c>
      <c r="E863" s="6"/>
      <c r="F863" s="6" t="s">
        <v>34</v>
      </c>
      <c r="G863" s="12">
        <v>45924</v>
      </c>
      <c r="H863" s="5">
        <v>0.70486111111111116</v>
      </c>
      <c r="I863" s="4"/>
      <c r="J863" s="5"/>
      <c r="K863" s="10"/>
      <c r="O863" s="6" t="s">
        <v>1466</v>
      </c>
      <c r="P863" s="6" t="s">
        <v>1467</v>
      </c>
      <c r="S863" s="6" t="s">
        <v>42</v>
      </c>
      <c r="T863" s="11">
        <v>548569</v>
      </c>
      <c r="U863" s="7">
        <v>15</v>
      </c>
      <c r="V863" s="6" t="s">
        <v>36</v>
      </c>
      <c r="W863" s="7"/>
      <c r="X863" s="6" t="s">
        <v>35</v>
      </c>
      <c r="Y863" s="7">
        <v>1</v>
      </c>
      <c r="Z863" s="7">
        <v>0.5</v>
      </c>
      <c r="AA863" s="6" t="s">
        <v>251</v>
      </c>
      <c r="AB863" s="6" t="s">
        <v>321</v>
      </c>
      <c r="AD863" s="6" t="s">
        <v>39</v>
      </c>
      <c r="AE863" s="6" t="s">
        <v>40</v>
      </c>
      <c r="AG863" s="6" t="s">
        <v>37</v>
      </c>
      <c r="AH863" s="7">
        <v>60</v>
      </c>
      <c r="AI863" s="6" t="s">
        <v>40</v>
      </c>
      <c r="AJ863" s="6" t="s">
        <v>238</v>
      </c>
      <c r="AL863" s="6" t="s">
        <v>41</v>
      </c>
    </row>
    <row r="864" spans="1:38" hidden="1" x14ac:dyDescent="0.25">
      <c r="A864" s="4">
        <v>45944</v>
      </c>
      <c r="B864" s="6" t="s">
        <v>111</v>
      </c>
      <c r="C864" s="6" t="str">
        <f>_xlfn.XLOOKUP(Table3[[#This Row],[station]],station_waterbody_county!A:A, station_waterbody_county!B:B)</f>
        <v>Marie Joseph Harbour</v>
      </c>
      <c r="D864" s="3" t="str">
        <f>_xlfn.XLOOKUP(Table3[[#This Row],[station]],station_waterbody_county!A:A, station_waterbody_county!C:C)</f>
        <v>Guysborough</v>
      </c>
      <c r="E864" s="6"/>
      <c r="F864" s="6" t="s">
        <v>34</v>
      </c>
      <c r="G864" s="12">
        <v>45924</v>
      </c>
      <c r="H864" s="5">
        <v>0.70486111111111116</v>
      </c>
      <c r="I864" s="4"/>
      <c r="J864" s="5"/>
      <c r="K864" s="10"/>
      <c r="O864" s="6" t="s">
        <v>1466</v>
      </c>
      <c r="P864" s="6" t="s">
        <v>1467</v>
      </c>
      <c r="S864" s="6" t="s">
        <v>239</v>
      </c>
      <c r="T864" s="11">
        <v>20820324</v>
      </c>
      <c r="U864" s="7">
        <v>15</v>
      </c>
      <c r="V864" s="6" t="s">
        <v>36</v>
      </c>
      <c r="W864" s="7"/>
      <c r="X864" s="6" t="s">
        <v>35</v>
      </c>
      <c r="Y864" s="7">
        <v>1</v>
      </c>
      <c r="Z864" s="7">
        <v>0.5</v>
      </c>
      <c r="AA864" s="6" t="s">
        <v>251</v>
      </c>
      <c r="AB864" s="6" t="s">
        <v>321</v>
      </c>
      <c r="AD864" s="6" t="s">
        <v>39</v>
      </c>
      <c r="AE864" s="6" t="s">
        <v>40</v>
      </c>
      <c r="AG864" s="6" t="s">
        <v>37</v>
      </c>
      <c r="AH864" s="7">
        <v>60</v>
      </c>
      <c r="AI864" s="6" t="s">
        <v>40</v>
      </c>
      <c r="AJ864" s="6" t="s">
        <v>238</v>
      </c>
      <c r="AL864" s="6" t="s">
        <v>41</v>
      </c>
    </row>
    <row r="865" spans="1:38" hidden="1" x14ac:dyDescent="0.25">
      <c r="A865" s="4">
        <v>45944</v>
      </c>
      <c r="B865" s="6" t="s">
        <v>110</v>
      </c>
      <c r="C865" s="6" t="str">
        <f>_xlfn.XLOOKUP(Table3[[#This Row],[station]],station_waterbody_county!A:A, station_waterbody_county!B:B)</f>
        <v>Indian Harbour</v>
      </c>
      <c r="D865" s="3" t="str">
        <f>_xlfn.XLOOKUP(Table3[[#This Row],[station]],station_waterbody_county!A:A, station_waterbody_county!C:C)</f>
        <v>Guysborough</v>
      </c>
      <c r="E865" s="6"/>
      <c r="F865" s="6" t="s">
        <v>34</v>
      </c>
      <c r="G865" s="12">
        <v>45924</v>
      </c>
      <c r="H865" s="5">
        <v>0.81388888888888888</v>
      </c>
      <c r="I865" s="4"/>
      <c r="J865" s="5"/>
      <c r="K865" s="10"/>
      <c r="O865" s="6" t="s">
        <v>1470</v>
      </c>
      <c r="P865" s="6" t="s">
        <v>1471</v>
      </c>
      <c r="S865" s="6" t="s">
        <v>239</v>
      </c>
      <c r="T865" s="11">
        <v>20495256</v>
      </c>
      <c r="U865" s="7">
        <v>2</v>
      </c>
      <c r="V865" s="6" t="s">
        <v>36</v>
      </c>
      <c r="W865" s="7">
        <v>13.7</v>
      </c>
      <c r="X865" s="6" t="s">
        <v>35</v>
      </c>
      <c r="Y865" s="7">
        <v>0.5</v>
      </c>
      <c r="Z865" s="7">
        <v>1</v>
      </c>
      <c r="AA865" s="6" t="s">
        <v>314</v>
      </c>
      <c r="AB865" s="6" t="s">
        <v>1472</v>
      </c>
      <c r="AD865" s="6" t="s">
        <v>39</v>
      </c>
      <c r="AE865" s="6" t="s">
        <v>40</v>
      </c>
      <c r="AG865" s="6" t="s">
        <v>37</v>
      </c>
      <c r="AH865" s="7">
        <v>60</v>
      </c>
      <c r="AI865" s="6" t="s">
        <v>40</v>
      </c>
      <c r="AJ865" s="6" t="s">
        <v>238</v>
      </c>
      <c r="AL865" s="6" t="s">
        <v>41</v>
      </c>
    </row>
    <row r="866" spans="1:38" hidden="1" x14ac:dyDescent="0.25">
      <c r="A866" s="4">
        <v>45944</v>
      </c>
      <c r="B866" s="6" t="s">
        <v>110</v>
      </c>
      <c r="C866" s="6" t="str">
        <f>_xlfn.XLOOKUP(Table3[[#This Row],[station]],station_waterbody_county!A:A, station_waterbody_county!B:B)</f>
        <v>Indian Harbour</v>
      </c>
      <c r="D866" s="3" t="str">
        <f>_xlfn.XLOOKUP(Table3[[#This Row],[station]],station_waterbody_county!A:A, station_waterbody_county!C:C)</f>
        <v>Guysborough</v>
      </c>
      <c r="E866" s="6"/>
      <c r="F866" s="6" t="s">
        <v>34</v>
      </c>
      <c r="G866" s="12">
        <v>45924</v>
      </c>
      <c r="H866" s="5">
        <v>0.81388888888888888</v>
      </c>
      <c r="I866" s="4"/>
      <c r="J866" s="5"/>
      <c r="K866" s="10"/>
      <c r="O866" s="6" t="s">
        <v>1470</v>
      </c>
      <c r="P866" s="6" t="s">
        <v>1471</v>
      </c>
      <c r="S866" s="6" t="s">
        <v>240</v>
      </c>
      <c r="T866" s="11">
        <v>671379</v>
      </c>
      <c r="U866" s="7">
        <v>5</v>
      </c>
      <c r="V866" s="6" t="s">
        <v>36</v>
      </c>
      <c r="W866" s="7">
        <v>13.7</v>
      </c>
      <c r="X866" s="6" t="s">
        <v>35</v>
      </c>
      <c r="Y866" s="7">
        <v>0.5</v>
      </c>
      <c r="Z866" s="7">
        <v>1</v>
      </c>
      <c r="AA866" s="6" t="s">
        <v>314</v>
      </c>
      <c r="AB866" s="6" t="s">
        <v>1472</v>
      </c>
      <c r="AD866" s="6" t="s">
        <v>39</v>
      </c>
      <c r="AE866" s="6" t="s">
        <v>40</v>
      </c>
      <c r="AG866" s="6" t="s">
        <v>37</v>
      </c>
      <c r="AH866" s="7">
        <v>60</v>
      </c>
      <c r="AI866" s="6" t="s">
        <v>40</v>
      </c>
      <c r="AJ866" s="6" t="s">
        <v>238</v>
      </c>
      <c r="AL866" s="6" t="s">
        <v>41</v>
      </c>
    </row>
    <row r="867" spans="1:38" hidden="1" x14ac:dyDescent="0.25">
      <c r="A867" s="4">
        <v>45944</v>
      </c>
      <c r="B867" s="6" t="s">
        <v>110</v>
      </c>
      <c r="C867" s="6" t="str">
        <f>_xlfn.XLOOKUP(Table3[[#This Row],[station]],station_waterbody_county!A:A, station_waterbody_county!B:B)</f>
        <v>Indian Harbour</v>
      </c>
      <c r="D867" s="3" t="str">
        <f>_xlfn.XLOOKUP(Table3[[#This Row],[station]],station_waterbody_county!A:A, station_waterbody_county!C:C)</f>
        <v>Guysborough</v>
      </c>
      <c r="E867" s="6"/>
      <c r="F867" s="6" t="s">
        <v>34</v>
      </c>
      <c r="G867" s="12">
        <v>45924</v>
      </c>
      <c r="H867" s="5">
        <v>0.81388888888888888</v>
      </c>
      <c r="I867" s="4"/>
      <c r="J867" s="5"/>
      <c r="K867" s="10"/>
      <c r="O867" s="6" t="s">
        <v>1470</v>
      </c>
      <c r="P867" s="6" t="s">
        <v>1471</v>
      </c>
      <c r="S867" s="6" t="s">
        <v>253</v>
      </c>
      <c r="T867" s="11">
        <v>686255</v>
      </c>
      <c r="U867" s="7">
        <v>5</v>
      </c>
      <c r="V867" s="6" t="s">
        <v>36</v>
      </c>
      <c r="W867" s="7">
        <v>13.7</v>
      </c>
      <c r="X867" s="6" t="s">
        <v>35</v>
      </c>
      <c r="Y867" s="7">
        <v>0.5</v>
      </c>
      <c r="Z867" s="7">
        <v>1</v>
      </c>
      <c r="AA867" s="6" t="s">
        <v>314</v>
      </c>
      <c r="AB867" s="6" t="s">
        <v>1472</v>
      </c>
      <c r="AD867" s="6" t="s">
        <v>39</v>
      </c>
      <c r="AE867" s="6" t="s">
        <v>40</v>
      </c>
      <c r="AG867" s="6" t="s">
        <v>37</v>
      </c>
      <c r="AH867" s="7">
        <v>60</v>
      </c>
      <c r="AI867" s="6" t="s">
        <v>40</v>
      </c>
      <c r="AJ867" s="6" t="s">
        <v>238</v>
      </c>
      <c r="AL867" s="6" t="s">
        <v>41</v>
      </c>
    </row>
    <row r="868" spans="1:38" hidden="1" x14ac:dyDescent="0.25">
      <c r="A868" s="4">
        <v>45944</v>
      </c>
      <c r="B868" s="6" t="s">
        <v>110</v>
      </c>
      <c r="C868" s="6" t="str">
        <f>_xlfn.XLOOKUP(Table3[[#This Row],[station]],station_waterbody_county!A:A, station_waterbody_county!B:B)</f>
        <v>Indian Harbour</v>
      </c>
      <c r="D868" s="3" t="str">
        <f>_xlfn.XLOOKUP(Table3[[#This Row],[station]],station_waterbody_county!A:A, station_waterbody_county!C:C)</f>
        <v>Guysborough</v>
      </c>
      <c r="E868" s="6"/>
      <c r="F868" s="6" t="s">
        <v>34</v>
      </c>
      <c r="G868" s="12">
        <v>45924</v>
      </c>
      <c r="H868" s="5">
        <v>0.81388888888888888</v>
      </c>
      <c r="I868" s="4"/>
      <c r="J868" s="5"/>
      <c r="K868" s="10"/>
      <c r="O868" s="6" t="s">
        <v>1470</v>
      </c>
      <c r="P868" s="6" t="s">
        <v>1471</v>
      </c>
      <c r="S868" s="6" t="s">
        <v>42</v>
      </c>
      <c r="T868" s="11">
        <v>548553</v>
      </c>
      <c r="U868" s="7">
        <v>10</v>
      </c>
      <c r="V868" s="6" t="s">
        <v>36</v>
      </c>
      <c r="W868" s="7">
        <v>13.7</v>
      </c>
      <c r="X868" s="6" t="s">
        <v>35</v>
      </c>
      <c r="Y868" s="7">
        <v>0.5</v>
      </c>
      <c r="Z868" s="7">
        <v>1</v>
      </c>
      <c r="AA868" s="6" t="s">
        <v>314</v>
      </c>
      <c r="AB868" s="6" t="s">
        <v>1472</v>
      </c>
      <c r="AD868" s="6" t="s">
        <v>39</v>
      </c>
      <c r="AE868" s="6" t="s">
        <v>40</v>
      </c>
      <c r="AG868" s="6" t="s">
        <v>37</v>
      </c>
      <c r="AH868" s="7">
        <v>60</v>
      </c>
      <c r="AI868" s="6" t="s">
        <v>40</v>
      </c>
      <c r="AJ868" s="6" t="s">
        <v>238</v>
      </c>
      <c r="AL868" s="6" t="s">
        <v>41</v>
      </c>
    </row>
    <row r="869" spans="1:38" hidden="1" x14ac:dyDescent="0.25">
      <c r="A869" s="4">
        <v>45944</v>
      </c>
      <c r="B869" s="6" t="s">
        <v>110</v>
      </c>
      <c r="C869" s="6" t="str">
        <f>_xlfn.XLOOKUP(Table3[[#This Row],[station]],station_waterbody_county!A:A, station_waterbody_county!B:B)</f>
        <v>Indian Harbour</v>
      </c>
      <c r="D869" s="3" t="str">
        <f>_xlfn.XLOOKUP(Table3[[#This Row],[station]],station_waterbody_county!A:A, station_waterbody_county!C:C)</f>
        <v>Guysborough</v>
      </c>
      <c r="E869" s="6"/>
      <c r="F869" s="6" t="s">
        <v>34</v>
      </c>
      <c r="G869" s="12">
        <v>45924</v>
      </c>
      <c r="H869" s="5">
        <v>0.81388888888888888</v>
      </c>
      <c r="I869" s="4"/>
      <c r="J869" s="5"/>
      <c r="K869" s="10"/>
      <c r="O869" s="6" t="s">
        <v>1470</v>
      </c>
      <c r="P869" s="6" t="s">
        <v>1471</v>
      </c>
      <c r="S869" s="6" t="s">
        <v>239</v>
      </c>
      <c r="T869" s="11">
        <v>22285881</v>
      </c>
      <c r="U869" s="7">
        <v>10</v>
      </c>
      <c r="V869" s="6" t="s">
        <v>36</v>
      </c>
      <c r="W869" s="7">
        <v>13.7</v>
      </c>
      <c r="X869" s="6" t="s">
        <v>35</v>
      </c>
      <c r="Y869" s="7">
        <v>0.5</v>
      </c>
      <c r="Z869" s="7">
        <v>1</v>
      </c>
      <c r="AA869" s="6" t="s">
        <v>314</v>
      </c>
      <c r="AB869" s="6" t="s">
        <v>1472</v>
      </c>
      <c r="AD869" s="6" t="s">
        <v>39</v>
      </c>
      <c r="AE869" s="6" t="s">
        <v>40</v>
      </c>
      <c r="AG869" s="6" t="s">
        <v>37</v>
      </c>
      <c r="AH869" s="7">
        <v>60</v>
      </c>
      <c r="AI869" s="6" t="s">
        <v>40</v>
      </c>
      <c r="AJ869" s="6" t="s">
        <v>238</v>
      </c>
      <c r="AL869" s="6" t="s">
        <v>41</v>
      </c>
    </row>
    <row r="870" spans="1:38" hidden="1" x14ac:dyDescent="0.25">
      <c r="A870" s="4">
        <v>45944</v>
      </c>
      <c r="B870" s="6" t="s">
        <v>178</v>
      </c>
      <c r="C870" s="6" t="str">
        <f>_xlfn.XLOOKUP(Table3[[#This Row],[station]],station_waterbody_county!A:A, station_waterbody_county!B:B)</f>
        <v>Fishermans Harbour</v>
      </c>
      <c r="D870" s="3" t="str">
        <f>_xlfn.XLOOKUP(Table3[[#This Row],[station]],station_waterbody_county!A:A, station_waterbody_county!C:C)</f>
        <v>Guysborough</v>
      </c>
      <c r="E870" s="6"/>
      <c r="F870" s="6" t="s">
        <v>34</v>
      </c>
      <c r="G870" s="12">
        <v>45924</v>
      </c>
      <c r="H870" s="5">
        <v>0.85347222222222219</v>
      </c>
      <c r="I870" s="4"/>
      <c r="J870" s="5"/>
      <c r="K870" s="10"/>
      <c r="O870" s="6" t="s">
        <v>1474</v>
      </c>
      <c r="P870" s="6" t="s">
        <v>1475</v>
      </c>
      <c r="S870" s="6" t="s">
        <v>239</v>
      </c>
      <c r="T870" s="11">
        <v>22285890</v>
      </c>
      <c r="U870" s="7">
        <v>2</v>
      </c>
      <c r="V870" s="6" t="s">
        <v>36</v>
      </c>
      <c r="W870" s="7">
        <v>22.6</v>
      </c>
      <c r="X870" s="6" t="s">
        <v>35</v>
      </c>
      <c r="Y870" s="7">
        <v>0.5</v>
      </c>
      <c r="Z870" s="7">
        <v>0.5</v>
      </c>
      <c r="AA870" s="6" t="s">
        <v>243</v>
      </c>
      <c r="AB870" s="6" t="s">
        <v>321</v>
      </c>
      <c r="AD870" s="6" t="s">
        <v>39</v>
      </c>
      <c r="AE870" s="6" t="s">
        <v>40</v>
      </c>
      <c r="AG870" s="6" t="s">
        <v>37</v>
      </c>
      <c r="AH870" s="7">
        <v>60</v>
      </c>
      <c r="AI870" s="6" t="s">
        <v>40</v>
      </c>
      <c r="AJ870" s="6" t="s">
        <v>238</v>
      </c>
      <c r="AL870" s="6" t="s">
        <v>41</v>
      </c>
    </row>
    <row r="871" spans="1:38" hidden="1" x14ac:dyDescent="0.25">
      <c r="A871" s="4">
        <v>45944</v>
      </c>
      <c r="B871" s="6" t="s">
        <v>178</v>
      </c>
      <c r="C871" s="6" t="str">
        <f>_xlfn.XLOOKUP(Table3[[#This Row],[station]],station_waterbody_county!A:A, station_waterbody_county!B:B)</f>
        <v>Fishermans Harbour</v>
      </c>
      <c r="D871" s="3" t="str">
        <f>_xlfn.XLOOKUP(Table3[[#This Row],[station]],station_waterbody_county!A:A, station_waterbody_county!C:C)</f>
        <v>Guysborough</v>
      </c>
      <c r="E871" s="6"/>
      <c r="F871" s="6" t="s">
        <v>34</v>
      </c>
      <c r="G871" s="12">
        <v>45924</v>
      </c>
      <c r="H871" s="5">
        <v>0.85347222222222219</v>
      </c>
      <c r="I871" s="4"/>
      <c r="J871" s="5"/>
      <c r="K871" s="10"/>
      <c r="O871" s="6" t="s">
        <v>1474</v>
      </c>
      <c r="P871" s="6" t="s">
        <v>1475</v>
      </c>
      <c r="S871" s="6" t="s">
        <v>239</v>
      </c>
      <c r="T871" s="11">
        <v>21650143</v>
      </c>
      <c r="U871" s="7">
        <v>5</v>
      </c>
      <c r="V871" s="6" t="s">
        <v>36</v>
      </c>
      <c r="W871" s="7">
        <v>22.6</v>
      </c>
      <c r="X871" s="6" t="s">
        <v>35</v>
      </c>
      <c r="Y871" s="7">
        <v>0.5</v>
      </c>
      <c r="Z871" s="7">
        <v>0.5</v>
      </c>
      <c r="AA871" s="6" t="s">
        <v>243</v>
      </c>
      <c r="AB871" s="6" t="s">
        <v>321</v>
      </c>
      <c r="AD871" s="6" t="s">
        <v>39</v>
      </c>
      <c r="AE871" s="6" t="s">
        <v>40</v>
      </c>
      <c r="AG871" s="6" t="s">
        <v>37</v>
      </c>
      <c r="AH871" s="7">
        <v>60</v>
      </c>
      <c r="AI871" s="6" t="s">
        <v>40</v>
      </c>
      <c r="AJ871" s="6" t="s">
        <v>238</v>
      </c>
      <c r="AL871" s="6" t="s">
        <v>41</v>
      </c>
    </row>
    <row r="872" spans="1:38" hidden="1" x14ac:dyDescent="0.25">
      <c r="A872" s="4">
        <v>45944</v>
      </c>
      <c r="B872" s="6" t="s">
        <v>178</v>
      </c>
      <c r="C872" s="6" t="str">
        <f>_xlfn.XLOOKUP(Table3[[#This Row],[station]],station_waterbody_county!A:A, station_waterbody_county!B:B)</f>
        <v>Fishermans Harbour</v>
      </c>
      <c r="D872" s="3" t="str">
        <f>_xlfn.XLOOKUP(Table3[[#This Row],[station]],station_waterbody_county!A:A, station_waterbody_county!C:C)</f>
        <v>Guysborough</v>
      </c>
      <c r="E872" s="6"/>
      <c r="F872" s="6" t="s">
        <v>34</v>
      </c>
      <c r="G872" s="12">
        <v>45924</v>
      </c>
      <c r="H872" s="5">
        <v>0.85347222222222219</v>
      </c>
      <c r="I872" s="4"/>
      <c r="J872" s="5"/>
      <c r="K872" s="10"/>
      <c r="O872" s="6" t="s">
        <v>1474</v>
      </c>
      <c r="P872" s="6" t="s">
        <v>1475</v>
      </c>
      <c r="S872" s="6" t="s">
        <v>239</v>
      </c>
      <c r="T872" s="11">
        <v>22285913</v>
      </c>
      <c r="U872" s="7">
        <v>10</v>
      </c>
      <c r="V872" s="6" t="s">
        <v>36</v>
      </c>
      <c r="W872" s="7">
        <v>22.6</v>
      </c>
      <c r="X872" s="6" t="s">
        <v>35</v>
      </c>
      <c r="Y872" s="7">
        <v>0.5</v>
      </c>
      <c r="Z872" s="7">
        <v>0.5</v>
      </c>
      <c r="AA872" s="6" t="s">
        <v>243</v>
      </c>
      <c r="AB872" s="6" t="s">
        <v>321</v>
      </c>
      <c r="AD872" s="6" t="s">
        <v>39</v>
      </c>
      <c r="AE872" s="6" t="s">
        <v>40</v>
      </c>
      <c r="AG872" s="6" t="s">
        <v>37</v>
      </c>
      <c r="AH872" s="7">
        <v>60</v>
      </c>
      <c r="AI872" s="6" t="s">
        <v>40</v>
      </c>
      <c r="AJ872" s="6" t="s">
        <v>238</v>
      </c>
      <c r="AL872" s="6" t="s">
        <v>41</v>
      </c>
    </row>
    <row r="873" spans="1:38" hidden="1" x14ac:dyDescent="0.25">
      <c r="A873" s="4">
        <v>45944</v>
      </c>
      <c r="B873" s="6" t="s">
        <v>178</v>
      </c>
      <c r="C873" s="6" t="str">
        <f>_xlfn.XLOOKUP(Table3[[#This Row],[station]],station_waterbody_county!A:A, station_waterbody_county!B:B)</f>
        <v>Fishermans Harbour</v>
      </c>
      <c r="D873" s="3" t="str">
        <f>_xlfn.XLOOKUP(Table3[[#This Row],[station]],station_waterbody_county!A:A, station_waterbody_county!C:C)</f>
        <v>Guysborough</v>
      </c>
      <c r="E873" s="6"/>
      <c r="F873" s="6" t="s">
        <v>34</v>
      </c>
      <c r="G873" s="12">
        <v>45924</v>
      </c>
      <c r="H873" s="5">
        <v>0.85347222222222219</v>
      </c>
      <c r="I873" s="4"/>
      <c r="J873" s="5"/>
      <c r="K873" s="10"/>
      <c r="O873" s="6" t="s">
        <v>1474</v>
      </c>
      <c r="P873" s="6" t="s">
        <v>1475</v>
      </c>
      <c r="S873" s="6" t="s">
        <v>239</v>
      </c>
      <c r="T873" s="11">
        <v>21488192</v>
      </c>
      <c r="U873" s="7">
        <v>15</v>
      </c>
      <c r="V873" s="6" t="s">
        <v>36</v>
      </c>
      <c r="W873" s="7">
        <v>22.6</v>
      </c>
      <c r="X873" s="6" t="s">
        <v>35</v>
      </c>
      <c r="Y873" s="7">
        <v>0.5</v>
      </c>
      <c r="Z873" s="7">
        <v>0.5</v>
      </c>
      <c r="AA873" s="6" t="s">
        <v>243</v>
      </c>
      <c r="AB873" s="6" t="s">
        <v>321</v>
      </c>
      <c r="AD873" s="6" t="s">
        <v>39</v>
      </c>
      <c r="AE873" s="6" t="s">
        <v>40</v>
      </c>
      <c r="AG873" s="6" t="s">
        <v>37</v>
      </c>
      <c r="AH873" s="7">
        <v>60</v>
      </c>
      <c r="AI873" s="6" t="s">
        <v>40</v>
      </c>
      <c r="AJ873" s="6" t="s">
        <v>238</v>
      </c>
      <c r="AL873" s="6" t="s">
        <v>41</v>
      </c>
    </row>
    <row r="874" spans="1:38" hidden="1" x14ac:dyDescent="0.25">
      <c r="A874" s="4">
        <v>45944</v>
      </c>
      <c r="B874" s="6" t="s">
        <v>178</v>
      </c>
      <c r="C874" s="6" t="str">
        <f>_xlfn.XLOOKUP(Table3[[#This Row],[station]],station_waterbody_county!A:A, station_waterbody_county!B:B)</f>
        <v>Fishermans Harbour</v>
      </c>
      <c r="D874" s="3" t="str">
        <f>_xlfn.XLOOKUP(Table3[[#This Row],[station]],station_waterbody_county!A:A, station_waterbody_county!C:C)</f>
        <v>Guysborough</v>
      </c>
      <c r="E874" s="6"/>
      <c r="F874" s="6" t="s">
        <v>34</v>
      </c>
      <c r="G874" s="12">
        <v>45924</v>
      </c>
      <c r="H874" s="5">
        <v>0.85347222222222219</v>
      </c>
      <c r="I874" s="4"/>
      <c r="J874" s="5"/>
      <c r="K874" s="10"/>
      <c r="O874" s="6" t="s">
        <v>1474</v>
      </c>
      <c r="P874" s="6" t="s">
        <v>1475</v>
      </c>
      <c r="S874" s="6" t="s">
        <v>42</v>
      </c>
      <c r="T874" s="11">
        <v>548549</v>
      </c>
      <c r="U874" s="7">
        <v>20</v>
      </c>
      <c r="V874" s="6" t="s">
        <v>36</v>
      </c>
      <c r="W874" s="7">
        <v>22.6</v>
      </c>
      <c r="X874" s="6" t="s">
        <v>35</v>
      </c>
      <c r="Y874" s="7">
        <v>0.5</v>
      </c>
      <c r="Z874" s="7">
        <v>0.5</v>
      </c>
      <c r="AA874" s="6" t="s">
        <v>243</v>
      </c>
      <c r="AB874" s="6" t="s">
        <v>321</v>
      </c>
      <c r="AD874" s="6" t="s">
        <v>39</v>
      </c>
      <c r="AE874" s="6" t="s">
        <v>40</v>
      </c>
      <c r="AG874" s="6" t="s">
        <v>37</v>
      </c>
      <c r="AH874" s="7">
        <v>60</v>
      </c>
      <c r="AI874" s="6" t="s">
        <v>40</v>
      </c>
      <c r="AJ874" s="6" t="s">
        <v>238</v>
      </c>
      <c r="AL874" s="6" t="s">
        <v>41</v>
      </c>
    </row>
    <row r="875" spans="1:38" hidden="1" x14ac:dyDescent="0.25">
      <c r="A875" s="4">
        <v>45944</v>
      </c>
      <c r="B875" s="6" t="s">
        <v>178</v>
      </c>
      <c r="C875" s="6" t="str">
        <f>_xlfn.XLOOKUP(Table3[[#This Row],[station]],station_waterbody_county!A:A, station_waterbody_county!B:B)</f>
        <v>Fishermans Harbour</v>
      </c>
      <c r="D875" s="3" t="str">
        <f>_xlfn.XLOOKUP(Table3[[#This Row],[station]],station_waterbody_county!A:A, station_waterbody_county!C:C)</f>
        <v>Guysborough</v>
      </c>
      <c r="E875" s="6"/>
      <c r="F875" s="6" t="s">
        <v>34</v>
      </c>
      <c r="G875" s="12">
        <v>45924</v>
      </c>
      <c r="H875" s="5">
        <v>0.85347222222222219</v>
      </c>
      <c r="I875" s="4"/>
      <c r="J875" s="5"/>
      <c r="K875" s="10"/>
      <c r="O875" s="6" t="s">
        <v>1474</v>
      </c>
      <c r="P875" s="6" t="s">
        <v>1475</v>
      </c>
      <c r="S875" s="6" t="s">
        <v>239</v>
      </c>
      <c r="T875" s="11">
        <v>22285919</v>
      </c>
      <c r="U875" s="7">
        <v>20</v>
      </c>
      <c r="V875" s="6" t="s">
        <v>36</v>
      </c>
      <c r="W875" s="7">
        <v>22.6</v>
      </c>
      <c r="X875" s="6" t="s">
        <v>35</v>
      </c>
      <c r="Y875" s="7">
        <v>0.5</v>
      </c>
      <c r="Z875" s="7">
        <v>0.5</v>
      </c>
      <c r="AA875" s="6" t="s">
        <v>243</v>
      </c>
      <c r="AB875" s="6" t="s">
        <v>321</v>
      </c>
      <c r="AD875" s="6" t="s">
        <v>39</v>
      </c>
      <c r="AE875" s="6" t="s">
        <v>40</v>
      </c>
      <c r="AG875" s="6" t="s">
        <v>37</v>
      </c>
      <c r="AH875" s="7">
        <v>60</v>
      </c>
      <c r="AI875" s="6" t="s">
        <v>40</v>
      </c>
      <c r="AJ875" s="6" t="s">
        <v>238</v>
      </c>
      <c r="AL875" s="6" t="s">
        <v>41</v>
      </c>
    </row>
    <row r="876" spans="1:38" hidden="1" x14ac:dyDescent="0.25">
      <c r="A876" s="4">
        <v>45944</v>
      </c>
      <c r="B876" s="6" t="s">
        <v>126</v>
      </c>
      <c r="C876" s="6" t="str">
        <f>_xlfn.XLOOKUP(Table3[[#This Row],[station]],station_waterbody_county!A:A, station_waterbody_county!B:B)</f>
        <v>Tor Bay</v>
      </c>
      <c r="D876" s="3" t="str">
        <f>_xlfn.XLOOKUP(Table3[[#This Row],[station]],station_waterbody_county!A:A, station_waterbody_county!C:C)</f>
        <v>Guysborough</v>
      </c>
      <c r="E876" s="6"/>
      <c r="F876" s="6" t="s">
        <v>34</v>
      </c>
      <c r="G876" s="12">
        <v>45925</v>
      </c>
      <c r="H876" s="5">
        <v>0.53749999999999998</v>
      </c>
      <c r="I876" s="4"/>
      <c r="J876" s="5"/>
      <c r="K876" s="10"/>
      <c r="O876" s="6" t="s">
        <v>1477</v>
      </c>
      <c r="P876" s="6" t="s">
        <v>572</v>
      </c>
      <c r="S876" s="6" t="s">
        <v>239</v>
      </c>
      <c r="T876" s="11">
        <v>20495219</v>
      </c>
      <c r="U876" s="7">
        <v>2</v>
      </c>
      <c r="V876" s="6" t="s">
        <v>36</v>
      </c>
      <c r="W876" s="7">
        <v>24.1</v>
      </c>
      <c r="X876" s="6" t="s">
        <v>35</v>
      </c>
      <c r="Y876" s="7">
        <v>1.4</v>
      </c>
      <c r="Z876" s="7">
        <v>0.5</v>
      </c>
      <c r="AA876" s="6" t="s">
        <v>243</v>
      </c>
      <c r="AB876" s="6" t="s">
        <v>38</v>
      </c>
      <c r="AD876" s="6" t="s">
        <v>39</v>
      </c>
      <c r="AE876" s="6" t="s">
        <v>40</v>
      </c>
      <c r="AG876" s="6" t="s">
        <v>37</v>
      </c>
      <c r="AH876" s="7">
        <v>60</v>
      </c>
      <c r="AI876" s="6" t="s">
        <v>40</v>
      </c>
      <c r="AJ876" s="6" t="s">
        <v>238</v>
      </c>
      <c r="AL876" s="6" t="s">
        <v>41</v>
      </c>
    </row>
    <row r="877" spans="1:38" hidden="1" x14ac:dyDescent="0.25">
      <c r="A877" s="4">
        <v>45944</v>
      </c>
      <c r="B877" s="6" t="s">
        <v>126</v>
      </c>
      <c r="C877" s="6" t="str">
        <f>_xlfn.XLOOKUP(Table3[[#This Row],[station]],station_waterbody_county!A:A, station_waterbody_county!B:B)</f>
        <v>Tor Bay</v>
      </c>
      <c r="D877" s="3" t="str">
        <f>_xlfn.XLOOKUP(Table3[[#This Row],[station]],station_waterbody_county!A:A, station_waterbody_county!C:C)</f>
        <v>Guysborough</v>
      </c>
      <c r="E877" s="6"/>
      <c r="F877" s="6" t="s">
        <v>34</v>
      </c>
      <c r="G877" s="12">
        <v>45925</v>
      </c>
      <c r="H877" s="5">
        <v>0.53749999999999998</v>
      </c>
      <c r="I877" s="4"/>
      <c r="J877" s="5"/>
      <c r="K877" s="10"/>
      <c r="O877" s="6" t="s">
        <v>1477</v>
      </c>
      <c r="P877" s="6" t="s">
        <v>572</v>
      </c>
      <c r="S877" s="6" t="s">
        <v>239</v>
      </c>
      <c r="T877" s="11">
        <v>20291428</v>
      </c>
      <c r="U877" s="7">
        <v>5</v>
      </c>
      <c r="V877" s="6" t="s">
        <v>36</v>
      </c>
      <c r="W877" s="7">
        <v>24.1</v>
      </c>
      <c r="X877" s="6" t="s">
        <v>35</v>
      </c>
      <c r="Y877" s="7">
        <v>1.4</v>
      </c>
      <c r="Z877" s="7">
        <v>0.5</v>
      </c>
      <c r="AA877" s="6" t="s">
        <v>243</v>
      </c>
      <c r="AB877" s="6" t="s">
        <v>38</v>
      </c>
      <c r="AD877" s="6" t="s">
        <v>39</v>
      </c>
      <c r="AE877" s="6" t="s">
        <v>40</v>
      </c>
      <c r="AG877" s="6" t="s">
        <v>37</v>
      </c>
      <c r="AH877" s="7">
        <v>60</v>
      </c>
      <c r="AI877" s="6" t="s">
        <v>40</v>
      </c>
      <c r="AJ877" s="6" t="s">
        <v>238</v>
      </c>
      <c r="AL877" s="6" t="s">
        <v>41</v>
      </c>
    </row>
    <row r="878" spans="1:38" hidden="1" x14ac:dyDescent="0.25">
      <c r="A878" s="4">
        <v>45944</v>
      </c>
      <c r="B878" s="6" t="s">
        <v>126</v>
      </c>
      <c r="C878" s="6" t="str">
        <f>_xlfn.XLOOKUP(Table3[[#This Row],[station]],station_waterbody_county!A:A, station_waterbody_county!B:B)</f>
        <v>Tor Bay</v>
      </c>
      <c r="D878" s="3" t="str">
        <f>_xlfn.XLOOKUP(Table3[[#This Row],[station]],station_waterbody_county!A:A, station_waterbody_county!C:C)</f>
        <v>Guysborough</v>
      </c>
      <c r="E878" s="6"/>
      <c r="F878" s="6" t="s">
        <v>34</v>
      </c>
      <c r="G878" s="12">
        <v>45925</v>
      </c>
      <c r="H878" s="5">
        <v>0.53749999999999998</v>
      </c>
      <c r="I878" s="4"/>
      <c r="J878" s="5"/>
      <c r="K878" s="10"/>
      <c r="O878" s="6" t="s">
        <v>1477</v>
      </c>
      <c r="P878" s="6" t="s">
        <v>572</v>
      </c>
      <c r="S878" s="6" t="s">
        <v>239</v>
      </c>
      <c r="T878" s="11">
        <v>20495228</v>
      </c>
      <c r="U878" s="7">
        <v>10</v>
      </c>
      <c r="V878" s="6" t="s">
        <v>36</v>
      </c>
      <c r="W878" s="7">
        <v>24.1</v>
      </c>
      <c r="X878" s="6" t="s">
        <v>35</v>
      </c>
      <c r="Y878" s="7">
        <v>1.4</v>
      </c>
      <c r="Z878" s="7">
        <v>0.5</v>
      </c>
      <c r="AA878" s="6" t="s">
        <v>243</v>
      </c>
      <c r="AB878" s="6" t="s">
        <v>38</v>
      </c>
      <c r="AD878" s="6" t="s">
        <v>39</v>
      </c>
      <c r="AE878" s="6" t="s">
        <v>40</v>
      </c>
      <c r="AG878" s="6" t="s">
        <v>37</v>
      </c>
      <c r="AH878" s="7">
        <v>60</v>
      </c>
      <c r="AI878" s="6" t="s">
        <v>40</v>
      </c>
      <c r="AJ878" s="6" t="s">
        <v>238</v>
      </c>
      <c r="AL878" s="6" t="s">
        <v>41</v>
      </c>
    </row>
    <row r="879" spans="1:38" hidden="1" x14ac:dyDescent="0.25">
      <c r="A879" s="4">
        <v>45944</v>
      </c>
      <c r="B879" s="6" t="s">
        <v>126</v>
      </c>
      <c r="C879" s="6" t="str">
        <f>_xlfn.XLOOKUP(Table3[[#This Row],[station]],station_waterbody_county!A:A, station_waterbody_county!B:B)</f>
        <v>Tor Bay</v>
      </c>
      <c r="D879" s="3" t="str">
        <f>_xlfn.XLOOKUP(Table3[[#This Row],[station]],station_waterbody_county!A:A, station_waterbody_county!C:C)</f>
        <v>Guysborough</v>
      </c>
      <c r="E879" s="6"/>
      <c r="F879" s="6" t="s">
        <v>34</v>
      </c>
      <c r="G879" s="12">
        <v>45925</v>
      </c>
      <c r="H879" s="5">
        <v>0.53749999999999998</v>
      </c>
      <c r="I879" s="4"/>
      <c r="J879" s="5"/>
      <c r="K879" s="10"/>
      <c r="O879" s="6" t="s">
        <v>1477</v>
      </c>
      <c r="P879" s="6" t="s">
        <v>572</v>
      </c>
      <c r="S879" s="6" t="s">
        <v>239</v>
      </c>
      <c r="T879" s="11">
        <v>22285950</v>
      </c>
      <c r="U879" s="7">
        <v>15</v>
      </c>
      <c r="V879" s="6" t="s">
        <v>36</v>
      </c>
      <c r="W879" s="7">
        <v>24.1</v>
      </c>
      <c r="X879" s="6" t="s">
        <v>35</v>
      </c>
      <c r="Y879" s="7">
        <v>1.4</v>
      </c>
      <c r="Z879" s="7">
        <v>0.5</v>
      </c>
      <c r="AA879" s="6" t="s">
        <v>243</v>
      </c>
      <c r="AB879" s="6" t="s">
        <v>38</v>
      </c>
      <c r="AD879" s="6" t="s">
        <v>39</v>
      </c>
      <c r="AE879" s="6" t="s">
        <v>40</v>
      </c>
      <c r="AG879" s="6" t="s">
        <v>37</v>
      </c>
      <c r="AH879" s="7">
        <v>60</v>
      </c>
      <c r="AI879" s="6" t="s">
        <v>40</v>
      </c>
      <c r="AJ879" s="6" t="s">
        <v>238</v>
      </c>
      <c r="AL879" s="6" t="s">
        <v>41</v>
      </c>
    </row>
    <row r="880" spans="1:38" hidden="1" x14ac:dyDescent="0.25">
      <c r="A880" s="4">
        <v>45944</v>
      </c>
      <c r="B880" s="6" t="s">
        <v>126</v>
      </c>
      <c r="C880" s="6" t="str">
        <f>_xlfn.XLOOKUP(Table3[[#This Row],[station]],station_waterbody_county!A:A, station_waterbody_county!B:B)</f>
        <v>Tor Bay</v>
      </c>
      <c r="D880" s="3" t="str">
        <f>_xlfn.XLOOKUP(Table3[[#This Row],[station]],station_waterbody_county!A:A, station_waterbody_county!C:C)</f>
        <v>Guysborough</v>
      </c>
      <c r="E880" s="6"/>
      <c r="F880" s="6" t="s">
        <v>34</v>
      </c>
      <c r="G880" s="12">
        <v>45925</v>
      </c>
      <c r="H880" s="5">
        <v>0.53749999999999998</v>
      </c>
      <c r="I880" s="4"/>
      <c r="J880" s="5"/>
      <c r="K880" s="10"/>
      <c r="O880" s="6" t="s">
        <v>1477</v>
      </c>
      <c r="P880" s="6" t="s">
        <v>572</v>
      </c>
      <c r="S880" s="6" t="s">
        <v>42</v>
      </c>
      <c r="T880" s="11">
        <v>548582</v>
      </c>
      <c r="U880" s="7">
        <v>20</v>
      </c>
      <c r="V880" s="6" t="s">
        <v>36</v>
      </c>
      <c r="W880" s="7">
        <v>24.1</v>
      </c>
      <c r="X880" s="6" t="s">
        <v>35</v>
      </c>
      <c r="Y880" s="7">
        <v>1.4</v>
      </c>
      <c r="Z880" s="7">
        <v>0.5</v>
      </c>
      <c r="AA880" s="6" t="s">
        <v>243</v>
      </c>
      <c r="AB880" s="6" t="s">
        <v>38</v>
      </c>
      <c r="AD880" s="6" t="s">
        <v>39</v>
      </c>
      <c r="AE880" s="6" t="s">
        <v>40</v>
      </c>
      <c r="AG880" s="6" t="s">
        <v>37</v>
      </c>
      <c r="AH880" s="7">
        <v>60</v>
      </c>
      <c r="AI880" s="6" t="s">
        <v>40</v>
      </c>
      <c r="AJ880" s="6" t="s">
        <v>238</v>
      </c>
      <c r="AL880" s="6" t="s">
        <v>41</v>
      </c>
    </row>
    <row r="881" spans="1:38" hidden="1" x14ac:dyDescent="0.25">
      <c r="A881" s="4">
        <v>45944</v>
      </c>
      <c r="B881" s="6" t="s">
        <v>126</v>
      </c>
      <c r="C881" s="6" t="str">
        <f>_xlfn.XLOOKUP(Table3[[#This Row],[station]],station_waterbody_county!A:A, station_waterbody_county!B:B)</f>
        <v>Tor Bay</v>
      </c>
      <c r="D881" s="3" t="str">
        <f>_xlfn.XLOOKUP(Table3[[#This Row],[station]],station_waterbody_county!A:A, station_waterbody_county!C:C)</f>
        <v>Guysborough</v>
      </c>
      <c r="E881" s="6"/>
      <c r="F881" s="6" t="s">
        <v>34</v>
      </c>
      <c r="G881" s="12">
        <v>45925</v>
      </c>
      <c r="H881" s="5">
        <v>0.53749999999999998</v>
      </c>
      <c r="I881" s="4"/>
      <c r="J881" s="5"/>
      <c r="K881" s="10"/>
      <c r="O881" s="6" t="s">
        <v>1477</v>
      </c>
      <c r="P881" s="6" t="s">
        <v>572</v>
      </c>
      <c r="S881" s="6" t="s">
        <v>239</v>
      </c>
      <c r="T881" s="11">
        <v>22285938</v>
      </c>
      <c r="U881" s="7">
        <v>20</v>
      </c>
      <c r="V881" s="6" t="s">
        <v>36</v>
      </c>
      <c r="W881" s="7">
        <v>24.1</v>
      </c>
      <c r="X881" s="6" t="s">
        <v>35</v>
      </c>
      <c r="Y881" s="7">
        <v>1.4</v>
      </c>
      <c r="Z881" s="7">
        <v>0.5</v>
      </c>
      <c r="AA881" s="6" t="s">
        <v>243</v>
      </c>
      <c r="AB881" s="6" t="s">
        <v>38</v>
      </c>
      <c r="AD881" s="6" t="s">
        <v>39</v>
      </c>
      <c r="AE881" s="6" t="s">
        <v>40</v>
      </c>
      <c r="AG881" s="6" t="s">
        <v>37</v>
      </c>
      <c r="AH881" s="7">
        <v>60</v>
      </c>
      <c r="AI881" s="6" t="s">
        <v>40</v>
      </c>
      <c r="AJ881" s="6" t="s">
        <v>238</v>
      </c>
      <c r="AL881" s="6" t="s">
        <v>41</v>
      </c>
    </row>
    <row r="882" spans="1:38" hidden="1" x14ac:dyDescent="0.25">
      <c r="A882" s="4">
        <v>45944</v>
      </c>
      <c r="B882" s="6" t="s">
        <v>208</v>
      </c>
      <c r="C882" s="6" t="str">
        <f>_xlfn.XLOOKUP(Table3[[#This Row],[station]],station_waterbody_county!A:A, station_waterbody_county!B:B)</f>
        <v>Dover Bay</v>
      </c>
      <c r="D882" s="3" t="str">
        <f>_xlfn.XLOOKUP(Table3[[#This Row],[station]],station_waterbody_county!A:A, station_waterbody_county!C:C)</f>
        <v>Guysborough</v>
      </c>
      <c r="E882" s="6"/>
      <c r="F882" s="6" t="s">
        <v>34</v>
      </c>
      <c r="G882" s="12">
        <v>45925</v>
      </c>
      <c r="H882" s="5">
        <v>0.59444444444444444</v>
      </c>
      <c r="I882" s="4"/>
      <c r="J882" s="5"/>
      <c r="K882" s="10"/>
      <c r="O882" s="6" t="s">
        <v>1479</v>
      </c>
      <c r="P882" s="6" t="s">
        <v>1480</v>
      </c>
      <c r="S882" s="6" t="s">
        <v>239</v>
      </c>
      <c r="T882" s="11">
        <v>22285923</v>
      </c>
      <c r="U882" s="7">
        <v>2</v>
      </c>
      <c r="V882" s="6" t="s">
        <v>36</v>
      </c>
      <c r="W882" s="7">
        <v>19.2</v>
      </c>
      <c r="X882" s="6" t="s">
        <v>35</v>
      </c>
      <c r="Y882" s="7">
        <v>1.5</v>
      </c>
      <c r="Z882" s="7">
        <v>1</v>
      </c>
      <c r="AA882" s="6" t="s">
        <v>251</v>
      </c>
      <c r="AB882" s="6" t="s">
        <v>1417</v>
      </c>
      <c r="AD882" s="6" t="s">
        <v>39</v>
      </c>
      <c r="AE882" s="6" t="s">
        <v>40</v>
      </c>
      <c r="AG882" s="6" t="s">
        <v>37</v>
      </c>
      <c r="AH882" s="7">
        <v>60</v>
      </c>
      <c r="AI882" s="6" t="s">
        <v>40</v>
      </c>
      <c r="AJ882" s="6" t="s">
        <v>238</v>
      </c>
      <c r="AL882" s="6" t="s">
        <v>41</v>
      </c>
    </row>
    <row r="883" spans="1:38" hidden="1" x14ac:dyDescent="0.25">
      <c r="A883" s="4">
        <v>45944</v>
      </c>
      <c r="B883" s="6" t="s">
        <v>208</v>
      </c>
      <c r="C883" s="6" t="str">
        <f>_xlfn.XLOOKUP(Table3[[#This Row],[station]],station_waterbody_county!A:A, station_waterbody_county!B:B)</f>
        <v>Dover Bay</v>
      </c>
      <c r="D883" s="3" t="str">
        <f>_xlfn.XLOOKUP(Table3[[#This Row],[station]],station_waterbody_county!A:A, station_waterbody_county!C:C)</f>
        <v>Guysborough</v>
      </c>
      <c r="E883" s="6"/>
      <c r="F883" s="6" t="s">
        <v>34</v>
      </c>
      <c r="G883" s="12">
        <v>45925</v>
      </c>
      <c r="H883" s="5">
        <v>0.59444444444444444</v>
      </c>
      <c r="I883" s="4"/>
      <c r="J883" s="5"/>
      <c r="K883" s="10"/>
      <c r="O883" s="6" t="s">
        <v>1479</v>
      </c>
      <c r="P883" s="6" t="s">
        <v>1480</v>
      </c>
      <c r="S883" s="6" t="s">
        <v>239</v>
      </c>
      <c r="T883" s="11">
        <v>22285925</v>
      </c>
      <c r="U883" s="7">
        <v>5</v>
      </c>
      <c r="V883" s="6" t="s">
        <v>36</v>
      </c>
      <c r="W883" s="7">
        <v>19.2</v>
      </c>
      <c r="X883" s="6" t="s">
        <v>35</v>
      </c>
      <c r="Y883" s="7">
        <v>1.5</v>
      </c>
      <c r="Z883" s="7">
        <v>1</v>
      </c>
      <c r="AA883" s="6" t="s">
        <v>251</v>
      </c>
      <c r="AB883" s="6" t="s">
        <v>1417</v>
      </c>
      <c r="AD883" s="6" t="s">
        <v>39</v>
      </c>
      <c r="AE883" s="6" t="s">
        <v>40</v>
      </c>
      <c r="AG883" s="6" t="s">
        <v>37</v>
      </c>
      <c r="AH883" s="7">
        <v>60</v>
      </c>
      <c r="AI883" s="6" t="s">
        <v>40</v>
      </c>
      <c r="AJ883" s="6" t="s">
        <v>238</v>
      </c>
      <c r="AL883" s="6" t="s">
        <v>41</v>
      </c>
    </row>
    <row r="884" spans="1:38" hidden="1" x14ac:dyDescent="0.25">
      <c r="A884" s="4">
        <v>45944</v>
      </c>
      <c r="B884" s="6" t="s">
        <v>208</v>
      </c>
      <c r="C884" s="6" t="str">
        <f>_xlfn.XLOOKUP(Table3[[#This Row],[station]],station_waterbody_county!A:A, station_waterbody_county!B:B)</f>
        <v>Dover Bay</v>
      </c>
      <c r="D884" s="3" t="str">
        <f>_xlfn.XLOOKUP(Table3[[#This Row],[station]],station_waterbody_county!A:A, station_waterbody_county!C:C)</f>
        <v>Guysborough</v>
      </c>
      <c r="E884" s="6"/>
      <c r="F884" s="6" t="s">
        <v>34</v>
      </c>
      <c r="G884" s="12">
        <v>45925</v>
      </c>
      <c r="H884" s="5">
        <v>0.59444444444444444</v>
      </c>
      <c r="I884" s="4"/>
      <c r="J884" s="5"/>
      <c r="K884" s="10"/>
      <c r="O884" s="6" t="s">
        <v>1479</v>
      </c>
      <c r="P884" s="6" t="s">
        <v>1480</v>
      </c>
      <c r="S884" s="6" t="s">
        <v>239</v>
      </c>
      <c r="T884" s="11">
        <v>22310002</v>
      </c>
      <c r="U884" s="7">
        <v>10</v>
      </c>
      <c r="V884" s="6" t="s">
        <v>36</v>
      </c>
      <c r="W884" s="7">
        <v>19.2</v>
      </c>
      <c r="X884" s="6" t="s">
        <v>35</v>
      </c>
      <c r="Y884" s="7">
        <v>1.5</v>
      </c>
      <c r="Z884" s="7">
        <v>1</v>
      </c>
      <c r="AA884" s="6" t="s">
        <v>251</v>
      </c>
      <c r="AB884" s="6" t="s">
        <v>1417</v>
      </c>
      <c r="AD884" s="6" t="s">
        <v>39</v>
      </c>
      <c r="AE884" s="6" t="s">
        <v>40</v>
      </c>
      <c r="AG884" s="6" t="s">
        <v>37</v>
      </c>
      <c r="AH884" s="7">
        <v>60</v>
      </c>
      <c r="AI884" s="6" t="s">
        <v>40</v>
      </c>
      <c r="AJ884" s="6" t="s">
        <v>238</v>
      </c>
      <c r="AL884" s="6" t="s">
        <v>41</v>
      </c>
    </row>
    <row r="885" spans="1:38" hidden="1" x14ac:dyDescent="0.25">
      <c r="A885" s="4">
        <v>45944</v>
      </c>
      <c r="B885" s="6" t="s">
        <v>208</v>
      </c>
      <c r="C885" s="6" t="str">
        <f>_xlfn.XLOOKUP(Table3[[#This Row],[station]],station_waterbody_county!A:A, station_waterbody_county!B:B)</f>
        <v>Dover Bay</v>
      </c>
      <c r="D885" s="3" t="str">
        <f>_xlfn.XLOOKUP(Table3[[#This Row],[station]],station_waterbody_county!A:A, station_waterbody_county!C:C)</f>
        <v>Guysborough</v>
      </c>
      <c r="E885" s="6"/>
      <c r="F885" s="6" t="s">
        <v>34</v>
      </c>
      <c r="G885" s="12">
        <v>45925</v>
      </c>
      <c r="H885" s="5">
        <v>0.59444444444444444</v>
      </c>
      <c r="I885" s="4"/>
      <c r="J885" s="5"/>
      <c r="K885" s="10"/>
      <c r="O885" s="6" t="s">
        <v>1479</v>
      </c>
      <c r="P885" s="6" t="s">
        <v>1480</v>
      </c>
      <c r="S885" s="6" t="s">
        <v>239</v>
      </c>
      <c r="T885" s="11">
        <v>21043075</v>
      </c>
      <c r="U885" s="7">
        <v>15</v>
      </c>
      <c r="V885" s="6" t="s">
        <v>36</v>
      </c>
      <c r="W885" s="7">
        <v>19.2</v>
      </c>
      <c r="X885" s="6" t="s">
        <v>35</v>
      </c>
      <c r="Y885" s="7">
        <v>1.5</v>
      </c>
      <c r="Z885" s="7">
        <v>1</v>
      </c>
      <c r="AA885" s="6" t="s">
        <v>251</v>
      </c>
      <c r="AB885" s="6" t="s">
        <v>1417</v>
      </c>
      <c r="AD885" s="6" t="s">
        <v>39</v>
      </c>
      <c r="AE885" s="6" t="s">
        <v>40</v>
      </c>
      <c r="AG885" s="6" t="s">
        <v>37</v>
      </c>
      <c r="AH885" s="7">
        <v>60</v>
      </c>
      <c r="AI885" s="6" t="s">
        <v>40</v>
      </c>
      <c r="AJ885" s="6" t="s">
        <v>238</v>
      </c>
      <c r="AL885" s="6" t="s">
        <v>41</v>
      </c>
    </row>
    <row r="886" spans="1:38" hidden="1" x14ac:dyDescent="0.25">
      <c r="A886" s="4">
        <v>45944</v>
      </c>
      <c r="B886" s="6" t="s">
        <v>208</v>
      </c>
      <c r="C886" s="6" t="str">
        <f>_xlfn.XLOOKUP(Table3[[#This Row],[station]],station_waterbody_county!A:A, station_waterbody_county!B:B)</f>
        <v>Dover Bay</v>
      </c>
      <c r="D886" s="3" t="str">
        <f>_xlfn.XLOOKUP(Table3[[#This Row],[station]],station_waterbody_county!A:A, station_waterbody_county!C:C)</f>
        <v>Guysborough</v>
      </c>
      <c r="E886" s="6"/>
      <c r="F886" s="6" t="s">
        <v>34</v>
      </c>
      <c r="G886" s="12">
        <v>45925</v>
      </c>
      <c r="H886" s="5">
        <v>0.59444444444444444</v>
      </c>
      <c r="I886" s="4"/>
      <c r="J886" s="5"/>
      <c r="K886" s="10"/>
      <c r="O886" s="6" t="s">
        <v>1479</v>
      </c>
      <c r="P886" s="6" t="s">
        <v>1480</v>
      </c>
      <c r="S886" s="6" t="s">
        <v>42</v>
      </c>
      <c r="T886" s="11">
        <v>550756</v>
      </c>
      <c r="U886" s="7">
        <v>24</v>
      </c>
      <c r="V886" s="6" t="s">
        <v>36</v>
      </c>
      <c r="W886" s="7">
        <v>19.2</v>
      </c>
      <c r="X886" s="6" t="s">
        <v>35</v>
      </c>
      <c r="Y886" s="7">
        <v>1.5</v>
      </c>
      <c r="Z886" s="7">
        <v>1</v>
      </c>
      <c r="AA886" s="6" t="s">
        <v>251</v>
      </c>
      <c r="AB886" s="6" t="s">
        <v>1417</v>
      </c>
      <c r="AD886" s="6" t="s">
        <v>39</v>
      </c>
      <c r="AE886" s="6" t="s">
        <v>40</v>
      </c>
      <c r="AG886" s="6" t="s">
        <v>37</v>
      </c>
      <c r="AH886" s="7">
        <v>60</v>
      </c>
      <c r="AI886" s="6" t="s">
        <v>40</v>
      </c>
      <c r="AJ886" s="6" t="s">
        <v>238</v>
      </c>
      <c r="AL886" s="6" t="s">
        <v>41</v>
      </c>
    </row>
    <row r="887" spans="1:38" hidden="1" x14ac:dyDescent="0.25">
      <c r="A887" s="4">
        <v>45944</v>
      </c>
      <c r="B887" s="6" t="s">
        <v>208</v>
      </c>
      <c r="C887" s="6" t="str">
        <f>_xlfn.XLOOKUP(Table3[[#This Row],[station]],station_waterbody_county!A:A, station_waterbody_county!B:B)</f>
        <v>Dover Bay</v>
      </c>
      <c r="D887" s="3" t="str">
        <f>_xlfn.XLOOKUP(Table3[[#This Row],[station]],station_waterbody_county!A:A, station_waterbody_county!C:C)</f>
        <v>Guysborough</v>
      </c>
      <c r="E887" s="6"/>
      <c r="F887" s="6" t="s">
        <v>34</v>
      </c>
      <c r="G887" s="12">
        <v>45925</v>
      </c>
      <c r="H887" s="5">
        <v>0.59444444444444444</v>
      </c>
      <c r="I887" s="4"/>
      <c r="J887" s="5"/>
      <c r="K887" s="10"/>
      <c r="O887" s="6" t="s">
        <v>1479</v>
      </c>
      <c r="P887" s="6" t="s">
        <v>1480</v>
      </c>
      <c r="S887" s="6" t="s">
        <v>239</v>
      </c>
      <c r="T887" s="11">
        <v>20900985</v>
      </c>
      <c r="U887" s="7">
        <v>24</v>
      </c>
      <c r="V887" s="6" t="s">
        <v>36</v>
      </c>
      <c r="W887" s="7">
        <v>19.2</v>
      </c>
      <c r="X887" s="6" t="s">
        <v>35</v>
      </c>
      <c r="Y887" s="7">
        <v>1.5</v>
      </c>
      <c r="Z887" s="7">
        <v>1</v>
      </c>
      <c r="AA887" s="6" t="s">
        <v>251</v>
      </c>
      <c r="AB887" s="6" t="s">
        <v>1417</v>
      </c>
      <c r="AD887" s="6" t="s">
        <v>39</v>
      </c>
      <c r="AE887" s="6" t="s">
        <v>40</v>
      </c>
      <c r="AG887" s="6" t="s">
        <v>37</v>
      </c>
      <c r="AH887" s="7">
        <v>60</v>
      </c>
      <c r="AI887" s="6" t="s">
        <v>40</v>
      </c>
      <c r="AJ887" s="6" t="s">
        <v>238</v>
      </c>
      <c r="AL887" s="6" t="s">
        <v>41</v>
      </c>
    </row>
    <row r="888" spans="1:38" hidden="1" x14ac:dyDescent="0.25">
      <c r="A888" s="4"/>
      <c r="C888" s="6">
        <f>_xlfn.XLOOKUP(Table3[[#This Row],[station]],station_waterbody_county!A:A, station_waterbody_county!B:B)</f>
        <v>0</v>
      </c>
      <c r="D888" s="3">
        <f>_xlfn.XLOOKUP(Table3[[#This Row],[station]],station_waterbody_county!A:A, station_waterbody_county!C:C)</f>
        <v>0</v>
      </c>
      <c r="E888" s="6"/>
      <c r="G888" s="12"/>
      <c r="H888" s="5"/>
      <c r="I888" s="4"/>
      <c r="J888" s="5"/>
      <c r="K888" s="10"/>
      <c r="O888" s="6"/>
      <c r="T888" s="11"/>
      <c r="U888" s="7"/>
      <c r="V888" s="6"/>
      <c r="W888" s="7"/>
      <c r="X888" s="6"/>
      <c r="Y888" s="7"/>
      <c r="AA888" s="6"/>
      <c r="AE888" s="6"/>
      <c r="AH888" s="7"/>
      <c r="AI888" s="6"/>
      <c r="AJ888" s="6"/>
      <c r="AL888" s="6"/>
    </row>
    <row r="889" spans="1:38" hidden="1" x14ac:dyDescent="0.25">
      <c r="A889" s="4"/>
      <c r="C889" s="6">
        <f>_xlfn.XLOOKUP(Table3[[#This Row],[station]],station_waterbody_county!A:A, station_waterbody_county!B:B)</f>
        <v>0</v>
      </c>
      <c r="D889" s="3">
        <f>_xlfn.XLOOKUP(Table3[[#This Row],[station]],station_waterbody_county!A:A, station_waterbody_county!C:C)</f>
        <v>0</v>
      </c>
      <c r="E889" s="6"/>
      <c r="G889" s="12"/>
      <c r="H889" s="5"/>
      <c r="I889" s="4"/>
      <c r="J889" s="5"/>
      <c r="K889" s="10"/>
      <c r="O889" s="6"/>
      <c r="T889" s="11"/>
      <c r="U889" s="7"/>
      <c r="V889" s="6"/>
      <c r="W889" s="7"/>
      <c r="X889" s="6"/>
      <c r="Y889" s="7"/>
      <c r="AA889" s="6"/>
      <c r="AE889" s="6"/>
      <c r="AH889" s="7"/>
      <c r="AI889" s="6"/>
      <c r="AJ889" s="6"/>
      <c r="AL889" s="6"/>
    </row>
    <row r="890" spans="1:38" hidden="1" x14ac:dyDescent="0.25">
      <c r="A890" s="4"/>
      <c r="C890" s="6">
        <f>_xlfn.XLOOKUP(Table3[[#This Row],[station]],station_waterbody_county!A:A, station_waterbody_county!B:B)</f>
        <v>0</v>
      </c>
      <c r="D890" s="3">
        <f>_xlfn.XLOOKUP(Table3[[#This Row],[station]],station_waterbody_county!A:A, station_waterbody_county!C:C)</f>
        <v>0</v>
      </c>
      <c r="E890" s="6"/>
      <c r="G890" s="12"/>
      <c r="H890" s="5"/>
      <c r="I890" s="4"/>
      <c r="J890" s="5"/>
      <c r="K890" s="10"/>
      <c r="O890" s="6"/>
      <c r="T890" s="11"/>
      <c r="U890" s="7"/>
      <c r="V890" s="6"/>
      <c r="W890" s="7"/>
      <c r="X890" s="6"/>
      <c r="Y890" s="7"/>
      <c r="AA890" s="6"/>
      <c r="AE890" s="6"/>
      <c r="AH890" s="7"/>
      <c r="AI890" s="6"/>
      <c r="AJ890" s="6"/>
      <c r="AL890" s="6"/>
    </row>
    <row r="891" spans="1:38" hidden="1" x14ac:dyDescent="0.25">
      <c r="A891" s="4"/>
      <c r="C891" s="6">
        <f>_xlfn.XLOOKUP(Table3[[#This Row],[station]],station_waterbody_county!A:A, station_waterbody_county!B:B)</f>
        <v>0</v>
      </c>
      <c r="D891" s="3">
        <f>_xlfn.XLOOKUP(Table3[[#This Row],[station]],station_waterbody_county!A:A, station_waterbody_county!C:C)</f>
        <v>0</v>
      </c>
      <c r="E891" s="6"/>
      <c r="G891" s="12"/>
      <c r="H891" s="5"/>
      <c r="I891" s="4"/>
      <c r="J891" s="5"/>
      <c r="K891" s="10"/>
      <c r="O891" s="6"/>
      <c r="T891" s="11"/>
      <c r="U891" s="7"/>
      <c r="V891" s="6"/>
      <c r="W891" s="7"/>
      <c r="X891" s="6"/>
      <c r="Y891" s="7"/>
      <c r="AA891" s="6"/>
      <c r="AE891" s="6"/>
      <c r="AH891" s="7"/>
      <c r="AI891" s="6"/>
      <c r="AJ891" s="6"/>
      <c r="AL891" s="6"/>
    </row>
    <row r="892" spans="1:38" hidden="1" x14ac:dyDescent="0.25">
      <c r="A892" s="4"/>
      <c r="C892" s="6">
        <f>_xlfn.XLOOKUP(Table3[[#This Row],[station]],station_waterbody_county!A:A, station_waterbody_county!B:B)</f>
        <v>0</v>
      </c>
      <c r="D892" s="3">
        <f>_xlfn.XLOOKUP(Table3[[#This Row],[station]],station_waterbody_county!A:A, station_waterbody_county!C:C)</f>
        <v>0</v>
      </c>
      <c r="E892" s="6"/>
      <c r="G892" s="12"/>
      <c r="H892" s="5"/>
      <c r="I892" s="4"/>
      <c r="J892" s="5"/>
      <c r="K892" s="10"/>
      <c r="O892" s="6"/>
      <c r="T892" s="11"/>
      <c r="U892" s="7"/>
      <c r="V892" s="6"/>
      <c r="W892" s="7"/>
      <c r="X892" s="6"/>
      <c r="Y892" s="7"/>
      <c r="AA892" s="6"/>
      <c r="AE892" s="6"/>
      <c r="AH892" s="7"/>
      <c r="AI892" s="6"/>
      <c r="AJ892" s="6"/>
      <c r="AL892" s="6"/>
    </row>
    <row r="893" spans="1:38" hidden="1" x14ac:dyDescent="0.25">
      <c r="A893" s="4"/>
      <c r="C893" s="6">
        <f>_xlfn.XLOOKUP(Table3[[#This Row],[station]],station_waterbody_county!A:A, station_waterbody_county!B:B)</f>
        <v>0</v>
      </c>
      <c r="D893" s="3">
        <f>_xlfn.XLOOKUP(Table3[[#This Row],[station]],station_waterbody_county!A:A, station_waterbody_county!C:C)</f>
        <v>0</v>
      </c>
      <c r="E893" s="6"/>
      <c r="G893" s="12"/>
      <c r="H893" s="5"/>
      <c r="I893" s="4"/>
      <c r="J893" s="5"/>
      <c r="K893" s="10"/>
      <c r="O893" s="6"/>
      <c r="T893" s="11"/>
      <c r="U893" s="7"/>
      <c r="V893" s="6"/>
      <c r="W893" s="7"/>
      <c r="X893" s="6"/>
      <c r="Y893" s="7"/>
      <c r="AA893" s="6"/>
      <c r="AE893" s="6"/>
      <c r="AH893" s="7"/>
      <c r="AI893" s="6"/>
      <c r="AJ893" s="6"/>
      <c r="AL893" s="6"/>
    </row>
    <row r="894" spans="1:38" hidden="1" x14ac:dyDescent="0.25">
      <c r="A894" s="4"/>
      <c r="C894" s="6">
        <f>_xlfn.XLOOKUP(Table3[[#This Row],[station]],station_waterbody_county!A:A, station_waterbody_county!B:B)</f>
        <v>0</v>
      </c>
      <c r="D894" s="3">
        <f>_xlfn.XLOOKUP(Table3[[#This Row],[station]],station_waterbody_county!A:A, station_waterbody_county!C:C)</f>
        <v>0</v>
      </c>
      <c r="E894" s="6"/>
      <c r="G894" s="12"/>
      <c r="H894" s="5"/>
      <c r="I894" s="4"/>
      <c r="J894" s="5"/>
      <c r="K894" s="10"/>
      <c r="O894" s="6"/>
      <c r="T894" s="11"/>
      <c r="U894" s="7"/>
      <c r="V894" s="6"/>
      <c r="W894" s="7"/>
      <c r="X894" s="6"/>
      <c r="Y894" s="7"/>
      <c r="AA894" s="6"/>
      <c r="AE894" s="6"/>
      <c r="AH894" s="7"/>
      <c r="AI894" s="6"/>
      <c r="AJ894" s="6"/>
      <c r="AL894" s="6"/>
    </row>
    <row r="895" spans="1:38" hidden="1" x14ac:dyDescent="0.25">
      <c r="A895" s="4"/>
      <c r="C895" s="6">
        <f>_xlfn.XLOOKUP(Table3[[#This Row],[station]],station_waterbody_county!A:A, station_waterbody_county!B:B)</f>
        <v>0</v>
      </c>
      <c r="D895" s="3">
        <f>_xlfn.XLOOKUP(Table3[[#This Row],[station]],station_waterbody_county!A:A, station_waterbody_county!C:C)</f>
        <v>0</v>
      </c>
      <c r="E895" s="6"/>
      <c r="G895" s="12"/>
      <c r="H895" s="5"/>
      <c r="I895" s="4"/>
      <c r="J895" s="5"/>
      <c r="K895" s="10"/>
      <c r="O895" s="6"/>
      <c r="T895" s="11"/>
      <c r="U895" s="7"/>
      <c r="V895" s="6"/>
      <c r="W895" s="7"/>
      <c r="X895" s="6"/>
      <c r="Y895" s="7"/>
      <c r="AA895" s="6"/>
      <c r="AE895" s="6"/>
      <c r="AH895" s="7"/>
      <c r="AI895" s="6"/>
      <c r="AJ895" s="6"/>
      <c r="AL895" s="6"/>
    </row>
    <row r="896" spans="1:38" hidden="1" x14ac:dyDescent="0.25">
      <c r="A896" s="4"/>
      <c r="C896" s="6">
        <f>_xlfn.XLOOKUP(Table3[[#This Row],[station]],station_waterbody_county!A:A, station_waterbody_county!B:B)</f>
        <v>0</v>
      </c>
      <c r="D896" s="3">
        <f>_xlfn.XLOOKUP(Table3[[#This Row],[station]],station_waterbody_county!A:A, station_waterbody_county!C:C)</f>
        <v>0</v>
      </c>
      <c r="E896" s="6"/>
      <c r="G896" s="12"/>
      <c r="H896" s="5"/>
      <c r="I896" s="4"/>
      <c r="J896" s="5"/>
      <c r="K896" s="10"/>
      <c r="O896" s="6"/>
      <c r="T896" s="11"/>
      <c r="U896" s="7"/>
      <c r="V896" s="6"/>
      <c r="W896" s="7"/>
      <c r="X896" s="6"/>
      <c r="Y896" s="7"/>
      <c r="AA896" s="6"/>
      <c r="AE896" s="6"/>
      <c r="AH896" s="7"/>
      <c r="AI896" s="6"/>
      <c r="AJ896" s="6"/>
      <c r="AL896" s="6"/>
    </row>
    <row r="897" spans="1:38" hidden="1" x14ac:dyDescent="0.25">
      <c r="A897" s="4"/>
      <c r="C897" s="6">
        <f>_xlfn.XLOOKUP(Table3[[#This Row],[station]],station_waterbody_county!A:A, station_waterbody_county!B:B)</f>
        <v>0</v>
      </c>
      <c r="D897" s="3">
        <f>_xlfn.XLOOKUP(Table3[[#This Row],[station]],station_waterbody_county!A:A, station_waterbody_county!C:C)</f>
        <v>0</v>
      </c>
      <c r="E897" s="6"/>
      <c r="G897" s="12"/>
      <c r="H897" s="5"/>
      <c r="I897" s="4"/>
      <c r="J897" s="5"/>
      <c r="K897" s="10"/>
      <c r="O897" s="6"/>
      <c r="T897" s="11"/>
      <c r="U897" s="7"/>
      <c r="V897" s="6"/>
      <c r="W897" s="7"/>
      <c r="X897" s="6"/>
      <c r="Y897" s="7"/>
      <c r="AA897" s="6"/>
      <c r="AE897" s="6"/>
      <c r="AH897" s="7"/>
      <c r="AI897" s="6"/>
      <c r="AJ897" s="6"/>
      <c r="AL897" s="6"/>
    </row>
    <row r="898" spans="1:38" hidden="1" x14ac:dyDescent="0.25">
      <c r="A898" s="4"/>
      <c r="C898" s="6">
        <f>_xlfn.XLOOKUP(Table3[[#This Row],[station]],station_waterbody_county!A:A, station_waterbody_county!B:B)</f>
        <v>0</v>
      </c>
      <c r="D898" s="3">
        <f>_xlfn.XLOOKUP(Table3[[#This Row],[station]],station_waterbody_county!A:A, station_waterbody_county!C:C)</f>
        <v>0</v>
      </c>
      <c r="E898" s="6"/>
      <c r="G898" s="12"/>
      <c r="H898" s="5"/>
      <c r="I898" s="4"/>
      <c r="J898" s="5"/>
      <c r="K898" s="10"/>
      <c r="O898" s="6"/>
      <c r="T898" s="11"/>
      <c r="U898" s="7"/>
      <c r="V898" s="6"/>
      <c r="W898" s="7"/>
      <c r="X898" s="6"/>
      <c r="Y898" s="7"/>
      <c r="AA898" s="6"/>
      <c r="AE898" s="6"/>
      <c r="AH898" s="7"/>
      <c r="AI898" s="6"/>
      <c r="AJ898" s="6"/>
      <c r="AL898" s="6"/>
    </row>
    <row r="899" spans="1:38" hidden="1" x14ac:dyDescent="0.25">
      <c r="A899" s="4"/>
      <c r="C899" s="6">
        <f>_xlfn.XLOOKUP(Table3[[#This Row],[station]],station_waterbody_county!A:A, station_waterbody_county!B:B)</f>
        <v>0</v>
      </c>
      <c r="D899" s="3">
        <f>_xlfn.XLOOKUP(Table3[[#This Row],[station]],station_waterbody_county!A:A, station_waterbody_county!C:C)</f>
        <v>0</v>
      </c>
      <c r="E899" s="6"/>
      <c r="G899" s="12"/>
      <c r="H899" s="5"/>
      <c r="I899" s="4"/>
      <c r="J899" s="5"/>
      <c r="K899" s="10"/>
      <c r="O899" s="6"/>
      <c r="T899" s="11"/>
      <c r="U899" s="7"/>
      <c r="V899" s="6"/>
      <c r="W899" s="7"/>
      <c r="X899" s="6"/>
      <c r="Y899" s="7"/>
      <c r="AA899" s="6"/>
      <c r="AE899" s="6"/>
      <c r="AH899" s="7"/>
      <c r="AI899" s="6"/>
      <c r="AJ899" s="6"/>
      <c r="AL899" s="6"/>
    </row>
    <row r="900" spans="1:38" hidden="1" x14ac:dyDescent="0.25">
      <c r="A900" s="4"/>
      <c r="C900" s="6">
        <f>_xlfn.XLOOKUP(Table3[[#This Row],[station]],station_waterbody_county!A:A, station_waterbody_county!B:B)</f>
        <v>0</v>
      </c>
      <c r="D900" s="3">
        <f>_xlfn.XLOOKUP(Table3[[#This Row],[station]],station_waterbody_county!A:A, station_waterbody_county!C:C)</f>
        <v>0</v>
      </c>
      <c r="E900" s="6"/>
      <c r="G900" s="12"/>
      <c r="H900" s="5"/>
      <c r="I900" s="4"/>
      <c r="J900" s="5"/>
      <c r="K900" s="10"/>
      <c r="O900" s="6"/>
      <c r="T900" s="11"/>
      <c r="U900" s="7"/>
      <c r="V900" s="6"/>
      <c r="W900" s="7"/>
      <c r="X900" s="6"/>
      <c r="Y900" s="7"/>
      <c r="AA900" s="6"/>
      <c r="AE900" s="6"/>
      <c r="AH900" s="7"/>
      <c r="AI900" s="6"/>
      <c r="AJ900" s="6"/>
      <c r="AL900" s="6"/>
    </row>
    <row r="901" spans="1:38" hidden="1" x14ac:dyDescent="0.25">
      <c r="A901" s="4"/>
      <c r="C901" s="6">
        <f>_xlfn.XLOOKUP(Table3[[#This Row],[station]],station_waterbody_county!A:A, station_waterbody_county!B:B)</f>
        <v>0</v>
      </c>
      <c r="D901" s="3">
        <f>_xlfn.XLOOKUP(Table3[[#This Row],[station]],station_waterbody_county!A:A, station_waterbody_county!C:C)</f>
        <v>0</v>
      </c>
      <c r="E901" s="6"/>
      <c r="G901" s="12"/>
      <c r="H901" s="5"/>
      <c r="I901" s="4"/>
      <c r="J901" s="5"/>
      <c r="K901" s="10"/>
      <c r="O901" s="6"/>
      <c r="T901" s="11"/>
      <c r="U901" s="7"/>
      <c r="V901" s="6"/>
      <c r="W901" s="7"/>
      <c r="X901" s="6"/>
      <c r="Y901" s="7"/>
      <c r="AA901" s="6"/>
      <c r="AE901" s="6"/>
      <c r="AH901" s="7"/>
      <c r="AI901" s="6"/>
      <c r="AJ901" s="6"/>
      <c r="AL901" s="6"/>
    </row>
    <row r="902" spans="1:38" hidden="1" x14ac:dyDescent="0.25">
      <c r="A902" s="4"/>
      <c r="C902" s="6">
        <f>_xlfn.XLOOKUP(Table3[[#This Row],[station]],station_waterbody_county!A:A, station_waterbody_county!B:B)</f>
        <v>0</v>
      </c>
      <c r="D902" s="3">
        <f>_xlfn.XLOOKUP(Table3[[#This Row],[station]],station_waterbody_county!A:A, station_waterbody_county!C:C)</f>
        <v>0</v>
      </c>
      <c r="E902" s="6"/>
      <c r="G902" s="12"/>
      <c r="H902" s="5"/>
      <c r="I902" s="4"/>
      <c r="J902" s="5"/>
      <c r="K902" s="10"/>
      <c r="O902" s="6"/>
      <c r="T902" s="11"/>
      <c r="U902" s="7"/>
      <c r="V902" s="6"/>
      <c r="W902" s="7"/>
      <c r="X902" s="6"/>
      <c r="Y902" s="7"/>
      <c r="AA902" s="6"/>
      <c r="AE902" s="6"/>
      <c r="AH902" s="7"/>
      <c r="AI902" s="6"/>
      <c r="AJ902" s="6"/>
      <c r="AL902" s="6"/>
    </row>
    <row r="903" spans="1:38" hidden="1" x14ac:dyDescent="0.25">
      <c r="A903" s="4"/>
      <c r="C903" s="6">
        <f>_xlfn.XLOOKUP(Table3[[#This Row],[station]],station_waterbody_county!A:A, station_waterbody_county!B:B)</f>
        <v>0</v>
      </c>
      <c r="D903" s="3">
        <f>_xlfn.XLOOKUP(Table3[[#This Row],[station]],station_waterbody_county!A:A, station_waterbody_county!C:C)</f>
        <v>0</v>
      </c>
      <c r="E903" s="6"/>
      <c r="G903" s="12"/>
      <c r="H903" s="5"/>
      <c r="I903" s="4"/>
      <c r="J903" s="5"/>
      <c r="K903" s="10"/>
      <c r="O903" s="6"/>
      <c r="T903" s="11"/>
      <c r="U903" s="7"/>
      <c r="V903" s="6"/>
      <c r="W903" s="7"/>
      <c r="X903" s="6"/>
      <c r="Y903" s="7"/>
      <c r="AA903" s="6"/>
      <c r="AE903" s="6"/>
      <c r="AH903" s="7"/>
      <c r="AI903" s="6"/>
      <c r="AJ903" s="6"/>
      <c r="AL903" s="6"/>
    </row>
    <row r="904" spans="1:38" hidden="1" x14ac:dyDescent="0.25">
      <c r="A904" s="4"/>
      <c r="C904" s="6">
        <f>_xlfn.XLOOKUP(Table3[[#This Row],[station]],station_waterbody_county!A:A, station_waterbody_county!B:B)</f>
        <v>0</v>
      </c>
      <c r="D904" s="3">
        <f>_xlfn.XLOOKUP(Table3[[#This Row],[station]],station_waterbody_county!A:A, station_waterbody_county!C:C)</f>
        <v>0</v>
      </c>
      <c r="E904" s="6"/>
      <c r="G904" s="12"/>
      <c r="H904" s="5"/>
      <c r="I904" s="4"/>
      <c r="J904" s="5"/>
      <c r="K904" s="10"/>
      <c r="O904" s="6"/>
      <c r="T904" s="11"/>
      <c r="U904" s="7"/>
      <c r="V904" s="6"/>
      <c r="W904" s="7"/>
      <c r="X904" s="6"/>
      <c r="Y904" s="7"/>
      <c r="AA904" s="6"/>
      <c r="AE904" s="6"/>
      <c r="AH904" s="7"/>
      <c r="AI904" s="6"/>
      <c r="AJ904" s="6"/>
      <c r="AL904" s="6"/>
    </row>
    <row r="905" spans="1:38" hidden="1" x14ac:dyDescent="0.25">
      <c r="A905" s="4"/>
      <c r="C905" s="6">
        <f>_xlfn.XLOOKUP(Table3[[#This Row],[station]],station_waterbody_county!A:A, station_waterbody_county!B:B)</f>
        <v>0</v>
      </c>
      <c r="D905" s="3">
        <f>_xlfn.XLOOKUP(Table3[[#This Row],[station]],station_waterbody_county!A:A, station_waterbody_county!C:C)</f>
        <v>0</v>
      </c>
      <c r="E905" s="6"/>
      <c r="G905" s="12"/>
      <c r="H905" s="5"/>
      <c r="I905" s="4"/>
      <c r="J905" s="5"/>
      <c r="K905" s="10"/>
      <c r="O905" s="6"/>
      <c r="T905" s="11"/>
      <c r="U905" s="7"/>
      <c r="V905" s="6"/>
      <c r="W905" s="7"/>
      <c r="X905" s="6"/>
      <c r="Y905" s="7"/>
      <c r="AA905" s="6"/>
      <c r="AE905" s="6"/>
      <c r="AH905" s="7"/>
      <c r="AI905" s="6"/>
      <c r="AJ905" s="6"/>
      <c r="AL905" s="6"/>
    </row>
    <row r="906" spans="1:38" hidden="1" x14ac:dyDescent="0.25">
      <c r="A906" s="4"/>
      <c r="C906" s="6">
        <f>_xlfn.XLOOKUP(Table3[[#This Row],[station]],station_waterbody_county!A:A, station_waterbody_county!B:B)</f>
        <v>0</v>
      </c>
      <c r="D906" s="3">
        <f>_xlfn.XLOOKUP(Table3[[#This Row],[station]],station_waterbody_county!A:A, station_waterbody_county!C:C)</f>
        <v>0</v>
      </c>
      <c r="E906" s="6"/>
      <c r="G906" s="12"/>
      <c r="H906" s="5"/>
      <c r="I906" s="4"/>
      <c r="J906" s="5"/>
      <c r="K906" s="10"/>
      <c r="O906" s="6"/>
      <c r="T906" s="11"/>
      <c r="U906" s="7"/>
      <c r="V906" s="6"/>
      <c r="W906" s="7"/>
      <c r="X906" s="6"/>
      <c r="Y906" s="7"/>
      <c r="AA906" s="6"/>
      <c r="AE906" s="6"/>
      <c r="AH906" s="7"/>
      <c r="AI906" s="6"/>
      <c r="AJ906" s="6"/>
      <c r="AL906" s="6"/>
    </row>
    <row r="907" spans="1:38" hidden="1" x14ac:dyDescent="0.25">
      <c r="A907" s="4"/>
      <c r="C907" s="6">
        <f>_xlfn.XLOOKUP(Table3[[#This Row],[station]],station_waterbody_county!A:A, station_waterbody_county!B:B)</f>
        <v>0</v>
      </c>
      <c r="D907" s="3">
        <f>_xlfn.XLOOKUP(Table3[[#This Row],[station]],station_waterbody_county!A:A, station_waterbody_county!C:C)</f>
        <v>0</v>
      </c>
      <c r="E907" s="6"/>
      <c r="G907" s="12"/>
      <c r="H907" s="5"/>
      <c r="I907" s="4"/>
      <c r="J907" s="5"/>
      <c r="K907" s="10"/>
      <c r="O907" s="6"/>
      <c r="T907" s="11"/>
      <c r="U907" s="7"/>
      <c r="V907" s="6"/>
      <c r="W907" s="7"/>
      <c r="X907" s="6"/>
      <c r="Y907" s="7"/>
      <c r="AA907" s="6"/>
      <c r="AE907" s="6"/>
      <c r="AH907" s="7"/>
      <c r="AI907" s="6"/>
      <c r="AJ907" s="6"/>
      <c r="AL907" s="6"/>
    </row>
    <row r="908" spans="1:38" hidden="1" x14ac:dyDescent="0.25">
      <c r="A908" s="4"/>
      <c r="C908" s="6">
        <f>_xlfn.XLOOKUP(Table3[[#This Row],[station]],station_waterbody_county!A:A, station_waterbody_county!B:B)</f>
        <v>0</v>
      </c>
      <c r="D908" s="3">
        <f>_xlfn.XLOOKUP(Table3[[#This Row],[station]],station_waterbody_county!A:A, station_waterbody_county!C:C)</f>
        <v>0</v>
      </c>
      <c r="E908" s="6"/>
      <c r="G908" s="12"/>
      <c r="H908" s="5"/>
      <c r="I908" s="4"/>
      <c r="J908" s="5"/>
      <c r="K908" s="10"/>
      <c r="O908" s="6"/>
      <c r="T908" s="11"/>
      <c r="U908" s="7"/>
      <c r="V908" s="6"/>
      <c r="W908" s="7"/>
      <c r="X908" s="6"/>
      <c r="Y908" s="7"/>
      <c r="AA908" s="6"/>
      <c r="AE908" s="6"/>
      <c r="AH908" s="7"/>
      <c r="AI908" s="6"/>
      <c r="AJ908" s="6"/>
      <c r="AL908" s="6"/>
    </row>
    <row r="909" spans="1:38" hidden="1" x14ac:dyDescent="0.25">
      <c r="A909" s="4"/>
      <c r="C909" s="6">
        <f>_xlfn.XLOOKUP(Table3[[#This Row],[station]],station_waterbody_county!A:A, station_waterbody_county!B:B)</f>
        <v>0</v>
      </c>
      <c r="D909" s="3">
        <f>_xlfn.XLOOKUP(Table3[[#This Row],[station]],station_waterbody_county!A:A, station_waterbody_county!C:C)</f>
        <v>0</v>
      </c>
      <c r="E909" s="6"/>
      <c r="G909" s="12"/>
      <c r="H909" s="5"/>
      <c r="I909" s="4"/>
      <c r="J909" s="5"/>
      <c r="K909" s="10"/>
      <c r="O909" s="6"/>
      <c r="T909" s="11"/>
      <c r="U909" s="7"/>
      <c r="V909" s="6"/>
      <c r="W909" s="7"/>
      <c r="X909" s="6"/>
      <c r="Y909" s="7"/>
      <c r="AA909" s="6"/>
      <c r="AE909" s="6"/>
      <c r="AH909" s="7"/>
      <c r="AI909" s="6"/>
      <c r="AJ909" s="6"/>
      <c r="AL909" s="6"/>
    </row>
    <row r="910" spans="1:38" hidden="1" x14ac:dyDescent="0.25">
      <c r="A910" s="4"/>
      <c r="C910" s="6">
        <f>_xlfn.XLOOKUP(Table3[[#This Row],[station]],station_waterbody_county!A:A, station_waterbody_county!B:B)</f>
        <v>0</v>
      </c>
      <c r="D910" s="3">
        <f>_xlfn.XLOOKUP(Table3[[#This Row],[station]],station_waterbody_county!A:A, station_waterbody_county!C:C)</f>
        <v>0</v>
      </c>
      <c r="E910" s="6"/>
      <c r="G910" s="12"/>
      <c r="H910" s="5"/>
      <c r="I910" s="4"/>
      <c r="J910" s="5"/>
      <c r="K910" s="10"/>
      <c r="O910" s="6"/>
      <c r="T910" s="11"/>
      <c r="U910" s="7"/>
      <c r="V910" s="6"/>
      <c r="W910" s="7"/>
      <c r="X910" s="6"/>
      <c r="Y910" s="7"/>
      <c r="AA910" s="6"/>
      <c r="AE910" s="6"/>
      <c r="AH910" s="7"/>
      <c r="AI910" s="6"/>
      <c r="AJ910" s="6"/>
      <c r="AL910" s="6"/>
    </row>
    <row r="911" spans="1:38" hidden="1" x14ac:dyDescent="0.25">
      <c r="A911" s="4"/>
      <c r="C911" s="6">
        <f>_xlfn.XLOOKUP(Table3[[#This Row],[station]],station_waterbody_county!A:A, station_waterbody_county!B:B)</f>
        <v>0</v>
      </c>
      <c r="D911" s="3">
        <f>_xlfn.XLOOKUP(Table3[[#This Row],[station]],station_waterbody_county!A:A, station_waterbody_county!C:C)</f>
        <v>0</v>
      </c>
      <c r="E911" s="6"/>
      <c r="G911" s="12"/>
      <c r="H911" s="5"/>
      <c r="I911" s="4"/>
      <c r="J911" s="5"/>
      <c r="K911" s="10"/>
      <c r="O911" s="6"/>
      <c r="T911" s="11"/>
      <c r="U911" s="7"/>
      <c r="V911" s="6"/>
      <c r="W911" s="7"/>
      <c r="X911" s="6"/>
      <c r="Y911" s="7"/>
      <c r="AA911" s="6"/>
      <c r="AE911" s="6"/>
      <c r="AH911" s="7"/>
      <c r="AI911" s="6"/>
      <c r="AJ911" s="6"/>
      <c r="AL911" s="6"/>
    </row>
    <row r="912" spans="1:38" hidden="1" x14ac:dyDescent="0.25">
      <c r="A912" s="4"/>
      <c r="C912" s="6">
        <f>_xlfn.XLOOKUP(Table3[[#This Row],[station]],station_waterbody_county!A:A, station_waterbody_county!B:B)</f>
        <v>0</v>
      </c>
      <c r="D912" s="3">
        <f>_xlfn.XLOOKUP(Table3[[#This Row],[station]],station_waterbody_county!A:A, station_waterbody_county!C:C)</f>
        <v>0</v>
      </c>
      <c r="E912" s="6"/>
      <c r="G912" s="12"/>
      <c r="H912" s="5"/>
      <c r="I912" s="4"/>
      <c r="J912" s="5"/>
      <c r="K912" s="10"/>
      <c r="O912" s="6"/>
      <c r="T912" s="11"/>
      <c r="U912" s="7"/>
      <c r="V912" s="6"/>
      <c r="W912" s="7"/>
      <c r="X912" s="6"/>
      <c r="Y912" s="7"/>
      <c r="AA912" s="6"/>
      <c r="AE912" s="6"/>
      <c r="AH912" s="7"/>
      <c r="AI912" s="6"/>
      <c r="AJ912" s="6"/>
      <c r="AL912" s="6"/>
    </row>
    <row r="913" spans="1:38" hidden="1" x14ac:dyDescent="0.25">
      <c r="A913" s="4"/>
      <c r="C913" s="6">
        <f>_xlfn.XLOOKUP(Table3[[#This Row],[station]],station_waterbody_county!A:A, station_waterbody_county!B:B)</f>
        <v>0</v>
      </c>
      <c r="D913" s="3">
        <f>_xlfn.XLOOKUP(Table3[[#This Row],[station]],station_waterbody_county!A:A, station_waterbody_county!C:C)</f>
        <v>0</v>
      </c>
      <c r="E913" s="6"/>
      <c r="G913" s="12"/>
      <c r="H913" s="5"/>
      <c r="I913" s="4"/>
      <c r="J913" s="5"/>
      <c r="K913" s="10"/>
      <c r="O913" s="6"/>
      <c r="T913" s="11"/>
      <c r="U913" s="7"/>
      <c r="V913" s="6"/>
      <c r="W913" s="7"/>
      <c r="X913" s="6"/>
      <c r="Y913" s="7"/>
      <c r="AA913" s="6"/>
      <c r="AE913" s="6"/>
      <c r="AH913" s="7"/>
      <c r="AI913" s="6"/>
      <c r="AJ913" s="6"/>
      <c r="AL913" s="6"/>
    </row>
    <row r="914" spans="1:38" hidden="1" x14ac:dyDescent="0.25">
      <c r="A914" s="4"/>
      <c r="C914" s="6">
        <f>_xlfn.XLOOKUP(Table3[[#This Row],[station]],station_waterbody_county!A:A, station_waterbody_county!B:B)</f>
        <v>0</v>
      </c>
      <c r="D914" s="3">
        <f>_xlfn.XLOOKUP(Table3[[#This Row],[station]],station_waterbody_county!A:A, station_waterbody_county!C:C)</f>
        <v>0</v>
      </c>
      <c r="E914" s="6"/>
      <c r="G914" s="12"/>
      <c r="H914" s="5"/>
      <c r="I914" s="4"/>
      <c r="J914" s="5"/>
      <c r="K914" s="10"/>
      <c r="O914" s="6"/>
      <c r="T914" s="11"/>
      <c r="U914" s="7"/>
      <c r="V914" s="6"/>
      <c r="W914" s="7"/>
      <c r="X914" s="6"/>
      <c r="Y914" s="7"/>
      <c r="AA914" s="6"/>
      <c r="AE914" s="6"/>
      <c r="AH914" s="7"/>
      <c r="AI914" s="6"/>
      <c r="AJ914" s="6"/>
      <c r="AL914" s="6"/>
    </row>
    <row r="915" spans="1:38" hidden="1" x14ac:dyDescent="0.25">
      <c r="A915" s="4"/>
      <c r="C915" s="6">
        <f>_xlfn.XLOOKUP(Table3[[#This Row],[station]],station_waterbody_county!A:A, station_waterbody_county!B:B)</f>
        <v>0</v>
      </c>
      <c r="D915" s="3">
        <f>_xlfn.XLOOKUP(Table3[[#This Row],[station]],station_waterbody_county!A:A, station_waterbody_county!C:C)</f>
        <v>0</v>
      </c>
      <c r="E915" s="6"/>
      <c r="G915" s="12"/>
      <c r="H915" s="5"/>
      <c r="I915" s="4"/>
      <c r="J915" s="5"/>
      <c r="K915" s="10"/>
      <c r="O915" s="6"/>
      <c r="T915" s="11"/>
      <c r="U915" s="7"/>
      <c r="V915" s="6"/>
      <c r="W915" s="7"/>
      <c r="X915" s="6"/>
      <c r="Y915" s="7"/>
      <c r="AA915" s="6"/>
      <c r="AE915" s="6"/>
      <c r="AH915" s="7"/>
      <c r="AI915" s="6"/>
      <c r="AJ915" s="6"/>
      <c r="AL915" s="6"/>
    </row>
    <row r="916" spans="1:38" hidden="1" x14ac:dyDescent="0.25">
      <c r="A916" s="4"/>
      <c r="C916" s="6">
        <f>_xlfn.XLOOKUP(Table3[[#This Row],[station]],station_waterbody_county!A:A, station_waterbody_county!B:B)</f>
        <v>0</v>
      </c>
      <c r="D916" s="3">
        <f>_xlfn.XLOOKUP(Table3[[#This Row],[station]],station_waterbody_county!A:A, station_waterbody_county!C:C)</f>
        <v>0</v>
      </c>
      <c r="E916" s="6"/>
      <c r="G916" s="12"/>
      <c r="H916" s="5"/>
      <c r="I916" s="4"/>
      <c r="J916" s="5"/>
      <c r="K916" s="10"/>
      <c r="O916" s="6"/>
      <c r="T916" s="11"/>
      <c r="U916" s="7"/>
      <c r="V916" s="6"/>
      <c r="W916" s="7"/>
      <c r="X916" s="6"/>
      <c r="Y916" s="7"/>
      <c r="AA916" s="6"/>
      <c r="AE916" s="6"/>
      <c r="AH916" s="7"/>
      <c r="AI916" s="6"/>
      <c r="AJ916" s="6"/>
      <c r="AL916" s="6"/>
    </row>
    <row r="917" spans="1:38" hidden="1" x14ac:dyDescent="0.25">
      <c r="A917" s="4"/>
      <c r="C917" s="6">
        <f>_xlfn.XLOOKUP(Table3[[#This Row],[station]],station_waterbody_county!A:A, station_waterbody_county!B:B)</f>
        <v>0</v>
      </c>
      <c r="D917" s="3">
        <f>_xlfn.XLOOKUP(Table3[[#This Row],[station]],station_waterbody_county!A:A, station_waterbody_county!C:C)</f>
        <v>0</v>
      </c>
      <c r="E917" s="6"/>
      <c r="G917" s="12"/>
      <c r="H917" s="5"/>
      <c r="I917" s="4"/>
      <c r="J917" s="5"/>
      <c r="K917" s="10"/>
      <c r="O917" s="6"/>
      <c r="T917" s="11"/>
      <c r="U917" s="7"/>
      <c r="V917" s="6"/>
      <c r="W917" s="7"/>
      <c r="X917" s="6"/>
      <c r="Y917" s="7"/>
      <c r="AA917" s="6"/>
      <c r="AE917" s="6"/>
      <c r="AH917" s="7"/>
      <c r="AI917" s="6"/>
      <c r="AJ917" s="6"/>
      <c r="AL917" s="6"/>
    </row>
    <row r="918" spans="1:38" hidden="1" x14ac:dyDescent="0.25">
      <c r="A918" s="4"/>
      <c r="C918" s="6">
        <f>_xlfn.XLOOKUP(Table3[[#This Row],[station]],station_waterbody_county!A:A, station_waterbody_county!B:B)</f>
        <v>0</v>
      </c>
      <c r="D918" s="3">
        <f>_xlfn.XLOOKUP(Table3[[#This Row],[station]],station_waterbody_county!A:A, station_waterbody_county!C:C)</f>
        <v>0</v>
      </c>
      <c r="E918" s="6"/>
      <c r="G918" s="12"/>
      <c r="H918" s="5"/>
      <c r="I918" s="4"/>
      <c r="J918" s="5"/>
      <c r="K918" s="10"/>
      <c r="O918" s="6"/>
      <c r="T918" s="11"/>
      <c r="U918" s="7"/>
      <c r="V918" s="6"/>
      <c r="W918" s="7"/>
      <c r="X918" s="6"/>
      <c r="Y918" s="7"/>
      <c r="AA918" s="6"/>
      <c r="AE918" s="6"/>
      <c r="AH918" s="7"/>
      <c r="AI918" s="6"/>
      <c r="AJ918" s="6"/>
      <c r="AL918" s="6"/>
    </row>
    <row r="919" spans="1:38" hidden="1" x14ac:dyDescent="0.25">
      <c r="A919" s="4"/>
      <c r="C919" s="6">
        <f>_xlfn.XLOOKUP(Table3[[#This Row],[station]],station_waterbody_county!A:A, station_waterbody_county!B:B)</f>
        <v>0</v>
      </c>
      <c r="D919" s="3">
        <f>_xlfn.XLOOKUP(Table3[[#This Row],[station]],station_waterbody_county!A:A, station_waterbody_county!C:C)</f>
        <v>0</v>
      </c>
      <c r="E919" s="6"/>
      <c r="G919" s="12"/>
      <c r="H919" s="5"/>
      <c r="I919" s="4"/>
      <c r="J919" s="5"/>
      <c r="K919" s="10"/>
      <c r="O919" s="6"/>
      <c r="T919" s="11"/>
      <c r="U919" s="7"/>
      <c r="V919" s="6"/>
      <c r="W919" s="7"/>
      <c r="X919" s="6"/>
      <c r="Y919" s="7"/>
      <c r="AA919" s="6"/>
      <c r="AE919" s="6"/>
      <c r="AH919" s="7"/>
      <c r="AI919" s="6"/>
      <c r="AJ919" s="6"/>
      <c r="AL919" s="6"/>
    </row>
    <row r="920" spans="1:38" hidden="1" x14ac:dyDescent="0.25">
      <c r="A920" s="4"/>
      <c r="C920" s="6">
        <f>_xlfn.XLOOKUP(Table3[[#This Row],[station]],station_waterbody_county!A:A, station_waterbody_county!B:B)</f>
        <v>0</v>
      </c>
      <c r="D920" s="3">
        <f>_xlfn.XLOOKUP(Table3[[#This Row],[station]],station_waterbody_county!A:A, station_waterbody_county!C:C)</f>
        <v>0</v>
      </c>
      <c r="E920" s="6"/>
      <c r="G920" s="12"/>
      <c r="H920" s="5"/>
      <c r="I920" s="4"/>
      <c r="J920" s="5"/>
      <c r="K920" s="10"/>
      <c r="O920" s="6"/>
      <c r="T920" s="11"/>
      <c r="U920" s="7"/>
      <c r="V920" s="6"/>
      <c r="W920" s="7"/>
      <c r="X920" s="6"/>
      <c r="Y920" s="7"/>
      <c r="AA920" s="6"/>
      <c r="AE920" s="6"/>
      <c r="AH920" s="7"/>
      <c r="AI920" s="6"/>
      <c r="AJ920" s="6"/>
      <c r="AL920" s="6"/>
    </row>
    <row r="921" spans="1:38" hidden="1" x14ac:dyDescent="0.25">
      <c r="A921" s="4"/>
      <c r="C921" s="6">
        <f>_xlfn.XLOOKUP(Table3[[#This Row],[station]],station_waterbody_county!A:A, station_waterbody_county!B:B)</f>
        <v>0</v>
      </c>
      <c r="D921" s="3">
        <f>_xlfn.XLOOKUP(Table3[[#This Row],[station]],station_waterbody_county!A:A, station_waterbody_county!C:C)</f>
        <v>0</v>
      </c>
      <c r="E921" s="6"/>
      <c r="G921" s="12"/>
      <c r="H921" s="5"/>
      <c r="I921" s="4"/>
      <c r="J921" s="5"/>
      <c r="K921" s="10"/>
      <c r="O921" s="6"/>
      <c r="T921" s="11"/>
      <c r="U921" s="7"/>
      <c r="V921" s="6"/>
      <c r="W921" s="7"/>
      <c r="X921" s="6"/>
      <c r="Y921" s="7"/>
      <c r="AA921" s="6"/>
      <c r="AE921" s="6"/>
      <c r="AH921" s="7"/>
      <c r="AI921" s="6"/>
      <c r="AJ921" s="6"/>
      <c r="AL921" s="6"/>
    </row>
    <row r="922" spans="1:38" hidden="1" x14ac:dyDescent="0.25">
      <c r="A922" s="4"/>
      <c r="C922" s="6">
        <f>_xlfn.XLOOKUP(Table3[[#This Row],[station]],station_waterbody_county!A:A, station_waterbody_county!B:B)</f>
        <v>0</v>
      </c>
      <c r="D922" s="3">
        <f>_xlfn.XLOOKUP(Table3[[#This Row],[station]],station_waterbody_county!A:A, station_waterbody_county!C:C)</f>
        <v>0</v>
      </c>
      <c r="E922" s="6"/>
      <c r="G922" s="12"/>
      <c r="H922" s="5"/>
      <c r="I922" s="4"/>
      <c r="J922" s="5"/>
      <c r="K922" s="10"/>
      <c r="O922" s="6"/>
      <c r="T922" s="11"/>
      <c r="U922" s="7"/>
      <c r="V922" s="6"/>
      <c r="W922" s="7"/>
      <c r="X922" s="6"/>
      <c r="Y922" s="7"/>
      <c r="AA922" s="6"/>
      <c r="AE922" s="6"/>
      <c r="AH922" s="7"/>
      <c r="AI922" s="6"/>
      <c r="AJ922" s="6"/>
      <c r="AL922" s="6"/>
    </row>
    <row r="923" spans="1:38" hidden="1" x14ac:dyDescent="0.25">
      <c r="A923" s="4"/>
      <c r="C923" s="6">
        <f>_xlfn.XLOOKUP(Table3[[#This Row],[station]],station_waterbody_county!A:A, station_waterbody_county!B:B)</f>
        <v>0</v>
      </c>
      <c r="D923" s="3">
        <f>_xlfn.XLOOKUP(Table3[[#This Row],[station]],station_waterbody_county!A:A, station_waterbody_county!C:C)</f>
        <v>0</v>
      </c>
      <c r="E923" s="6"/>
      <c r="G923" s="12"/>
      <c r="H923" s="5"/>
      <c r="I923" s="4"/>
      <c r="J923" s="5"/>
      <c r="K923" s="10"/>
      <c r="O923" s="6"/>
      <c r="T923" s="11"/>
      <c r="U923" s="7"/>
      <c r="V923" s="6"/>
      <c r="W923" s="7"/>
      <c r="X923" s="6"/>
      <c r="Y923" s="7"/>
      <c r="AA923" s="6"/>
      <c r="AE923" s="6"/>
      <c r="AH923" s="7"/>
      <c r="AI923" s="6"/>
      <c r="AJ923" s="6"/>
      <c r="AL923" s="6"/>
    </row>
    <row r="924" spans="1:38" hidden="1" x14ac:dyDescent="0.25">
      <c r="A924" s="4"/>
      <c r="C924" s="6">
        <f>_xlfn.XLOOKUP(Table3[[#This Row],[station]],station_waterbody_county!A:A, station_waterbody_county!B:B)</f>
        <v>0</v>
      </c>
      <c r="D924" s="3">
        <f>_xlfn.XLOOKUP(Table3[[#This Row],[station]],station_waterbody_county!A:A, station_waterbody_county!C:C)</f>
        <v>0</v>
      </c>
      <c r="E924" s="6"/>
      <c r="G924" s="12"/>
      <c r="H924" s="5"/>
      <c r="I924" s="4"/>
      <c r="J924" s="5"/>
      <c r="K924" s="10"/>
      <c r="O924" s="6"/>
      <c r="T924" s="11"/>
      <c r="U924" s="7"/>
      <c r="V924" s="6"/>
      <c r="W924" s="7"/>
      <c r="X924" s="6"/>
      <c r="Y924" s="7"/>
      <c r="AA924" s="6"/>
      <c r="AE924" s="6"/>
      <c r="AH924" s="7"/>
      <c r="AI924" s="6"/>
      <c r="AJ924" s="6"/>
      <c r="AL924" s="6"/>
    </row>
    <row r="925" spans="1:38" hidden="1" x14ac:dyDescent="0.25">
      <c r="A925" s="4"/>
      <c r="C925" s="6">
        <f>_xlfn.XLOOKUP(Table3[[#This Row],[station]],station_waterbody_county!A:A, station_waterbody_county!B:B)</f>
        <v>0</v>
      </c>
      <c r="D925" s="3">
        <f>_xlfn.XLOOKUP(Table3[[#This Row],[station]],station_waterbody_county!A:A, station_waterbody_county!C:C)</f>
        <v>0</v>
      </c>
      <c r="E925" s="6"/>
      <c r="G925" s="12"/>
      <c r="H925" s="5"/>
      <c r="I925" s="4"/>
      <c r="J925" s="5"/>
      <c r="K925" s="10"/>
      <c r="O925" s="6"/>
      <c r="T925" s="11"/>
      <c r="U925" s="7"/>
      <c r="V925" s="6"/>
      <c r="W925" s="7"/>
      <c r="X925" s="6"/>
      <c r="Y925" s="7"/>
      <c r="AA925" s="6"/>
      <c r="AE925" s="6"/>
      <c r="AH925" s="7"/>
      <c r="AI925" s="6"/>
      <c r="AJ925" s="6"/>
      <c r="AL925" s="6"/>
    </row>
    <row r="926" spans="1:38" hidden="1" x14ac:dyDescent="0.25">
      <c r="A926" s="4"/>
      <c r="C926" s="6">
        <f>_xlfn.XLOOKUP(Table3[[#This Row],[station]],station_waterbody_county!A:A, station_waterbody_county!B:B)</f>
        <v>0</v>
      </c>
      <c r="D926" s="3">
        <f>_xlfn.XLOOKUP(Table3[[#This Row],[station]],station_waterbody_county!A:A, station_waterbody_county!C:C)</f>
        <v>0</v>
      </c>
      <c r="E926" s="6"/>
      <c r="G926" s="12"/>
      <c r="H926" s="5"/>
      <c r="I926" s="4"/>
      <c r="J926" s="5"/>
      <c r="K926" s="10"/>
      <c r="O926" s="6"/>
      <c r="T926" s="11"/>
      <c r="U926" s="7"/>
      <c r="V926" s="6"/>
      <c r="W926" s="7"/>
      <c r="X926" s="6"/>
      <c r="Y926" s="7"/>
      <c r="AA926" s="6"/>
      <c r="AE926" s="6"/>
      <c r="AH926" s="7"/>
      <c r="AI926" s="6"/>
      <c r="AJ926" s="6"/>
      <c r="AL926" s="6"/>
    </row>
    <row r="927" spans="1:38" hidden="1" x14ac:dyDescent="0.25">
      <c r="A927" s="4"/>
      <c r="C927" s="6">
        <f>_xlfn.XLOOKUP(Table3[[#This Row],[station]],station_waterbody_county!A:A, station_waterbody_county!B:B)</f>
        <v>0</v>
      </c>
      <c r="D927" s="3">
        <f>_xlfn.XLOOKUP(Table3[[#This Row],[station]],station_waterbody_county!A:A, station_waterbody_county!C:C)</f>
        <v>0</v>
      </c>
      <c r="E927" s="6"/>
      <c r="G927" s="12"/>
      <c r="H927" s="5"/>
      <c r="I927" s="4"/>
      <c r="J927" s="5"/>
      <c r="K927" s="10"/>
      <c r="O927" s="6"/>
      <c r="T927" s="11"/>
      <c r="U927" s="7"/>
      <c r="V927" s="6"/>
      <c r="W927" s="7"/>
      <c r="X927" s="6"/>
      <c r="Y927" s="7"/>
      <c r="AA927" s="6"/>
      <c r="AE927" s="6"/>
      <c r="AH927" s="7"/>
      <c r="AI927" s="6"/>
      <c r="AJ927" s="6"/>
      <c r="AL927" s="6"/>
    </row>
    <row r="928" spans="1:38" hidden="1" x14ac:dyDescent="0.25">
      <c r="A928" s="4"/>
      <c r="C928" s="6">
        <f>_xlfn.XLOOKUP(Table3[[#This Row],[station]],station_waterbody_county!A:A, station_waterbody_county!B:B)</f>
        <v>0</v>
      </c>
      <c r="D928" s="3">
        <f>_xlfn.XLOOKUP(Table3[[#This Row],[station]],station_waterbody_county!A:A, station_waterbody_county!C:C)</f>
        <v>0</v>
      </c>
      <c r="E928" s="6"/>
      <c r="G928" s="12"/>
      <c r="H928" s="5"/>
      <c r="I928" s="4"/>
      <c r="J928" s="5"/>
      <c r="K928" s="10"/>
      <c r="O928" s="6"/>
      <c r="T928" s="11"/>
      <c r="U928" s="7"/>
      <c r="V928" s="6"/>
      <c r="W928" s="7"/>
      <c r="X928" s="6"/>
      <c r="Y928" s="7"/>
      <c r="AA928" s="6"/>
      <c r="AE928" s="6"/>
      <c r="AH928" s="7"/>
      <c r="AI928" s="6"/>
      <c r="AJ928" s="6"/>
      <c r="AL928" s="6"/>
    </row>
    <row r="929" spans="1:38" hidden="1" x14ac:dyDescent="0.25">
      <c r="A929" s="4"/>
      <c r="C929" s="6">
        <f>_xlfn.XLOOKUP(Table3[[#This Row],[station]],station_waterbody_county!A:A, station_waterbody_county!B:B)</f>
        <v>0</v>
      </c>
      <c r="D929" s="3">
        <f>_xlfn.XLOOKUP(Table3[[#This Row],[station]],station_waterbody_county!A:A, station_waterbody_county!C:C)</f>
        <v>0</v>
      </c>
      <c r="E929" s="6"/>
      <c r="G929" s="12"/>
      <c r="H929" s="5"/>
      <c r="I929" s="4"/>
      <c r="J929" s="5"/>
      <c r="K929" s="10"/>
      <c r="O929" s="6"/>
      <c r="T929" s="11"/>
      <c r="U929" s="7"/>
      <c r="V929" s="6"/>
      <c r="W929" s="7"/>
      <c r="X929" s="6"/>
      <c r="Y929" s="7"/>
      <c r="AA929" s="6"/>
      <c r="AE929" s="6"/>
      <c r="AH929" s="7"/>
      <c r="AI929" s="6"/>
      <c r="AJ929" s="6"/>
      <c r="AL929" s="6"/>
    </row>
    <row r="930" spans="1:38" hidden="1" x14ac:dyDescent="0.25">
      <c r="A930" s="4"/>
      <c r="C930" s="6">
        <f>_xlfn.XLOOKUP(Table3[[#This Row],[station]],station_waterbody_county!A:A, station_waterbody_county!B:B)</f>
        <v>0</v>
      </c>
      <c r="D930" s="3">
        <f>_xlfn.XLOOKUP(Table3[[#This Row],[station]],station_waterbody_county!A:A, station_waterbody_county!C:C)</f>
        <v>0</v>
      </c>
      <c r="E930" s="6"/>
      <c r="G930" s="12"/>
      <c r="H930" s="5"/>
      <c r="I930" s="4"/>
      <c r="J930" s="5"/>
      <c r="K930" s="10"/>
      <c r="O930" s="6"/>
      <c r="T930" s="11"/>
      <c r="U930" s="7"/>
      <c r="V930" s="6"/>
      <c r="W930" s="7"/>
      <c r="X930" s="6"/>
      <c r="Y930" s="7"/>
      <c r="AA930" s="6"/>
      <c r="AE930" s="6"/>
      <c r="AH930" s="7"/>
      <c r="AI930" s="6"/>
      <c r="AJ930" s="6"/>
      <c r="AL930" s="6"/>
    </row>
    <row r="931" spans="1:38" hidden="1" x14ac:dyDescent="0.25">
      <c r="A931" s="4"/>
      <c r="C931" s="6">
        <f>_xlfn.XLOOKUP(Table3[[#This Row],[station]],station_waterbody_county!A:A, station_waterbody_county!B:B)</f>
        <v>0</v>
      </c>
      <c r="D931" s="3">
        <f>_xlfn.XLOOKUP(Table3[[#This Row],[station]],station_waterbody_county!A:A, station_waterbody_county!C:C)</f>
        <v>0</v>
      </c>
      <c r="E931" s="6"/>
      <c r="G931" s="12"/>
      <c r="H931" s="5"/>
      <c r="I931" s="4"/>
      <c r="J931" s="5"/>
      <c r="K931" s="10"/>
      <c r="O931" s="6"/>
      <c r="T931" s="11"/>
      <c r="U931" s="7"/>
      <c r="V931" s="6"/>
      <c r="W931" s="7"/>
      <c r="X931" s="6"/>
      <c r="Y931" s="7"/>
      <c r="AA931" s="6"/>
      <c r="AE931" s="6"/>
      <c r="AH931" s="7"/>
      <c r="AI931" s="6"/>
      <c r="AJ931" s="6"/>
      <c r="AL931" s="6"/>
    </row>
    <row r="932" spans="1:38" hidden="1" x14ac:dyDescent="0.25">
      <c r="A932" s="4"/>
      <c r="C932" s="6">
        <f>_xlfn.XLOOKUP(Table3[[#This Row],[station]],station_waterbody_county!A:A, station_waterbody_county!B:B)</f>
        <v>0</v>
      </c>
      <c r="D932" s="3">
        <f>_xlfn.XLOOKUP(Table3[[#This Row],[station]],station_waterbody_county!A:A, station_waterbody_county!C:C)</f>
        <v>0</v>
      </c>
      <c r="E932" s="6"/>
      <c r="G932" s="12"/>
      <c r="H932" s="5"/>
      <c r="I932" s="4"/>
      <c r="J932" s="5"/>
      <c r="K932" s="10"/>
      <c r="O932" s="6"/>
      <c r="T932" s="11"/>
      <c r="U932" s="7"/>
      <c r="V932" s="6"/>
      <c r="W932" s="7"/>
      <c r="X932" s="6"/>
      <c r="Y932" s="7"/>
      <c r="AA932" s="6"/>
      <c r="AE932" s="6"/>
      <c r="AH932" s="7"/>
      <c r="AI932" s="6"/>
      <c r="AJ932" s="6"/>
      <c r="AL932" s="6"/>
    </row>
    <row r="933" spans="1:38" hidden="1" x14ac:dyDescent="0.25">
      <c r="A933" s="4"/>
      <c r="C933" s="6">
        <f>_xlfn.XLOOKUP(Table3[[#This Row],[station]],station_waterbody_county!A:A, station_waterbody_county!B:B)</f>
        <v>0</v>
      </c>
      <c r="D933" s="3">
        <f>_xlfn.XLOOKUP(Table3[[#This Row],[station]],station_waterbody_county!A:A, station_waterbody_county!C:C)</f>
        <v>0</v>
      </c>
      <c r="E933" s="6"/>
      <c r="G933" s="12"/>
      <c r="H933" s="5"/>
      <c r="I933" s="4"/>
      <c r="J933" s="5"/>
      <c r="K933" s="10"/>
      <c r="O933" s="6"/>
      <c r="T933" s="11"/>
      <c r="U933" s="7"/>
      <c r="V933" s="6"/>
      <c r="W933" s="7"/>
      <c r="X933" s="6"/>
      <c r="Y933" s="7"/>
      <c r="AA933" s="6"/>
      <c r="AE933" s="6"/>
      <c r="AH933" s="7"/>
      <c r="AI933" s="6"/>
      <c r="AJ933" s="6"/>
      <c r="AL933" s="6"/>
    </row>
    <row r="934" spans="1:38" hidden="1" x14ac:dyDescent="0.25">
      <c r="A934" s="4"/>
      <c r="C934" s="6">
        <f>_xlfn.XLOOKUP(Table3[[#This Row],[station]],station_waterbody_county!A:A, station_waterbody_county!B:B)</f>
        <v>0</v>
      </c>
      <c r="D934" s="3">
        <f>_xlfn.XLOOKUP(Table3[[#This Row],[station]],station_waterbody_county!A:A, station_waterbody_county!C:C)</f>
        <v>0</v>
      </c>
      <c r="E934" s="6"/>
      <c r="G934" s="12"/>
      <c r="H934" s="5"/>
      <c r="I934" s="4"/>
      <c r="J934" s="5"/>
      <c r="K934" s="10"/>
      <c r="O934" s="6"/>
      <c r="T934" s="11"/>
      <c r="U934" s="7"/>
      <c r="V934" s="6"/>
      <c r="W934" s="7"/>
      <c r="X934" s="6"/>
      <c r="Y934" s="7"/>
      <c r="AA934" s="6"/>
      <c r="AE934" s="6"/>
      <c r="AH934" s="7"/>
      <c r="AI934" s="6"/>
      <c r="AJ934" s="6"/>
      <c r="AL934" s="6"/>
    </row>
    <row r="935" spans="1:38" hidden="1" x14ac:dyDescent="0.25">
      <c r="A935" s="4"/>
      <c r="C935" s="6">
        <f>_xlfn.XLOOKUP(Table3[[#This Row],[station]],station_waterbody_county!A:A, station_waterbody_county!B:B)</f>
        <v>0</v>
      </c>
      <c r="D935" s="3">
        <f>_xlfn.XLOOKUP(Table3[[#This Row],[station]],station_waterbody_county!A:A, station_waterbody_county!C:C)</f>
        <v>0</v>
      </c>
      <c r="E935" s="6"/>
      <c r="G935" s="12"/>
      <c r="H935" s="5"/>
      <c r="I935" s="4"/>
      <c r="J935" s="5"/>
      <c r="K935" s="10"/>
      <c r="O935" s="6"/>
      <c r="T935" s="11"/>
      <c r="U935" s="7"/>
      <c r="V935" s="6"/>
      <c r="W935" s="7"/>
      <c r="X935" s="6"/>
      <c r="Y935" s="7"/>
      <c r="AA935" s="6"/>
      <c r="AE935" s="6"/>
      <c r="AH935" s="7"/>
      <c r="AI935" s="6"/>
      <c r="AJ935" s="6"/>
      <c r="AL935" s="6"/>
    </row>
    <row r="936" spans="1:38" hidden="1" x14ac:dyDescent="0.25">
      <c r="A936" s="4"/>
      <c r="C936" s="6">
        <f>_xlfn.XLOOKUP(Table3[[#This Row],[station]],station_waterbody_county!A:A, station_waterbody_county!B:B)</f>
        <v>0</v>
      </c>
      <c r="D936" s="3">
        <f>_xlfn.XLOOKUP(Table3[[#This Row],[station]],station_waterbody_county!A:A, station_waterbody_county!C:C)</f>
        <v>0</v>
      </c>
      <c r="E936" s="6"/>
      <c r="G936" s="12"/>
      <c r="H936" s="5"/>
      <c r="I936" s="4"/>
      <c r="J936" s="5"/>
      <c r="K936" s="10"/>
      <c r="O936" s="6"/>
      <c r="T936" s="11"/>
      <c r="U936" s="7"/>
      <c r="V936" s="6"/>
      <c r="W936" s="7"/>
      <c r="X936" s="6"/>
      <c r="Y936" s="7"/>
      <c r="AA936" s="6"/>
      <c r="AE936" s="6"/>
      <c r="AH936" s="7"/>
      <c r="AI936" s="6"/>
      <c r="AJ936" s="6"/>
      <c r="AL936" s="6"/>
    </row>
    <row r="937" spans="1:38" hidden="1" x14ac:dyDescent="0.25">
      <c r="A937" s="4"/>
      <c r="C937" s="6">
        <f>_xlfn.XLOOKUP(Table3[[#This Row],[station]],station_waterbody_county!A:A, station_waterbody_county!B:B)</f>
        <v>0</v>
      </c>
      <c r="D937" s="3">
        <f>_xlfn.XLOOKUP(Table3[[#This Row],[station]],station_waterbody_county!A:A, station_waterbody_county!C:C)</f>
        <v>0</v>
      </c>
      <c r="E937" s="6"/>
      <c r="G937" s="12"/>
      <c r="H937" s="5"/>
      <c r="I937" s="4"/>
      <c r="J937" s="5"/>
      <c r="K937" s="10"/>
      <c r="O937" s="6"/>
      <c r="T937" s="11"/>
      <c r="U937" s="7"/>
      <c r="V937" s="6"/>
      <c r="W937" s="7"/>
      <c r="X937" s="6"/>
      <c r="Y937" s="7"/>
      <c r="AA937" s="6"/>
      <c r="AE937" s="6"/>
      <c r="AH937" s="7"/>
      <c r="AI937" s="6"/>
      <c r="AJ937" s="6"/>
      <c r="AL937" s="6"/>
    </row>
    <row r="938" spans="1:38" hidden="1" x14ac:dyDescent="0.25">
      <c r="A938" s="4"/>
      <c r="C938" s="6">
        <f>_xlfn.XLOOKUP(Table3[[#This Row],[station]],station_waterbody_county!A:A, station_waterbody_county!B:B)</f>
        <v>0</v>
      </c>
      <c r="D938" s="3">
        <f>_xlfn.XLOOKUP(Table3[[#This Row],[station]],station_waterbody_county!A:A, station_waterbody_county!C:C)</f>
        <v>0</v>
      </c>
      <c r="E938" s="6"/>
      <c r="G938" s="12"/>
      <c r="H938" s="5"/>
      <c r="I938" s="4"/>
      <c r="J938" s="5"/>
      <c r="K938" s="10"/>
      <c r="O938" s="6"/>
      <c r="T938" s="11"/>
      <c r="U938" s="7"/>
      <c r="V938" s="6"/>
      <c r="W938" s="7"/>
      <c r="X938" s="6"/>
      <c r="Y938" s="7"/>
      <c r="AA938" s="6"/>
      <c r="AE938" s="6"/>
      <c r="AH938" s="7"/>
      <c r="AI938" s="6"/>
      <c r="AJ938" s="6"/>
      <c r="AL938" s="6"/>
    </row>
    <row r="939" spans="1:38" hidden="1" x14ac:dyDescent="0.25">
      <c r="A939" s="4"/>
      <c r="C939" s="6">
        <f>_xlfn.XLOOKUP(Table3[[#This Row],[station]],station_waterbody_county!A:A, station_waterbody_county!B:B)</f>
        <v>0</v>
      </c>
      <c r="D939" s="3">
        <f>_xlfn.XLOOKUP(Table3[[#This Row],[station]],station_waterbody_county!A:A, station_waterbody_county!C:C)</f>
        <v>0</v>
      </c>
      <c r="E939" s="6"/>
      <c r="G939" s="12"/>
      <c r="H939" s="5"/>
      <c r="I939" s="4"/>
      <c r="J939" s="5"/>
      <c r="K939" s="10"/>
      <c r="O939" s="6"/>
      <c r="T939" s="11"/>
      <c r="U939" s="7"/>
      <c r="V939" s="6"/>
      <c r="W939" s="7"/>
      <c r="X939" s="6"/>
      <c r="Y939" s="7"/>
      <c r="AA939" s="6"/>
      <c r="AE939" s="6"/>
      <c r="AH939" s="7"/>
      <c r="AI939" s="6"/>
      <c r="AJ939" s="6"/>
      <c r="AL939" s="6"/>
    </row>
    <row r="940" spans="1:38" hidden="1" x14ac:dyDescent="0.25">
      <c r="A940" s="4"/>
      <c r="C940" s="6">
        <f>_xlfn.XLOOKUP(Table3[[#This Row],[station]],station_waterbody_county!A:A, station_waterbody_county!B:B)</f>
        <v>0</v>
      </c>
      <c r="D940" s="3">
        <f>_xlfn.XLOOKUP(Table3[[#This Row],[station]],station_waterbody_county!A:A, station_waterbody_county!C:C)</f>
        <v>0</v>
      </c>
      <c r="E940" s="6"/>
      <c r="G940" s="12"/>
      <c r="H940" s="5"/>
      <c r="I940" s="4"/>
      <c r="J940" s="5"/>
      <c r="K940" s="10"/>
      <c r="O940" s="6"/>
      <c r="T940" s="11"/>
      <c r="U940" s="7"/>
      <c r="V940" s="6"/>
      <c r="W940" s="7"/>
      <c r="X940" s="6"/>
      <c r="Y940" s="7"/>
      <c r="AA940" s="6"/>
      <c r="AE940" s="6"/>
      <c r="AH940" s="7"/>
      <c r="AI940" s="6"/>
      <c r="AJ940" s="6"/>
      <c r="AL940" s="6"/>
    </row>
    <row r="941" spans="1:38" hidden="1" x14ac:dyDescent="0.25">
      <c r="A941" s="4"/>
      <c r="C941" s="6">
        <f>_xlfn.XLOOKUP(Table3[[#This Row],[station]],station_waterbody_county!A:A, station_waterbody_county!B:B)</f>
        <v>0</v>
      </c>
      <c r="D941" s="3">
        <f>_xlfn.XLOOKUP(Table3[[#This Row],[station]],station_waterbody_county!A:A, station_waterbody_county!C:C)</f>
        <v>0</v>
      </c>
      <c r="E941" s="6"/>
      <c r="G941" s="12"/>
      <c r="H941" s="5"/>
      <c r="I941" s="4"/>
      <c r="J941" s="5"/>
      <c r="K941" s="10"/>
      <c r="O941" s="6"/>
      <c r="T941" s="11"/>
      <c r="U941" s="7"/>
      <c r="V941" s="6"/>
      <c r="W941" s="7"/>
      <c r="X941" s="6"/>
      <c r="Y941" s="7"/>
      <c r="AA941" s="6"/>
      <c r="AE941" s="6"/>
      <c r="AH941" s="7"/>
      <c r="AI941" s="6"/>
      <c r="AJ941" s="6"/>
      <c r="AL941" s="6"/>
    </row>
    <row r="942" spans="1:38" hidden="1" x14ac:dyDescent="0.25">
      <c r="A942" s="4"/>
      <c r="C942" s="6">
        <f>_xlfn.XLOOKUP(Table3[[#This Row],[station]],station_waterbody_county!A:A, station_waterbody_county!B:B)</f>
        <v>0</v>
      </c>
      <c r="D942" s="3">
        <f>_xlfn.XLOOKUP(Table3[[#This Row],[station]],station_waterbody_county!A:A, station_waterbody_county!C:C)</f>
        <v>0</v>
      </c>
      <c r="E942" s="6"/>
      <c r="G942" s="12"/>
      <c r="H942" s="5"/>
      <c r="I942" s="4"/>
      <c r="J942" s="5"/>
      <c r="K942" s="10"/>
      <c r="O942" s="6"/>
      <c r="T942" s="11"/>
      <c r="U942" s="7"/>
      <c r="V942" s="6"/>
      <c r="W942" s="7"/>
      <c r="X942" s="6"/>
      <c r="Y942" s="7"/>
      <c r="AA942" s="6"/>
      <c r="AE942" s="6"/>
      <c r="AH942" s="7"/>
      <c r="AI942" s="6"/>
      <c r="AJ942" s="6"/>
      <c r="AL942" s="6"/>
    </row>
    <row r="943" spans="1:38" hidden="1" x14ac:dyDescent="0.25">
      <c r="A943" s="4"/>
      <c r="C943" s="6">
        <f>_xlfn.XLOOKUP(Table3[[#This Row],[station]],station_waterbody_county!A:A, station_waterbody_county!B:B)</f>
        <v>0</v>
      </c>
      <c r="D943" s="3">
        <f>_xlfn.XLOOKUP(Table3[[#This Row],[station]],station_waterbody_county!A:A, station_waterbody_county!C:C)</f>
        <v>0</v>
      </c>
      <c r="E943" s="6"/>
      <c r="G943" s="12"/>
      <c r="H943" s="5"/>
      <c r="I943" s="4"/>
      <c r="J943" s="5"/>
      <c r="K943" s="10"/>
      <c r="O943" s="6"/>
      <c r="T943" s="11"/>
      <c r="U943" s="7"/>
      <c r="V943" s="6"/>
      <c r="W943" s="7"/>
      <c r="X943" s="6"/>
      <c r="Y943" s="7"/>
      <c r="AA943" s="6"/>
      <c r="AE943" s="6"/>
      <c r="AH943" s="7"/>
      <c r="AI943" s="6"/>
      <c r="AJ943" s="6"/>
      <c r="AL943" s="6"/>
    </row>
    <row r="944" spans="1:38" hidden="1" x14ac:dyDescent="0.25">
      <c r="A944" s="4"/>
      <c r="C944" s="6">
        <f>_xlfn.XLOOKUP(Table3[[#This Row],[station]],station_waterbody_county!A:A, station_waterbody_county!B:B)</f>
        <v>0</v>
      </c>
      <c r="D944" s="3">
        <f>_xlfn.XLOOKUP(Table3[[#This Row],[station]],station_waterbody_county!A:A, station_waterbody_county!C:C)</f>
        <v>0</v>
      </c>
      <c r="E944" s="6"/>
      <c r="G944" s="12"/>
      <c r="H944" s="5"/>
      <c r="I944" s="4"/>
      <c r="J944" s="5"/>
      <c r="K944" s="10"/>
      <c r="O944" s="6"/>
      <c r="T944" s="11"/>
      <c r="U944" s="7"/>
      <c r="V944" s="6"/>
      <c r="W944" s="7"/>
      <c r="X944" s="6"/>
      <c r="Y944" s="7"/>
      <c r="AA944" s="6"/>
      <c r="AE944" s="6"/>
      <c r="AH944" s="7"/>
      <c r="AI944" s="6"/>
      <c r="AJ944" s="6"/>
      <c r="AL944" s="6"/>
    </row>
    <row r="945" spans="1:38" hidden="1" x14ac:dyDescent="0.25">
      <c r="A945" s="4"/>
      <c r="C945" s="6">
        <f>_xlfn.XLOOKUP(Table3[[#This Row],[station]],station_waterbody_county!A:A, station_waterbody_county!B:B)</f>
        <v>0</v>
      </c>
      <c r="D945" s="3">
        <f>_xlfn.XLOOKUP(Table3[[#This Row],[station]],station_waterbody_county!A:A, station_waterbody_county!C:C)</f>
        <v>0</v>
      </c>
      <c r="E945" s="6"/>
      <c r="G945" s="12"/>
      <c r="H945" s="5"/>
      <c r="I945" s="4"/>
      <c r="J945" s="5"/>
      <c r="K945" s="10"/>
      <c r="O945" s="6"/>
      <c r="T945" s="11"/>
      <c r="U945" s="7"/>
      <c r="V945" s="6"/>
      <c r="W945" s="7"/>
      <c r="X945" s="6"/>
      <c r="Y945" s="7"/>
      <c r="AA945" s="6"/>
      <c r="AE945" s="6"/>
      <c r="AH945" s="7"/>
      <c r="AI945" s="6"/>
      <c r="AJ945" s="6"/>
      <c r="AL945" s="6"/>
    </row>
    <row r="946" spans="1:38" hidden="1" x14ac:dyDescent="0.25">
      <c r="A946" s="4"/>
      <c r="C946" s="6">
        <f>_xlfn.XLOOKUP(Table3[[#This Row],[station]],station_waterbody_county!A:A, station_waterbody_county!B:B)</f>
        <v>0</v>
      </c>
      <c r="D946" s="3">
        <f>_xlfn.XLOOKUP(Table3[[#This Row],[station]],station_waterbody_county!A:A, station_waterbody_county!C:C)</f>
        <v>0</v>
      </c>
      <c r="E946" s="6"/>
      <c r="G946" s="12"/>
      <c r="H946" s="5"/>
      <c r="I946" s="4"/>
      <c r="J946" s="5"/>
      <c r="K946" s="10"/>
      <c r="O946" s="6"/>
      <c r="T946" s="11"/>
      <c r="U946" s="7"/>
      <c r="V946" s="6"/>
      <c r="W946" s="7"/>
      <c r="X946" s="6"/>
      <c r="Y946" s="7"/>
      <c r="AA946" s="6"/>
      <c r="AE946" s="6"/>
      <c r="AH946" s="7"/>
      <c r="AI946" s="6"/>
      <c r="AJ946" s="6"/>
      <c r="AL946" s="6"/>
    </row>
    <row r="947" spans="1:38" hidden="1" x14ac:dyDescent="0.25">
      <c r="A947" s="4"/>
      <c r="C947" s="6">
        <f>_xlfn.XLOOKUP(Table3[[#This Row],[station]],station_waterbody_county!A:A, station_waterbody_county!B:B)</f>
        <v>0</v>
      </c>
      <c r="D947" s="3">
        <f>_xlfn.XLOOKUP(Table3[[#This Row],[station]],station_waterbody_county!A:A, station_waterbody_county!C:C)</f>
        <v>0</v>
      </c>
      <c r="E947" s="6"/>
      <c r="G947" s="12"/>
      <c r="H947" s="5"/>
      <c r="I947" s="4"/>
      <c r="J947" s="5"/>
      <c r="K947" s="10"/>
      <c r="O947" s="6"/>
      <c r="T947" s="11"/>
      <c r="U947" s="7"/>
      <c r="V947" s="6"/>
      <c r="W947" s="7"/>
      <c r="X947" s="6"/>
      <c r="Y947" s="7"/>
      <c r="AA947" s="6"/>
      <c r="AE947" s="6"/>
      <c r="AH947" s="7"/>
      <c r="AI947" s="6"/>
      <c r="AJ947" s="6"/>
      <c r="AL947" s="6"/>
    </row>
    <row r="948" spans="1:38" hidden="1" x14ac:dyDescent="0.25">
      <c r="A948" s="4"/>
      <c r="C948" s="6">
        <f>_xlfn.XLOOKUP(Table3[[#This Row],[station]],station_waterbody_county!A:A, station_waterbody_county!B:B)</f>
        <v>0</v>
      </c>
      <c r="D948" s="3">
        <f>_xlfn.XLOOKUP(Table3[[#This Row],[station]],station_waterbody_county!A:A, station_waterbody_county!C:C)</f>
        <v>0</v>
      </c>
      <c r="E948" s="6"/>
      <c r="G948" s="12"/>
      <c r="H948" s="5"/>
      <c r="I948" s="4"/>
      <c r="J948" s="5"/>
      <c r="K948" s="10"/>
      <c r="O948" s="6"/>
      <c r="T948" s="11"/>
      <c r="U948" s="7"/>
      <c r="V948" s="6"/>
      <c r="W948" s="7"/>
      <c r="X948" s="6"/>
      <c r="Y948" s="7"/>
      <c r="AA948" s="6"/>
      <c r="AE948" s="6"/>
      <c r="AH948" s="7"/>
      <c r="AI948" s="6"/>
      <c r="AJ948" s="6"/>
      <c r="AL948" s="6"/>
    </row>
    <row r="949" spans="1:38" hidden="1" x14ac:dyDescent="0.25">
      <c r="A949" s="4"/>
      <c r="C949" s="6">
        <f>_xlfn.XLOOKUP(Table3[[#This Row],[station]],station_waterbody_county!A:A, station_waterbody_county!B:B)</f>
        <v>0</v>
      </c>
      <c r="D949" s="3">
        <f>_xlfn.XLOOKUP(Table3[[#This Row],[station]],station_waterbody_county!A:A, station_waterbody_county!C:C)</f>
        <v>0</v>
      </c>
      <c r="E949" s="6"/>
      <c r="G949" s="12"/>
      <c r="H949" s="5"/>
      <c r="I949" s="4"/>
      <c r="J949" s="5"/>
      <c r="K949" s="10"/>
      <c r="O949" s="6"/>
      <c r="T949" s="11"/>
      <c r="U949" s="7"/>
      <c r="V949" s="6"/>
      <c r="W949" s="7"/>
      <c r="X949" s="6"/>
      <c r="Y949" s="7"/>
      <c r="AA949" s="6"/>
      <c r="AE949" s="6"/>
      <c r="AH949" s="7"/>
      <c r="AI949" s="6"/>
      <c r="AJ949" s="6"/>
      <c r="AL949" s="6"/>
    </row>
    <row r="950" spans="1:38" hidden="1" x14ac:dyDescent="0.25">
      <c r="A950" s="4"/>
      <c r="C950" s="6">
        <f>_xlfn.XLOOKUP(Table3[[#This Row],[station]],station_waterbody_county!A:A, station_waterbody_county!B:B)</f>
        <v>0</v>
      </c>
      <c r="D950" s="3">
        <f>_xlfn.XLOOKUP(Table3[[#This Row],[station]],station_waterbody_county!A:A, station_waterbody_county!C:C)</f>
        <v>0</v>
      </c>
      <c r="E950" s="6"/>
      <c r="G950" s="12"/>
      <c r="H950" s="5"/>
      <c r="I950" s="4"/>
      <c r="J950" s="5"/>
      <c r="K950" s="10"/>
      <c r="O950" s="6"/>
      <c r="T950" s="11"/>
      <c r="U950" s="7"/>
      <c r="V950" s="6"/>
      <c r="W950" s="7"/>
      <c r="X950" s="6"/>
      <c r="Y950" s="7"/>
      <c r="AA950" s="6"/>
      <c r="AE950" s="6"/>
      <c r="AH950" s="7"/>
      <c r="AI950" s="6"/>
      <c r="AJ950" s="6"/>
      <c r="AL950" s="6"/>
    </row>
    <row r="951" spans="1:38" hidden="1" x14ac:dyDescent="0.25">
      <c r="A951" s="4"/>
      <c r="C951" s="6">
        <f>_xlfn.XLOOKUP(Table3[[#This Row],[station]],station_waterbody_county!A:A, station_waterbody_county!B:B)</f>
        <v>0</v>
      </c>
      <c r="D951" s="3">
        <f>_xlfn.XLOOKUP(Table3[[#This Row],[station]],station_waterbody_county!A:A, station_waterbody_county!C:C)</f>
        <v>0</v>
      </c>
      <c r="E951" s="6"/>
      <c r="G951" s="12"/>
      <c r="H951" s="5"/>
      <c r="I951" s="4"/>
      <c r="J951" s="5"/>
      <c r="K951" s="10"/>
      <c r="O951" s="6"/>
      <c r="T951" s="11"/>
      <c r="U951" s="7"/>
      <c r="V951" s="6"/>
      <c r="W951" s="7"/>
      <c r="X951" s="6"/>
      <c r="Y951" s="7"/>
      <c r="AA951" s="6"/>
      <c r="AE951" s="6"/>
      <c r="AH951" s="7"/>
      <c r="AI951" s="6"/>
      <c r="AJ951" s="6"/>
      <c r="AL951" s="6"/>
    </row>
    <row r="952" spans="1:38" hidden="1" x14ac:dyDescent="0.25">
      <c r="A952" s="4"/>
      <c r="C952" s="6">
        <f>_xlfn.XLOOKUP(Table3[[#This Row],[station]],station_waterbody_county!A:A, station_waterbody_county!B:B)</f>
        <v>0</v>
      </c>
      <c r="D952" s="3">
        <f>_xlfn.XLOOKUP(Table3[[#This Row],[station]],station_waterbody_county!A:A, station_waterbody_county!C:C)</f>
        <v>0</v>
      </c>
      <c r="E952" s="6"/>
      <c r="G952" s="12"/>
      <c r="H952" s="5"/>
      <c r="I952" s="4"/>
      <c r="J952" s="5"/>
      <c r="K952" s="10"/>
      <c r="O952" s="6"/>
      <c r="T952" s="11"/>
      <c r="U952" s="7"/>
      <c r="V952" s="6"/>
      <c r="W952" s="7"/>
      <c r="X952" s="6"/>
      <c r="Y952" s="7"/>
      <c r="AA952" s="6"/>
      <c r="AE952" s="6"/>
      <c r="AH952" s="7"/>
      <c r="AI952" s="6"/>
      <c r="AJ952" s="6"/>
      <c r="AL952" s="6"/>
    </row>
    <row r="953" spans="1:38" hidden="1" x14ac:dyDescent="0.25">
      <c r="A953" s="4"/>
      <c r="C953" s="6">
        <f>_xlfn.XLOOKUP(Table3[[#This Row],[station]],station_waterbody_county!A:A, station_waterbody_county!B:B)</f>
        <v>0</v>
      </c>
      <c r="D953" s="3">
        <f>_xlfn.XLOOKUP(Table3[[#This Row],[station]],station_waterbody_county!A:A, station_waterbody_county!C:C)</f>
        <v>0</v>
      </c>
      <c r="E953" s="6"/>
      <c r="G953" s="12"/>
      <c r="H953" s="5"/>
      <c r="I953" s="4"/>
      <c r="J953" s="5"/>
      <c r="K953" s="10"/>
      <c r="O953" s="6"/>
      <c r="T953" s="11"/>
      <c r="U953" s="7"/>
      <c r="V953" s="6"/>
      <c r="W953" s="7"/>
      <c r="X953" s="6"/>
      <c r="Y953" s="7"/>
      <c r="AA953" s="6"/>
      <c r="AE953" s="6"/>
      <c r="AH953" s="7"/>
      <c r="AI953" s="6"/>
      <c r="AJ953" s="6"/>
      <c r="AL953" s="6"/>
    </row>
    <row r="954" spans="1:38" hidden="1" x14ac:dyDescent="0.25">
      <c r="A954" s="4"/>
      <c r="C954" s="6">
        <f>_xlfn.XLOOKUP(Table3[[#This Row],[station]],station_waterbody_county!A:A, station_waterbody_county!B:B)</f>
        <v>0</v>
      </c>
      <c r="D954" s="3">
        <f>_xlfn.XLOOKUP(Table3[[#This Row],[station]],station_waterbody_county!A:A, station_waterbody_county!C:C)</f>
        <v>0</v>
      </c>
      <c r="E954" s="6"/>
      <c r="G954" s="12"/>
      <c r="H954" s="5"/>
      <c r="I954" s="4"/>
      <c r="J954" s="5"/>
      <c r="K954" s="10"/>
      <c r="O954" s="6"/>
      <c r="T954" s="11"/>
      <c r="U954" s="7"/>
      <c r="V954" s="6"/>
      <c r="W954" s="7"/>
      <c r="X954" s="6"/>
      <c r="Y954" s="7"/>
      <c r="AA954" s="6"/>
      <c r="AE954" s="6"/>
      <c r="AH954" s="7"/>
      <c r="AI954" s="6"/>
      <c r="AJ954" s="6"/>
      <c r="AL954" s="6"/>
    </row>
    <row r="955" spans="1:38" hidden="1" x14ac:dyDescent="0.25">
      <c r="A955" s="4"/>
      <c r="C955" s="6">
        <f>_xlfn.XLOOKUP(Table3[[#This Row],[station]],station_waterbody_county!A:A, station_waterbody_county!B:B)</f>
        <v>0</v>
      </c>
      <c r="D955" s="3">
        <f>_xlfn.XLOOKUP(Table3[[#This Row],[station]],station_waterbody_county!A:A, station_waterbody_county!C:C)</f>
        <v>0</v>
      </c>
      <c r="E955" s="6"/>
      <c r="G955" s="12"/>
      <c r="H955" s="5"/>
      <c r="I955" s="4"/>
      <c r="J955" s="5"/>
      <c r="K955" s="10"/>
      <c r="O955" s="6"/>
      <c r="T955" s="11"/>
      <c r="U955" s="7"/>
      <c r="V955" s="6"/>
      <c r="W955" s="7"/>
      <c r="X955" s="6"/>
      <c r="Y955" s="7"/>
      <c r="AA955" s="6"/>
      <c r="AE955" s="6"/>
      <c r="AH955" s="7"/>
      <c r="AI955" s="6"/>
      <c r="AJ955" s="6"/>
      <c r="AL955" s="6"/>
    </row>
    <row r="956" spans="1:38" hidden="1" x14ac:dyDescent="0.25">
      <c r="A956" s="4"/>
      <c r="C956" s="6">
        <f>_xlfn.XLOOKUP(Table3[[#This Row],[station]],station_waterbody_county!A:A, station_waterbody_county!B:B)</f>
        <v>0</v>
      </c>
      <c r="D956" s="3">
        <f>_xlfn.XLOOKUP(Table3[[#This Row],[station]],station_waterbody_county!A:A, station_waterbody_county!C:C)</f>
        <v>0</v>
      </c>
      <c r="E956" s="6"/>
      <c r="G956" s="12"/>
      <c r="H956" s="5"/>
      <c r="I956" s="4"/>
      <c r="J956" s="5"/>
      <c r="K956" s="10"/>
      <c r="O956" s="6"/>
      <c r="T956" s="11"/>
      <c r="U956" s="7"/>
      <c r="V956" s="6"/>
      <c r="W956" s="7"/>
      <c r="X956" s="6"/>
      <c r="Y956" s="7"/>
      <c r="AA956" s="6"/>
      <c r="AE956" s="6"/>
      <c r="AH956" s="7"/>
      <c r="AI956" s="6"/>
      <c r="AJ956" s="6"/>
      <c r="AL956" s="6"/>
    </row>
    <row r="957" spans="1:38" hidden="1" x14ac:dyDescent="0.25">
      <c r="A957" s="4"/>
      <c r="C957" s="6">
        <f>_xlfn.XLOOKUP(Table3[[#This Row],[station]],station_waterbody_county!A:A, station_waterbody_county!B:B)</f>
        <v>0</v>
      </c>
      <c r="D957" s="3">
        <f>_xlfn.XLOOKUP(Table3[[#This Row],[station]],station_waterbody_county!A:A, station_waterbody_county!C:C)</f>
        <v>0</v>
      </c>
      <c r="E957" s="6"/>
      <c r="G957" s="12"/>
      <c r="H957" s="5"/>
      <c r="I957" s="4"/>
      <c r="J957" s="5"/>
      <c r="K957" s="10"/>
      <c r="O957" s="6"/>
      <c r="T957" s="11"/>
      <c r="U957" s="7"/>
      <c r="V957" s="6"/>
      <c r="W957" s="7"/>
      <c r="X957" s="6"/>
      <c r="Y957" s="7"/>
      <c r="AA957" s="6"/>
      <c r="AE957" s="6"/>
      <c r="AH957" s="7"/>
      <c r="AI957" s="6"/>
      <c r="AJ957" s="6"/>
      <c r="AL957" s="6"/>
    </row>
    <row r="958" spans="1:38" hidden="1" x14ac:dyDescent="0.25">
      <c r="A958" s="4"/>
      <c r="C958" s="6">
        <f>_xlfn.XLOOKUP(Table3[[#This Row],[station]],station_waterbody_county!A:A, station_waterbody_county!B:B)</f>
        <v>0</v>
      </c>
      <c r="D958" s="3">
        <f>_xlfn.XLOOKUP(Table3[[#This Row],[station]],station_waterbody_county!A:A, station_waterbody_county!C:C)</f>
        <v>0</v>
      </c>
      <c r="E958" s="6"/>
      <c r="G958" s="12"/>
      <c r="H958" s="5"/>
      <c r="I958" s="4"/>
      <c r="J958" s="5"/>
      <c r="K958" s="10"/>
      <c r="O958" s="6"/>
      <c r="T958" s="11"/>
      <c r="U958" s="7"/>
      <c r="V958" s="6"/>
      <c r="W958" s="7"/>
      <c r="X958" s="6"/>
      <c r="Y958" s="7"/>
      <c r="AA958" s="6"/>
      <c r="AE958" s="6"/>
      <c r="AH958" s="7"/>
      <c r="AI958" s="6"/>
      <c r="AJ958" s="6"/>
      <c r="AL958" s="6"/>
    </row>
    <row r="959" spans="1:38" hidden="1" x14ac:dyDescent="0.25">
      <c r="A959" s="4"/>
      <c r="C959" s="6">
        <f>_xlfn.XLOOKUP(Table3[[#This Row],[station]],station_waterbody_county!A:A, station_waterbody_county!B:B)</f>
        <v>0</v>
      </c>
      <c r="D959" s="3">
        <f>_xlfn.XLOOKUP(Table3[[#This Row],[station]],station_waterbody_county!A:A, station_waterbody_county!C:C)</f>
        <v>0</v>
      </c>
      <c r="E959" s="6"/>
      <c r="G959" s="12"/>
      <c r="H959" s="5"/>
      <c r="I959" s="4"/>
      <c r="J959" s="5"/>
      <c r="K959" s="10"/>
      <c r="O959" s="6"/>
      <c r="T959" s="11"/>
      <c r="U959" s="7"/>
      <c r="V959" s="6"/>
      <c r="W959" s="7"/>
      <c r="X959" s="6"/>
      <c r="Y959" s="7"/>
      <c r="AA959" s="6"/>
      <c r="AE959" s="6"/>
      <c r="AH959" s="7"/>
      <c r="AI959" s="6"/>
      <c r="AJ959" s="6"/>
      <c r="AL959" s="6"/>
    </row>
    <row r="960" spans="1:38" hidden="1" x14ac:dyDescent="0.25">
      <c r="A960" s="4"/>
      <c r="C960" s="6">
        <f>_xlfn.XLOOKUP(Table3[[#This Row],[station]],station_waterbody_county!A:A, station_waterbody_county!B:B)</f>
        <v>0</v>
      </c>
      <c r="D960" s="3">
        <f>_xlfn.XLOOKUP(Table3[[#This Row],[station]],station_waterbody_county!A:A, station_waterbody_county!C:C)</f>
        <v>0</v>
      </c>
      <c r="E960" s="6"/>
      <c r="G960" s="12"/>
      <c r="H960" s="5"/>
      <c r="I960" s="4"/>
      <c r="J960" s="5"/>
      <c r="K960" s="10"/>
      <c r="O960" s="6"/>
      <c r="T960" s="11"/>
      <c r="U960" s="7"/>
      <c r="V960" s="6"/>
      <c r="W960" s="7"/>
      <c r="X960" s="6"/>
      <c r="Y960" s="7"/>
      <c r="AA960" s="6"/>
      <c r="AE960" s="6"/>
      <c r="AH960" s="7"/>
      <c r="AI960" s="6"/>
      <c r="AJ960" s="6"/>
      <c r="AL960" s="6"/>
    </row>
    <row r="961" spans="1:38" hidden="1" x14ac:dyDescent="0.25">
      <c r="A961" s="4"/>
      <c r="C961" s="6">
        <f>_xlfn.XLOOKUP(Table3[[#This Row],[station]],station_waterbody_county!A:A, station_waterbody_county!B:B)</f>
        <v>0</v>
      </c>
      <c r="D961" s="3">
        <f>_xlfn.XLOOKUP(Table3[[#This Row],[station]],station_waterbody_county!A:A, station_waterbody_county!C:C)</f>
        <v>0</v>
      </c>
      <c r="E961" s="6"/>
      <c r="G961" s="12"/>
      <c r="H961" s="5"/>
      <c r="I961" s="4"/>
      <c r="J961" s="5"/>
      <c r="K961" s="10"/>
      <c r="O961" s="6"/>
      <c r="T961" s="11"/>
      <c r="U961" s="7"/>
      <c r="V961" s="6"/>
      <c r="W961" s="7"/>
      <c r="X961" s="6"/>
      <c r="Y961" s="7"/>
      <c r="AA961" s="6"/>
      <c r="AE961" s="6"/>
      <c r="AH961" s="7"/>
      <c r="AI961" s="6"/>
      <c r="AJ961" s="6"/>
      <c r="AL961" s="6"/>
    </row>
    <row r="962" spans="1:38" hidden="1" x14ac:dyDescent="0.25">
      <c r="A962" s="4"/>
      <c r="C962" s="6">
        <f>_xlfn.XLOOKUP(Table3[[#This Row],[station]],station_waterbody_county!A:A, station_waterbody_county!B:B)</f>
        <v>0</v>
      </c>
      <c r="D962" s="3">
        <f>_xlfn.XLOOKUP(Table3[[#This Row],[station]],station_waterbody_county!A:A, station_waterbody_county!C:C)</f>
        <v>0</v>
      </c>
      <c r="E962" s="6"/>
      <c r="G962" s="12"/>
      <c r="H962" s="5"/>
      <c r="I962" s="4"/>
      <c r="J962" s="5"/>
      <c r="K962" s="10"/>
      <c r="O962" s="6"/>
      <c r="T962" s="11"/>
      <c r="U962" s="7"/>
      <c r="V962" s="6"/>
      <c r="W962" s="7"/>
      <c r="X962" s="6"/>
      <c r="Y962" s="7"/>
      <c r="AA962" s="6"/>
      <c r="AE962" s="6"/>
      <c r="AH962" s="7"/>
      <c r="AI962" s="6"/>
      <c r="AJ962" s="6"/>
      <c r="AL962" s="6"/>
    </row>
    <row r="963" spans="1:38" hidden="1" x14ac:dyDescent="0.25">
      <c r="A963" s="4"/>
      <c r="C963" s="6">
        <f>_xlfn.XLOOKUP(Table3[[#This Row],[station]],station_waterbody_county!A:A, station_waterbody_county!B:B)</f>
        <v>0</v>
      </c>
      <c r="D963" s="3">
        <f>_xlfn.XLOOKUP(Table3[[#This Row],[station]],station_waterbody_county!A:A, station_waterbody_county!C:C)</f>
        <v>0</v>
      </c>
      <c r="E963" s="6"/>
      <c r="G963" s="12"/>
      <c r="H963" s="5"/>
      <c r="I963" s="4"/>
      <c r="J963" s="5"/>
      <c r="K963" s="10"/>
      <c r="O963" s="6"/>
      <c r="T963" s="11"/>
      <c r="U963" s="7"/>
      <c r="V963" s="6"/>
      <c r="W963" s="7"/>
      <c r="X963" s="6"/>
      <c r="Y963" s="7"/>
      <c r="AA963" s="6"/>
      <c r="AE963" s="6"/>
      <c r="AH963" s="7"/>
      <c r="AI963" s="6"/>
      <c r="AJ963" s="6"/>
      <c r="AL963" s="6"/>
    </row>
    <row r="964" spans="1:38" hidden="1" x14ac:dyDescent="0.25">
      <c r="A964" s="4"/>
      <c r="C964" s="6">
        <f>_xlfn.XLOOKUP(Table3[[#This Row],[station]],station_waterbody_county!A:A, station_waterbody_county!B:B)</f>
        <v>0</v>
      </c>
      <c r="D964" s="3">
        <f>_xlfn.XLOOKUP(Table3[[#This Row],[station]],station_waterbody_county!A:A, station_waterbody_county!C:C)</f>
        <v>0</v>
      </c>
      <c r="E964" s="6"/>
      <c r="G964" s="12"/>
      <c r="H964" s="5"/>
      <c r="I964" s="4"/>
      <c r="J964" s="5"/>
      <c r="K964" s="10"/>
      <c r="O964" s="6"/>
      <c r="T964" s="11"/>
      <c r="U964" s="7"/>
      <c r="V964" s="6"/>
      <c r="W964" s="7"/>
      <c r="X964" s="6"/>
      <c r="Y964" s="7"/>
      <c r="AA964" s="6"/>
      <c r="AE964" s="6"/>
      <c r="AH964" s="7"/>
      <c r="AI964" s="6"/>
      <c r="AJ964" s="6"/>
      <c r="AL964" s="6"/>
    </row>
    <row r="965" spans="1:38" hidden="1" x14ac:dyDescent="0.25">
      <c r="A965" s="4"/>
      <c r="C965" s="6">
        <f>_xlfn.XLOOKUP(Table3[[#This Row],[station]],station_waterbody_county!A:A, station_waterbody_county!B:B)</f>
        <v>0</v>
      </c>
      <c r="D965" s="3">
        <f>_xlfn.XLOOKUP(Table3[[#This Row],[station]],station_waterbody_county!A:A, station_waterbody_county!C:C)</f>
        <v>0</v>
      </c>
      <c r="E965" s="6"/>
      <c r="G965" s="12"/>
      <c r="H965" s="5"/>
      <c r="I965" s="4"/>
      <c r="J965" s="5"/>
      <c r="K965" s="10"/>
      <c r="O965" s="6"/>
      <c r="T965" s="11"/>
      <c r="U965" s="7"/>
      <c r="V965" s="6"/>
      <c r="W965" s="7"/>
      <c r="X965" s="6"/>
      <c r="Y965" s="7"/>
      <c r="AA965" s="6"/>
      <c r="AE965" s="6"/>
      <c r="AH965" s="7"/>
      <c r="AI965" s="6"/>
      <c r="AJ965" s="6"/>
      <c r="AL965" s="6"/>
    </row>
    <row r="966" spans="1:38" hidden="1" x14ac:dyDescent="0.25">
      <c r="A966" s="4"/>
      <c r="C966" s="6">
        <f>_xlfn.XLOOKUP(Table3[[#This Row],[station]],station_waterbody_county!A:A, station_waterbody_county!B:B)</f>
        <v>0</v>
      </c>
      <c r="D966" s="3">
        <f>_xlfn.XLOOKUP(Table3[[#This Row],[station]],station_waterbody_county!A:A, station_waterbody_county!C:C)</f>
        <v>0</v>
      </c>
      <c r="E966" s="6"/>
      <c r="G966" s="12"/>
      <c r="H966" s="5"/>
      <c r="I966" s="4"/>
      <c r="J966" s="5"/>
      <c r="K966" s="10"/>
      <c r="O966" s="6"/>
      <c r="T966" s="11"/>
      <c r="U966" s="7"/>
      <c r="V966" s="6"/>
      <c r="W966" s="7"/>
      <c r="X966" s="6"/>
      <c r="Y966" s="7"/>
      <c r="AA966" s="6"/>
      <c r="AE966" s="6"/>
      <c r="AH966" s="7"/>
      <c r="AI966" s="6"/>
      <c r="AJ966" s="6"/>
      <c r="AL966" s="6"/>
    </row>
    <row r="967" spans="1:38" hidden="1" x14ac:dyDescent="0.25">
      <c r="A967" s="4"/>
      <c r="C967" s="6">
        <f>_xlfn.XLOOKUP(Table3[[#This Row],[station]],station_waterbody_county!A:A, station_waterbody_county!B:B)</f>
        <v>0</v>
      </c>
      <c r="D967" s="3">
        <f>_xlfn.XLOOKUP(Table3[[#This Row],[station]],station_waterbody_county!A:A, station_waterbody_county!C:C)</f>
        <v>0</v>
      </c>
      <c r="E967" s="6"/>
      <c r="G967" s="12"/>
      <c r="H967" s="5"/>
      <c r="I967" s="4"/>
      <c r="J967" s="5"/>
      <c r="K967" s="10"/>
      <c r="O967" s="6"/>
      <c r="T967" s="11"/>
      <c r="U967" s="7"/>
      <c r="V967" s="6"/>
      <c r="W967" s="7"/>
      <c r="X967" s="6"/>
      <c r="Y967" s="7"/>
      <c r="AA967" s="6"/>
      <c r="AE967" s="6"/>
      <c r="AH967" s="7"/>
      <c r="AI967" s="6"/>
      <c r="AJ967" s="6"/>
      <c r="AL967" s="6"/>
    </row>
    <row r="968" spans="1:38" hidden="1" x14ac:dyDescent="0.25">
      <c r="A968" s="4"/>
      <c r="C968" s="6">
        <f>_xlfn.XLOOKUP(Table3[[#This Row],[station]],station_waterbody_county!A:A, station_waterbody_county!B:B)</f>
        <v>0</v>
      </c>
      <c r="D968" s="3">
        <f>_xlfn.XLOOKUP(Table3[[#This Row],[station]],station_waterbody_county!A:A, station_waterbody_county!C:C)</f>
        <v>0</v>
      </c>
      <c r="E968" s="6"/>
      <c r="G968" s="12"/>
      <c r="H968" s="5"/>
      <c r="I968" s="4"/>
      <c r="J968" s="5"/>
      <c r="K968" s="10"/>
      <c r="O968" s="6"/>
      <c r="T968" s="11"/>
      <c r="U968" s="7"/>
      <c r="V968" s="6"/>
      <c r="W968" s="7"/>
      <c r="X968" s="6"/>
      <c r="Y968" s="7"/>
      <c r="AA968" s="6"/>
      <c r="AE968" s="6"/>
      <c r="AH968" s="7"/>
      <c r="AI968" s="6"/>
      <c r="AJ968" s="6"/>
      <c r="AL968" s="6"/>
    </row>
    <row r="969" spans="1:38" hidden="1" x14ac:dyDescent="0.25">
      <c r="A969" s="4"/>
      <c r="C969" s="6">
        <f>_xlfn.XLOOKUP(Table3[[#This Row],[station]],station_waterbody_county!A:A, station_waterbody_county!B:B)</f>
        <v>0</v>
      </c>
      <c r="D969" s="3">
        <f>_xlfn.XLOOKUP(Table3[[#This Row],[station]],station_waterbody_county!A:A, station_waterbody_county!C:C)</f>
        <v>0</v>
      </c>
      <c r="E969" s="6"/>
      <c r="G969" s="12"/>
      <c r="H969" s="5"/>
      <c r="I969" s="4"/>
      <c r="J969" s="5"/>
      <c r="K969" s="10"/>
      <c r="O969" s="6"/>
      <c r="T969" s="11"/>
      <c r="U969" s="7"/>
      <c r="V969" s="6"/>
      <c r="W969" s="7"/>
      <c r="X969" s="6"/>
      <c r="Y969" s="7"/>
      <c r="AA969" s="6"/>
      <c r="AE969" s="6"/>
      <c r="AH969" s="7"/>
      <c r="AI969" s="6"/>
      <c r="AJ969" s="6"/>
      <c r="AL969" s="6"/>
    </row>
    <row r="970" spans="1:38" hidden="1" x14ac:dyDescent="0.25">
      <c r="A970" s="4"/>
      <c r="C970" s="6">
        <f>_xlfn.XLOOKUP(Table3[[#This Row],[station]],station_waterbody_county!A:A, station_waterbody_county!B:B)</f>
        <v>0</v>
      </c>
      <c r="D970" s="3">
        <f>_xlfn.XLOOKUP(Table3[[#This Row],[station]],station_waterbody_county!A:A, station_waterbody_county!C:C)</f>
        <v>0</v>
      </c>
      <c r="E970" s="6"/>
      <c r="G970" s="12"/>
      <c r="H970" s="5"/>
      <c r="I970" s="4"/>
      <c r="J970" s="5"/>
      <c r="K970" s="10"/>
      <c r="O970" s="6"/>
      <c r="T970" s="11"/>
      <c r="U970" s="7"/>
      <c r="V970" s="6"/>
      <c r="W970" s="7"/>
      <c r="X970" s="6"/>
      <c r="Y970" s="7"/>
      <c r="AA970" s="6"/>
      <c r="AE970" s="6"/>
      <c r="AH970" s="7"/>
      <c r="AI970" s="6"/>
      <c r="AJ970" s="6"/>
      <c r="AL970" s="6"/>
    </row>
    <row r="971" spans="1:38" hidden="1" x14ac:dyDescent="0.25">
      <c r="A971" s="4"/>
      <c r="C971" s="6">
        <f>_xlfn.XLOOKUP(Table3[[#This Row],[station]],station_waterbody_county!A:A, station_waterbody_county!B:B)</f>
        <v>0</v>
      </c>
      <c r="D971" s="3">
        <f>_xlfn.XLOOKUP(Table3[[#This Row],[station]],station_waterbody_county!A:A, station_waterbody_county!C:C)</f>
        <v>0</v>
      </c>
      <c r="E971" s="6"/>
      <c r="G971" s="12"/>
      <c r="H971" s="5"/>
      <c r="I971" s="4"/>
      <c r="J971" s="5"/>
      <c r="K971" s="10"/>
      <c r="O971" s="6"/>
      <c r="T971" s="11"/>
      <c r="U971" s="7"/>
      <c r="V971" s="6"/>
      <c r="W971" s="7"/>
      <c r="X971" s="6"/>
      <c r="Y971" s="7"/>
      <c r="AA971" s="6"/>
      <c r="AE971" s="6"/>
      <c r="AH971" s="7"/>
      <c r="AI971" s="6"/>
      <c r="AJ971" s="6"/>
      <c r="AL971" s="6"/>
    </row>
    <row r="972" spans="1:38" hidden="1" x14ac:dyDescent="0.25">
      <c r="A972" s="4"/>
      <c r="C972" s="6">
        <f>_xlfn.XLOOKUP(Table3[[#This Row],[station]],station_waterbody_county!A:A, station_waterbody_county!B:B)</f>
        <v>0</v>
      </c>
      <c r="D972" s="3">
        <f>_xlfn.XLOOKUP(Table3[[#This Row],[station]],station_waterbody_county!A:A, station_waterbody_county!C:C)</f>
        <v>0</v>
      </c>
      <c r="E972" s="6"/>
      <c r="G972" s="12"/>
      <c r="H972" s="5"/>
      <c r="I972" s="4"/>
      <c r="J972" s="5"/>
      <c r="K972" s="10"/>
      <c r="O972" s="6"/>
      <c r="T972" s="11"/>
      <c r="U972" s="7"/>
      <c r="V972" s="6"/>
      <c r="W972" s="7"/>
      <c r="X972" s="6"/>
      <c r="Y972" s="7"/>
      <c r="AA972" s="6"/>
      <c r="AE972" s="6"/>
      <c r="AH972" s="7"/>
      <c r="AI972" s="6"/>
      <c r="AJ972" s="6"/>
      <c r="AL972" s="6"/>
    </row>
    <row r="973" spans="1:38" hidden="1" x14ac:dyDescent="0.25">
      <c r="A973" s="4"/>
      <c r="C973" s="6">
        <f>_xlfn.XLOOKUP(Table3[[#This Row],[station]],station_waterbody_county!A:A, station_waterbody_county!B:B)</f>
        <v>0</v>
      </c>
      <c r="D973" s="3">
        <f>_xlfn.XLOOKUP(Table3[[#This Row],[station]],station_waterbody_county!A:A, station_waterbody_county!C:C)</f>
        <v>0</v>
      </c>
      <c r="E973" s="6"/>
      <c r="G973" s="12"/>
      <c r="H973" s="5"/>
      <c r="I973" s="4"/>
      <c r="J973" s="5"/>
      <c r="K973" s="10"/>
      <c r="O973" s="6"/>
      <c r="T973" s="11"/>
      <c r="U973" s="7"/>
      <c r="V973" s="6"/>
      <c r="W973" s="7"/>
      <c r="X973" s="6"/>
      <c r="Y973" s="7"/>
      <c r="AA973" s="6"/>
      <c r="AE973" s="6"/>
      <c r="AH973" s="7"/>
      <c r="AI973" s="6"/>
      <c r="AJ973" s="6"/>
      <c r="AL973" s="6"/>
    </row>
    <row r="974" spans="1:38" hidden="1" x14ac:dyDescent="0.25">
      <c r="A974" s="4"/>
      <c r="C974" s="6">
        <f>_xlfn.XLOOKUP(Table3[[#This Row],[station]],station_waterbody_county!A:A, station_waterbody_county!B:B)</f>
        <v>0</v>
      </c>
      <c r="D974" s="3">
        <f>_xlfn.XLOOKUP(Table3[[#This Row],[station]],station_waterbody_county!A:A, station_waterbody_county!C:C)</f>
        <v>0</v>
      </c>
      <c r="E974" s="6"/>
      <c r="G974" s="12"/>
      <c r="H974" s="5"/>
      <c r="I974" s="4"/>
      <c r="J974" s="5"/>
      <c r="K974" s="10"/>
      <c r="O974" s="6"/>
      <c r="T974" s="11"/>
      <c r="U974" s="7"/>
      <c r="V974" s="6"/>
      <c r="W974" s="7"/>
      <c r="X974" s="6"/>
      <c r="Y974" s="7"/>
      <c r="AA974" s="6"/>
      <c r="AE974" s="6"/>
      <c r="AH974" s="7"/>
      <c r="AI974" s="6"/>
      <c r="AJ974" s="6"/>
      <c r="AL974" s="6"/>
    </row>
    <row r="975" spans="1:38" hidden="1" x14ac:dyDescent="0.25">
      <c r="A975" s="4"/>
      <c r="C975" s="6">
        <f>_xlfn.XLOOKUP(Table3[[#This Row],[station]],station_waterbody_county!A:A, station_waterbody_county!B:B)</f>
        <v>0</v>
      </c>
      <c r="D975" s="3">
        <f>_xlfn.XLOOKUP(Table3[[#This Row],[station]],station_waterbody_county!A:A, station_waterbody_county!C:C)</f>
        <v>0</v>
      </c>
      <c r="E975" s="6"/>
      <c r="G975" s="12"/>
      <c r="H975" s="5"/>
      <c r="I975" s="4"/>
      <c r="J975" s="5"/>
      <c r="K975" s="10"/>
      <c r="O975" s="6"/>
      <c r="T975" s="11"/>
      <c r="U975" s="7"/>
      <c r="V975" s="6"/>
      <c r="W975" s="7"/>
      <c r="X975" s="6"/>
      <c r="Y975" s="7"/>
      <c r="AA975" s="6"/>
      <c r="AE975" s="6"/>
      <c r="AH975" s="7"/>
      <c r="AI975" s="6"/>
      <c r="AJ975" s="6"/>
      <c r="AL975" s="6"/>
    </row>
    <row r="976" spans="1:38" hidden="1" x14ac:dyDescent="0.25">
      <c r="A976" s="4"/>
      <c r="C976" s="6">
        <f>_xlfn.XLOOKUP(Table3[[#This Row],[station]],station_waterbody_county!A:A, station_waterbody_county!B:B)</f>
        <v>0</v>
      </c>
      <c r="D976" s="3">
        <f>_xlfn.XLOOKUP(Table3[[#This Row],[station]],station_waterbody_county!A:A, station_waterbody_county!C:C)</f>
        <v>0</v>
      </c>
      <c r="E976" s="6"/>
      <c r="G976" s="12"/>
      <c r="H976" s="5"/>
      <c r="I976" s="4"/>
      <c r="J976" s="5"/>
      <c r="K976" s="10"/>
      <c r="O976" s="6"/>
      <c r="T976" s="11"/>
      <c r="U976" s="7"/>
      <c r="V976" s="6"/>
      <c r="W976" s="7"/>
      <c r="X976" s="6"/>
      <c r="Y976" s="7"/>
      <c r="AA976" s="6"/>
      <c r="AE976" s="6"/>
      <c r="AH976" s="7"/>
      <c r="AI976" s="6"/>
      <c r="AJ976" s="6"/>
      <c r="AL976" s="6"/>
    </row>
    <row r="977" spans="1:38" hidden="1" x14ac:dyDescent="0.25">
      <c r="A977" s="4"/>
      <c r="C977" s="6">
        <f>_xlfn.XLOOKUP(Table3[[#This Row],[station]],station_waterbody_county!A:A, station_waterbody_county!B:B)</f>
        <v>0</v>
      </c>
      <c r="D977" s="3">
        <f>_xlfn.XLOOKUP(Table3[[#This Row],[station]],station_waterbody_county!A:A, station_waterbody_county!C:C)</f>
        <v>0</v>
      </c>
      <c r="E977" s="6"/>
      <c r="G977" s="12"/>
      <c r="H977" s="5"/>
      <c r="I977" s="4"/>
      <c r="J977" s="5"/>
      <c r="K977" s="10"/>
      <c r="O977" s="6"/>
      <c r="T977" s="11"/>
      <c r="U977" s="7"/>
      <c r="V977" s="6"/>
      <c r="W977" s="7"/>
      <c r="X977" s="6"/>
      <c r="Y977" s="7"/>
      <c r="AA977" s="6"/>
      <c r="AE977" s="6"/>
      <c r="AH977" s="7"/>
      <c r="AI977" s="6"/>
      <c r="AJ977" s="6"/>
      <c r="AL977" s="6"/>
    </row>
    <row r="978" spans="1:38" hidden="1" x14ac:dyDescent="0.25">
      <c r="A978" s="4"/>
      <c r="C978" s="6">
        <f>_xlfn.XLOOKUP(Table3[[#This Row],[station]],station_waterbody_county!A:A, station_waterbody_county!B:B)</f>
        <v>0</v>
      </c>
      <c r="D978" s="3">
        <f>_xlfn.XLOOKUP(Table3[[#This Row],[station]],station_waterbody_county!A:A, station_waterbody_county!C:C)</f>
        <v>0</v>
      </c>
      <c r="E978" s="6"/>
      <c r="G978" s="12"/>
      <c r="H978" s="5"/>
      <c r="I978" s="4"/>
      <c r="J978" s="5"/>
      <c r="K978" s="10"/>
      <c r="O978" s="6"/>
      <c r="T978" s="11"/>
      <c r="U978" s="7"/>
      <c r="V978" s="6"/>
      <c r="W978" s="7"/>
      <c r="X978" s="6"/>
      <c r="Y978" s="7"/>
      <c r="AA978" s="6"/>
      <c r="AE978" s="6"/>
      <c r="AH978" s="7"/>
      <c r="AI978" s="6"/>
      <c r="AJ978" s="6"/>
      <c r="AL978" s="6"/>
    </row>
    <row r="979" spans="1:38" hidden="1" x14ac:dyDescent="0.25">
      <c r="A979" s="4"/>
      <c r="C979" s="6">
        <f>_xlfn.XLOOKUP(Table3[[#This Row],[station]],station_waterbody_county!A:A, station_waterbody_county!B:B)</f>
        <v>0</v>
      </c>
      <c r="D979" s="3">
        <f>_xlfn.XLOOKUP(Table3[[#This Row],[station]],station_waterbody_county!A:A, station_waterbody_county!C:C)</f>
        <v>0</v>
      </c>
      <c r="E979" s="6"/>
      <c r="G979" s="12"/>
      <c r="H979" s="5"/>
      <c r="I979" s="4"/>
      <c r="J979" s="5"/>
      <c r="K979" s="10"/>
      <c r="O979" s="6"/>
      <c r="T979" s="11"/>
      <c r="U979" s="7"/>
      <c r="V979" s="6"/>
      <c r="W979" s="7"/>
      <c r="X979" s="6"/>
      <c r="Y979" s="7"/>
      <c r="AA979" s="6"/>
      <c r="AE979" s="6"/>
      <c r="AH979" s="7"/>
      <c r="AI979" s="6"/>
      <c r="AJ979" s="6"/>
      <c r="AL979" s="6"/>
    </row>
    <row r="980" spans="1:38" hidden="1" x14ac:dyDescent="0.25">
      <c r="A980" s="4"/>
      <c r="C980" s="6">
        <f>_xlfn.XLOOKUP(Table3[[#This Row],[station]],station_waterbody_county!A:A, station_waterbody_county!B:B)</f>
        <v>0</v>
      </c>
      <c r="D980" s="3">
        <f>_xlfn.XLOOKUP(Table3[[#This Row],[station]],station_waterbody_county!A:A, station_waterbody_county!C:C)</f>
        <v>0</v>
      </c>
      <c r="E980" s="6"/>
      <c r="G980" s="12"/>
      <c r="H980" s="5"/>
      <c r="I980" s="4"/>
      <c r="J980" s="5"/>
      <c r="K980" s="10"/>
      <c r="O980" s="6"/>
      <c r="T980" s="11"/>
      <c r="U980" s="7"/>
      <c r="V980" s="6"/>
      <c r="W980" s="7"/>
      <c r="X980" s="6"/>
      <c r="Y980" s="7"/>
      <c r="AA980" s="6"/>
      <c r="AE980" s="6"/>
      <c r="AH980" s="7"/>
      <c r="AI980" s="6"/>
      <c r="AJ980" s="6"/>
      <c r="AL980" s="6"/>
    </row>
    <row r="981" spans="1:38" hidden="1" x14ac:dyDescent="0.25">
      <c r="A981" s="4"/>
      <c r="C981" s="6">
        <f>_xlfn.XLOOKUP(Table3[[#This Row],[station]],station_waterbody_county!A:A, station_waterbody_county!B:B)</f>
        <v>0</v>
      </c>
      <c r="D981" s="3">
        <f>_xlfn.XLOOKUP(Table3[[#This Row],[station]],station_waterbody_county!A:A, station_waterbody_county!C:C)</f>
        <v>0</v>
      </c>
      <c r="E981" s="6"/>
      <c r="G981" s="12"/>
      <c r="H981" s="5"/>
      <c r="I981" s="4"/>
      <c r="J981" s="5"/>
      <c r="K981" s="10"/>
      <c r="O981" s="6"/>
      <c r="T981" s="11"/>
      <c r="U981" s="7"/>
      <c r="V981" s="6"/>
      <c r="W981" s="7"/>
      <c r="X981" s="6"/>
      <c r="Y981" s="7"/>
      <c r="AA981" s="6"/>
      <c r="AE981" s="6"/>
      <c r="AH981" s="7"/>
      <c r="AI981" s="6"/>
      <c r="AJ981" s="6"/>
      <c r="AL981" s="6"/>
    </row>
    <row r="982" spans="1:38" hidden="1" x14ac:dyDescent="0.25">
      <c r="A982" s="4"/>
      <c r="C982" s="6">
        <f>_xlfn.XLOOKUP(Table3[[#This Row],[station]],station_waterbody_county!A:A, station_waterbody_county!B:B)</f>
        <v>0</v>
      </c>
      <c r="D982" s="3">
        <f>_xlfn.XLOOKUP(Table3[[#This Row],[station]],station_waterbody_county!A:A, station_waterbody_county!C:C)</f>
        <v>0</v>
      </c>
      <c r="E982" s="6"/>
      <c r="G982" s="12"/>
      <c r="H982" s="5"/>
      <c r="I982" s="4"/>
      <c r="J982" s="5"/>
      <c r="K982" s="10"/>
      <c r="O982" s="6"/>
      <c r="T982" s="11"/>
      <c r="U982" s="7"/>
      <c r="V982" s="6"/>
      <c r="W982" s="7"/>
      <c r="X982" s="6"/>
      <c r="Y982" s="7"/>
      <c r="AA982" s="6"/>
      <c r="AE982" s="6"/>
      <c r="AH982" s="7"/>
      <c r="AI982" s="6"/>
      <c r="AJ982" s="6"/>
      <c r="AL982" s="6"/>
    </row>
    <row r="983" spans="1:38" hidden="1" x14ac:dyDescent="0.25">
      <c r="A983" s="4"/>
      <c r="C983" s="6">
        <f>_xlfn.XLOOKUP(Table3[[#This Row],[station]],station_waterbody_county!A:A, station_waterbody_county!B:B)</f>
        <v>0</v>
      </c>
      <c r="D983" s="3">
        <f>_xlfn.XLOOKUP(Table3[[#This Row],[station]],station_waterbody_county!A:A, station_waterbody_county!C:C)</f>
        <v>0</v>
      </c>
      <c r="E983" s="6"/>
      <c r="G983" s="12"/>
      <c r="H983" s="5"/>
      <c r="I983" s="4"/>
      <c r="J983" s="5"/>
      <c r="K983" s="10"/>
      <c r="O983" s="6"/>
      <c r="T983" s="11"/>
      <c r="U983" s="7"/>
      <c r="V983" s="6"/>
      <c r="W983" s="7"/>
      <c r="X983" s="6"/>
      <c r="Y983" s="7"/>
      <c r="AA983" s="6"/>
      <c r="AE983" s="6"/>
      <c r="AH983" s="7"/>
      <c r="AI983" s="6"/>
      <c r="AJ983" s="6"/>
      <c r="AL983" s="6"/>
    </row>
    <row r="984" spans="1:38" hidden="1" x14ac:dyDescent="0.25">
      <c r="A984" s="4"/>
      <c r="C984" s="6">
        <f>_xlfn.XLOOKUP(Table3[[#This Row],[station]],station_waterbody_county!A:A, station_waterbody_county!B:B)</f>
        <v>0</v>
      </c>
      <c r="D984" s="3">
        <f>_xlfn.XLOOKUP(Table3[[#This Row],[station]],station_waterbody_county!A:A, station_waterbody_county!C:C)</f>
        <v>0</v>
      </c>
      <c r="E984" s="6"/>
      <c r="G984" s="12"/>
      <c r="H984" s="5"/>
      <c r="I984" s="4"/>
      <c r="J984" s="5"/>
      <c r="K984" s="10"/>
      <c r="O984" s="6"/>
      <c r="T984" s="11"/>
      <c r="U984" s="7"/>
      <c r="V984" s="6"/>
      <c r="W984" s="7"/>
      <c r="X984" s="6"/>
      <c r="Y984" s="7"/>
      <c r="AA984" s="6"/>
      <c r="AE984" s="6"/>
      <c r="AH984" s="7"/>
      <c r="AI984" s="6"/>
      <c r="AJ984" s="6"/>
      <c r="AL984" s="6"/>
    </row>
    <row r="985" spans="1:38" hidden="1" x14ac:dyDescent="0.25">
      <c r="A985" s="4"/>
      <c r="C985" s="6">
        <f>_xlfn.XLOOKUP(Table3[[#This Row],[station]],station_waterbody_county!A:A, station_waterbody_county!B:B)</f>
        <v>0</v>
      </c>
      <c r="D985" s="3">
        <f>_xlfn.XLOOKUP(Table3[[#This Row],[station]],station_waterbody_county!A:A, station_waterbody_county!C:C)</f>
        <v>0</v>
      </c>
      <c r="E985" s="6"/>
      <c r="G985" s="12"/>
      <c r="H985" s="5"/>
      <c r="I985" s="4"/>
      <c r="J985" s="5"/>
      <c r="K985" s="10"/>
      <c r="O985" s="6"/>
      <c r="T985" s="11"/>
      <c r="U985" s="7"/>
      <c r="V985" s="6"/>
      <c r="W985" s="7"/>
      <c r="X985" s="6"/>
      <c r="Y985" s="7"/>
      <c r="AA985" s="6"/>
      <c r="AE985" s="6"/>
      <c r="AH985" s="7"/>
      <c r="AI985" s="6"/>
      <c r="AJ985" s="6"/>
      <c r="AL985" s="6"/>
    </row>
    <row r="986" spans="1:38" hidden="1" x14ac:dyDescent="0.25">
      <c r="A986" s="4"/>
      <c r="C986" s="6">
        <f>_xlfn.XLOOKUP(Table3[[#This Row],[station]],station_waterbody_county!A:A, station_waterbody_county!B:B)</f>
        <v>0</v>
      </c>
      <c r="D986" s="3">
        <f>_xlfn.XLOOKUP(Table3[[#This Row],[station]],station_waterbody_county!A:A, station_waterbody_county!C:C)</f>
        <v>0</v>
      </c>
      <c r="E986" s="6"/>
      <c r="G986" s="12"/>
      <c r="H986" s="5"/>
      <c r="I986" s="4"/>
      <c r="J986" s="5"/>
      <c r="K986" s="10"/>
      <c r="O986" s="6"/>
      <c r="T986" s="11"/>
      <c r="U986" s="7"/>
      <c r="V986" s="6"/>
      <c r="W986" s="7"/>
      <c r="X986" s="6"/>
      <c r="Y986" s="7"/>
      <c r="AA986" s="6"/>
      <c r="AE986" s="6"/>
      <c r="AH986" s="7"/>
      <c r="AI986" s="6"/>
      <c r="AJ986" s="6"/>
      <c r="AL986" s="6"/>
    </row>
    <row r="987" spans="1:38" hidden="1" x14ac:dyDescent="0.25">
      <c r="A987" s="4"/>
      <c r="C987" s="6">
        <f>_xlfn.XLOOKUP(Table3[[#This Row],[station]],station_waterbody_county!A:A, station_waterbody_county!B:B)</f>
        <v>0</v>
      </c>
      <c r="D987" s="3">
        <f>_xlfn.XLOOKUP(Table3[[#This Row],[station]],station_waterbody_county!A:A, station_waterbody_county!C:C)</f>
        <v>0</v>
      </c>
      <c r="E987" s="6"/>
      <c r="G987" s="12"/>
      <c r="H987" s="5"/>
      <c r="I987" s="4"/>
      <c r="J987" s="5"/>
      <c r="K987" s="10"/>
      <c r="O987" s="6"/>
      <c r="T987" s="11"/>
      <c r="U987" s="7"/>
      <c r="V987" s="6"/>
      <c r="W987" s="7"/>
      <c r="X987" s="6"/>
      <c r="Y987" s="7"/>
      <c r="AA987" s="6"/>
      <c r="AE987" s="6"/>
      <c r="AH987" s="7"/>
      <c r="AI987" s="6"/>
      <c r="AJ987" s="6"/>
      <c r="AL987" s="6"/>
    </row>
    <row r="988" spans="1:38" hidden="1" x14ac:dyDescent="0.25">
      <c r="A988" s="4"/>
      <c r="C988" s="6">
        <f>_xlfn.XLOOKUP(Table3[[#This Row],[station]],station_waterbody_county!A:A, station_waterbody_county!B:B)</f>
        <v>0</v>
      </c>
      <c r="D988" s="3">
        <f>_xlfn.XLOOKUP(Table3[[#This Row],[station]],station_waterbody_county!A:A, station_waterbody_county!C:C)</f>
        <v>0</v>
      </c>
      <c r="E988" s="6"/>
      <c r="G988" s="12"/>
      <c r="H988" s="5"/>
      <c r="I988" s="4"/>
      <c r="J988" s="5"/>
      <c r="K988" s="10"/>
      <c r="O988" s="6"/>
      <c r="T988" s="11"/>
      <c r="U988" s="7"/>
      <c r="V988" s="6"/>
      <c r="W988" s="7"/>
      <c r="X988" s="6"/>
      <c r="Y988" s="7"/>
      <c r="AA988" s="6"/>
      <c r="AE988" s="6"/>
      <c r="AH988" s="7"/>
      <c r="AI988" s="6"/>
      <c r="AJ988" s="6"/>
      <c r="AL988" s="6"/>
    </row>
    <row r="989" spans="1:38" hidden="1" x14ac:dyDescent="0.25">
      <c r="A989" s="4"/>
      <c r="C989" s="6">
        <f>_xlfn.XLOOKUP(Table3[[#This Row],[station]],station_waterbody_county!A:A, station_waterbody_county!B:B)</f>
        <v>0</v>
      </c>
      <c r="D989" s="3">
        <f>_xlfn.XLOOKUP(Table3[[#This Row],[station]],station_waterbody_county!A:A, station_waterbody_county!C:C)</f>
        <v>0</v>
      </c>
      <c r="E989" s="6"/>
      <c r="G989" s="12"/>
      <c r="H989" s="5"/>
      <c r="I989" s="4"/>
      <c r="J989" s="5"/>
      <c r="K989" s="10"/>
      <c r="O989" s="6"/>
      <c r="T989" s="11"/>
      <c r="U989" s="7"/>
      <c r="V989" s="6"/>
      <c r="W989" s="7"/>
      <c r="X989" s="6"/>
      <c r="Y989" s="7"/>
      <c r="AA989" s="6"/>
      <c r="AE989" s="6"/>
      <c r="AH989" s="7"/>
      <c r="AI989" s="6"/>
      <c r="AJ989" s="6"/>
      <c r="AL989" s="6"/>
    </row>
    <row r="990" spans="1:38" hidden="1" x14ac:dyDescent="0.25">
      <c r="A990" s="4"/>
      <c r="C990" s="6">
        <f>_xlfn.XLOOKUP(Table3[[#This Row],[station]],station_waterbody_county!A:A, station_waterbody_county!B:B)</f>
        <v>0</v>
      </c>
      <c r="D990" s="3">
        <f>_xlfn.XLOOKUP(Table3[[#This Row],[station]],station_waterbody_county!A:A, station_waterbody_county!C:C)</f>
        <v>0</v>
      </c>
      <c r="E990" s="6"/>
      <c r="G990" s="12"/>
      <c r="H990" s="5"/>
      <c r="I990" s="4"/>
      <c r="J990" s="5"/>
      <c r="K990" s="10"/>
      <c r="O990" s="6"/>
      <c r="T990" s="11"/>
      <c r="U990" s="7"/>
      <c r="V990" s="6"/>
      <c r="W990" s="7"/>
      <c r="X990" s="6"/>
      <c r="Y990" s="7"/>
      <c r="AA990" s="6"/>
      <c r="AE990" s="6"/>
      <c r="AH990" s="7"/>
      <c r="AI990" s="6"/>
      <c r="AJ990" s="6"/>
      <c r="AL990" s="6"/>
    </row>
    <row r="991" spans="1:38" hidden="1" x14ac:dyDescent="0.25">
      <c r="A991" s="4"/>
      <c r="C991" s="6">
        <f>_xlfn.XLOOKUP(Table3[[#This Row],[station]],station_waterbody_county!A:A, station_waterbody_county!B:B)</f>
        <v>0</v>
      </c>
      <c r="D991" s="3">
        <f>_xlfn.XLOOKUP(Table3[[#This Row],[station]],station_waterbody_county!A:A, station_waterbody_county!C:C)</f>
        <v>0</v>
      </c>
      <c r="E991" s="6"/>
      <c r="G991" s="12"/>
      <c r="H991" s="5"/>
      <c r="I991" s="4"/>
      <c r="J991" s="5"/>
      <c r="K991" s="10"/>
      <c r="O991" s="6"/>
      <c r="T991" s="11"/>
      <c r="U991" s="7"/>
      <c r="V991" s="6"/>
      <c r="W991" s="7"/>
      <c r="X991" s="6"/>
      <c r="Y991" s="7"/>
      <c r="AA991" s="6"/>
      <c r="AE991" s="6"/>
      <c r="AH991" s="7"/>
      <c r="AI991" s="6"/>
      <c r="AJ991" s="6"/>
      <c r="AL991" s="6"/>
    </row>
    <row r="992" spans="1:38" hidden="1" x14ac:dyDescent="0.25">
      <c r="A992" s="4"/>
      <c r="C992" s="6">
        <f>_xlfn.XLOOKUP(Table3[[#This Row],[station]],station_waterbody_county!A:A, station_waterbody_county!B:B)</f>
        <v>0</v>
      </c>
      <c r="D992" s="3">
        <f>_xlfn.XLOOKUP(Table3[[#This Row],[station]],station_waterbody_county!A:A, station_waterbody_county!C:C)</f>
        <v>0</v>
      </c>
      <c r="E992" s="6"/>
      <c r="G992" s="12"/>
      <c r="H992" s="5"/>
      <c r="I992" s="4"/>
      <c r="J992" s="5"/>
      <c r="K992" s="10"/>
      <c r="O992" s="6"/>
      <c r="T992" s="11"/>
      <c r="U992" s="7"/>
      <c r="V992" s="6"/>
      <c r="W992" s="7"/>
      <c r="X992" s="6"/>
      <c r="Y992" s="7"/>
      <c r="AA992" s="6"/>
      <c r="AE992" s="6"/>
      <c r="AH992" s="7"/>
      <c r="AI992" s="6"/>
      <c r="AJ992" s="6"/>
      <c r="AL992" s="6"/>
    </row>
    <row r="993" spans="1:38" hidden="1" x14ac:dyDescent="0.25">
      <c r="A993" s="4"/>
      <c r="C993" s="6">
        <f>_xlfn.XLOOKUP(Table3[[#This Row],[station]],station_waterbody_county!A:A, station_waterbody_county!B:B)</f>
        <v>0</v>
      </c>
      <c r="D993" s="3">
        <f>_xlfn.XLOOKUP(Table3[[#This Row],[station]],station_waterbody_county!A:A, station_waterbody_county!C:C)</f>
        <v>0</v>
      </c>
      <c r="E993" s="6"/>
      <c r="G993" s="12"/>
      <c r="H993" s="5"/>
      <c r="I993" s="4"/>
      <c r="J993" s="5"/>
      <c r="K993" s="10"/>
      <c r="O993" s="6"/>
      <c r="T993" s="11"/>
      <c r="U993" s="7"/>
      <c r="V993" s="6"/>
      <c r="W993" s="7"/>
      <c r="X993" s="6"/>
      <c r="Y993" s="7"/>
      <c r="AA993" s="6"/>
      <c r="AE993" s="6"/>
      <c r="AH993" s="7"/>
      <c r="AI993" s="6"/>
      <c r="AJ993" s="6"/>
      <c r="AL993" s="6"/>
    </row>
    <row r="994" spans="1:38" hidden="1" x14ac:dyDescent="0.25">
      <c r="A994" s="4"/>
      <c r="C994" s="6">
        <f>_xlfn.XLOOKUP(Table3[[#This Row],[station]],station_waterbody_county!A:A, station_waterbody_county!B:B)</f>
        <v>0</v>
      </c>
      <c r="D994" s="3">
        <f>_xlfn.XLOOKUP(Table3[[#This Row],[station]],station_waterbody_county!A:A, station_waterbody_county!C:C)</f>
        <v>0</v>
      </c>
      <c r="E994" s="6"/>
      <c r="G994" s="12"/>
      <c r="H994" s="5"/>
      <c r="I994" s="4"/>
      <c r="J994" s="5"/>
      <c r="K994" s="10"/>
      <c r="O994" s="6"/>
      <c r="T994" s="11"/>
      <c r="U994" s="7"/>
      <c r="V994" s="6"/>
      <c r="W994" s="7"/>
      <c r="X994" s="6"/>
      <c r="Y994" s="7"/>
      <c r="AA994" s="6"/>
      <c r="AE994" s="6"/>
      <c r="AH994" s="7"/>
      <c r="AI994" s="6"/>
      <c r="AJ994" s="6"/>
      <c r="AL994" s="6"/>
    </row>
    <row r="995" spans="1:38" hidden="1" x14ac:dyDescent="0.25">
      <c r="A995" s="4"/>
      <c r="C995" s="6">
        <f>_xlfn.XLOOKUP(Table3[[#This Row],[station]],station_waterbody_county!A:A, station_waterbody_county!B:B)</f>
        <v>0</v>
      </c>
      <c r="D995" s="3">
        <f>_xlfn.XLOOKUP(Table3[[#This Row],[station]],station_waterbody_county!A:A, station_waterbody_county!C:C)</f>
        <v>0</v>
      </c>
      <c r="E995" s="6"/>
      <c r="G995" s="12"/>
      <c r="H995" s="5"/>
      <c r="I995" s="4"/>
      <c r="J995" s="5"/>
      <c r="K995" s="10"/>
      <c r="O995" s="6"/>
      <c r="T995" s="11"/>
      <c r="U995" s="7"/>
      <c r="V995" s="6"/>
      <c r="W995" s="7"/>
      <c r="X995" s="6"/>
      <c r="Y995" s="7"/>
      <c r="AA995" s="6"/>
      <c r="AE995" s="6"/>
      <c r="AH995" s="7"/>
      <c r="AI995" s="6"/>
      <c r="AJ995" s="6"/>
      <c r="AL995" s="6"/>
    </row>
    <row r="996" spans="1:38" hidden="1" x14ac:dyDescent="0.25">
      <c r="A996" s="4"/>
      <c r="C996" s="6">
        <f>_xlfn.XLOOKUP(Table3[[#This Row],[station]],station_waterbody_county!A:A, station_waterbody_county!B:B)</f>
        <v>0</v>
      </c>
      <c r="D996" s="3">
        <f>_xlfn.XLOOKUP(Table3[[#This Row],[station]],station_waterbody_county!A:A, station_waterbody_county!C:C)</f>
        <v>0</v>
      </c>
      <c r="E996" s="6"/>
      <c r="G996" s="12"/>
      <c r="H996" s="5"/>
      <c r="I996" s="4"/>
      <c r="J996" s="5"/>
      <c r="K996" s="10"/>
      <c r="O996" s="6"/>
      <c r="T996" s="11"/>
      <c r="U996" s="7"/>
      <c r="V996" s="6"/>
      <c r="W996" s="7"/>
      <c r="X996" s="6"/>
      <c r="Y996" s="7"/>
      <c r="AA996" s="6"/>
      <c r="AE996" s="6"/>
      <c r="AH996" s="7"/>
      <c r="AI996" s="6"/>
      <c r="AJ996" s="6"/>
      <c r="AL996" s="6"/>
    </row>
    <row r="997" spans="1:38" hidden="1" x14ac:dyDescent="0.25">
      <c r="A997" s="4"/>
      <c r="C997" s="6">
        <f>_xlfn.XLOOKUP(Table3[[#This Row],[station]],station_waterbody_county!A:A, station_waterbody_county!B:B)</f>
        <v>0</v>
      </c>
      <c r="D997" s="3">
        <f>_xlfn.XLOOKUP(Table3[[#This Row],[station]],station_waterbody_county!A:A, station_waterbody_county!C:C)</f>
        <v>0</v>
      </c>
      <c r="E997" s="6"/>
      <c r="G997" s="12"/>
      <c r="H997" s="5"/>
      <c r="I997" s="4"/>
      <c r="J997" s="5"/>
      <c r="K997" s="10"/>
      <c r="O997" s="6"/>
      <c r="T997" s="11"/>
      <c r="U997" s="7"/>
      <c r="V997" s="6"/>
      <c r="W997" s="7"/>
      <c r="X997" s="6"/>
      <c r="Y997" s="7"/>
      <c r="AA997" s="6"/>
      <c r="AE997" s="6"/>
      <c r="AH997" s="7"/>
      <c r="AI997" s="6"/>
      <c r="AJ997" s="6"/>
      <c r="AL997" s="6"/>
    </row>
    <row r="998" spans="1:38" hidden="1" x14ac:dyDescent="0.25">
      <c r="A998" s="4"/>
      <c r="C998" s="6">
        <f>_xlfn.XLOOKUP(Table3[[#This Row],[station]],station_waterbody_county!A:A, station_waterbody_county!B:B)</f>
        <v>0</v>
      </c>
      <c r="D998" s="3">
        <f>_xlfn.XLOOKUP(Table3[[#This Row],[station]],station_waterbody_county!A:A, station_waterbody_county!C:C)</f>
        <v>0</v>
      </c>
      <c r="E998" s="6"/>
      <c r="G998" s="12"/>
      <c r="H998" s="5"/>
      <c r="I998" s="4"/>
      <c r="J998" s="5"/>
      <c r="K998" s="10"/>
      <c r="O998" s="6"/>
      <c r="T998" s="11"/>
      <c r="U998" s="7"/>
      <c r="V998" s="6"/>
      <c r="W998" s="7"/>
      <c r="X998" s="6"/>
      <c r="Y998" s="7"/>
      <c r="AA998" s="6"/>
      <c r="AE998" s="6"/>
      <c r="AH998" s="7"/>
      <c r="AI998" s="6"/>
      <c r="AJ998" s="6"/>
      <c r="AL998" s="6"/>
    </row>
    <row r="999" spans="1:38" hidden="1" x14ac:dyDescent="0.25">
      <c r="A999" s="4"/>
      <c r="C999" s="6">
        <f>_xlfn.XLOOKUP(Table3[[#This Row],[station]],station_waterbody_county!A:A, station_waterbody_county!B:B)</f>
        <v>0</v>
      </c>
      <c r="D999" s="3">
        <f>_xlfn.XLOOKUP(Table3[[#This Row],[station]],station_waterbody_county!A:A, station_waterbody_county!C:C)</f>
        <v>0</v>
      </c>
      <c r="E999" s="6"/>
      <c r="G999" s="12"/>
      <c r="H999" s="5"/>
      <c r="I999" s="4"/>
      <c r="J999" s="5"/>
      <c r="K999" s="10"/>
      <c r="O999" s="6"/>
      <c r="T999" s="11"/>
      <c r="U999" s="7"/>
      <c r="V999" s="6"/>
      <c r="W999" s="7"/>
      <c r="X999" s="6"/>
      <c r="Y999" s="7"/>
      <c r="AA999" s="6"/>
      <c r="AE999" s="6"/>
      <c r="AH999" s="7"/>
      <c r="AI999" s="6"/>
      <c r="AJ999" s="6"/>
      <c r="AL999" s="6"/>
    </row>
    <row r="1000" spans="1:38" hidden="1" x14ac:dyDescent="0.25">
      <c r="A1000" s="4"/>
      <c r="C1000" s="6">
        <f>_xlfn.XLOOKUP(Table3[[#This Row],[station]],station_waterbody_county!A:A, station_waterbody_county!B:B)</f>
        <v>0</v>
      </c>
      <c r="D1000" s="3">
        <f>_xlfn.XLOOKUP(Table3[[#This Row],[station]],station_waterbody_county!A:A, station_waterbody_county!C:C)</f>
        <v>0</v>
      </c>
      <c r="E1000" s="6"/>
      <c r="G1000" s="12"/>
      <c r="H1000" s="5"/>
      <c r="I1000" s="4"/>
      <c r="J1000" s="5"/>
      <c r="K1000" s="10"/>
      <c r="O1000" s="6"/>
      <c r="T1000" s="11"/>
      <c r="U1000" s="7"/>
      <c r="V1000" s="6"/>
      <c r="W1000" s="7"/>
      <c r="X1000" s="6"/>
      <c r="Y1000" s="7"/>
      <c r="AA1000" s="6"/>
      <c r="AE1000" s="6"/>
      <c r="AH1000" s="7"/>
      <c r="AI1000" s="6"/>
      <c r="AJ1000" s="6"/>
      <c r="AL1000" s="6"/>
    </row>
    <row r="1001" spans="1:38" hidden="1" x14ac:dyDescent="0.25">
      <c r="A1001" s="4"/>
      <c r="C1001" s="6">
        <f>_xlfn.XLOOKUP(Table3[[#This Row],[station]],station_waterbody_county!A:A, station_waterbody_county!B:B)</f>
        <v>0</v>
      </c>
      <c r="D1001" s="3">
        <f>_xlfn.XLOOKUP(Table3[[#This Row],[station]],station_waterbody_county!A:A, station_waterbody_county!C:C)</f>
        <v>0</v>
      </c>
      <c r="E1001" s="6"/>
      <c r="G1001" s="12"/>
      <c r="H1001" s="5"/>
      <c r="I1001" s="4"/>
      <c r="J1001" s="5"/>
      <c r="K1001" s="10"/>
      <c r="O1001" s="6"/>
      <c r="T1001" s="11"/>
      <c r="U1001" s="7"/>
      <c r="V1001" s="6"/>
      <c r="W1001" s="7"/>
      <c r="X1001" s="6"/>
      <c r="Y1001" s="7"/>
      <c r="AA1001" s="6"/>
      <c r="AE1001" s="6"/>
      <c r="AH1001" s="7"/>
      <c r="AI1001" s="6"/>
      <c r="AJ1001" s="6"/>
      <c r="AL1001" s="6"/>
    </row>
    <row r="1002" spans="1:38" hidden="1" x14ac:dyDescent="0.25">
      <c r="A1002" s="4"/>
      <c r="C1002" s="6">
        <f>_xlfn.XLOOKUP(Table3[[#This Row],[station]],station_waterbody_county!A:A, station_waterbody_county!B:B)</f>
        <v>0</v>
      </c>
      <c r="D1002" s="3">
        <f>_xlfn.XLOOKUP(Table3[[#This Row],[station]],station_waterbody_county!A:A, station_waterbody_county!C:C)</f>
        <v>0</v>
      </c>
      <c r="E1002" s="6"/>
      <c r="G1002" s="12"/>
      <c r="H1002" s="5"/>
      <c r="I1002" s="4"/>
      <c r="J1002" s="5"/>
      <c r="K1002" s="10"/>
      <c r="O1002" s="6"/>
      <c r="T1002" s="11"/>
      <c r="U1002" s="7"/>
      <c r="V1002" s="6"/>
      <c r="W1002" s="7"/>
      <c r="X1002" s="6"/>
      <c r="Y1002" s="7"/>
      <c r="AA1002" s="6"/>
      <c r="AE1002" s="6"/>
      <c r="AH1002" s="7"/>
      <c r="AI1002" s="6"/>
      <c r="AJ1002" s="6"/>
      <c r="AL1002" s="6"/>
    </row>
    <row r="1003" spans="1:38" hidden="1" x14ac:dyDescent="0.25">
      <c r="A1003" s="4"/>
      <c r="C1003" s="6">
        <f>_xlfn.XLOOKUP(Table3[[#This Row],[station]],station_waterbody_county!A:A, station_waterbody_county!B:B)</f>
        <v>0</v>
      </c>
      <c r="D1003" s="3">
        <f>_xlfn.XLOOKUP(Table3[[#This Row],[station]],station_waterbody_county!A:A, station_waterbody_county!C:C)</f>
        <v>0</v>
      </c>
      <c r="E1003" s="6"/>
      <c r="G1003" s="12"/>
      <c r="H1003" s="5"/>
      <c r="I1003" s="4"/>
      <c r="J1003" s="5"/>
      <c r="K1003" s="10"/>
      <c r="O1003" s="6"/>
      <c r="T1003" s="11"/>
      <c r="U1003" s="7"/>
      <c r="V1003" s="6"/>
      <c r="W1003" s="7"/>
      <c r="X1003" s="6"/>
      <c r="Y1003" s="7"/>
      <c r="AA1003" s="6"/>
      <c r="AE1003" s="6"/>
      <c r="AH1003" s="7"/>
      <c r="AI1003" s="6"/>
      <c r="AJ1003" s="6"/>
      <c r="AL1003" s="6"/>
    </row>
    <row r="1004" spans="1:38" hidden="1" x14ac:dyDescent="0.25">
      <c r="A1004" s="4"/>
      <c r="C1004" s="6">
        <f>_xlfn.XLOOKUP(Table3[[#This Row],[station]],station_waterbody_county!A:A, station_waterbody_county!B:B)</f>
        <v>0</v>
      </c>
      <c r="D1004" s="3">
        <f>_xlfn.XLOOKUP(Table3[[#This Row],[station]],station_waterbody_county!A:A, station_waterbody_county!C:C)</f>
        <v>0</v>
      </c>
      <c r="E1004" s="6"/>
      <c r="G1004" s="12"/>
      <c r="H1004" s="5"/>
      <c r="I1004" s="4"/>
      <c r="J1004" s="5"/>
      <c r="K1004" s="10"/>
      <c r="O1004" s="6"/>
      <c r="T1004" s="11"/>
      <c r="U1004" s="7"/>
      <c r="V1004" s="6"/>
      <c r="W1004" s="7"/>
      <c r="X1004" s="6"/>
      <c r="Y1004" s="7"/>
      <c r="AA1004" s="6"/>
      <c r="AE1004" s="6"/>
      <c r="AH1004" s="7"/>
      <c r="AI1004" s="6"/>
      <c r="AJ1004" s="6"/>
      <c r="AL1004" s="6"/>
    </row>
    <row r="1005" spans="1:38" hidden="1" x14ac:dyDescent="0.25">
      <c r="A1005" s="4"/>
      <c r="C1005" s="6">
        <f>_xlfn.XLOOKUP(Table3[[#This Row],[station]],station_waterbody_county!A:A, station_waterbody_county!B:B)</f>
        <v>0</v>
      </c>
      <c r="D1005" s="3">
        <f>_xlfn.XLOOKUP(Table3[[#This Row],[station]],station_waterbody_county!A:A, station_waterbody_county!C:C)</f>
        <v>0</v>
      </c>
      <c r="E1005" s="6"/>
      <c r="G1005" s="12"/>
      <c r="H1005" s="5"/>
      <c r="I1005" s="4"/>
      <c r="J1005" s="5"/>
      <c r="K1005" s="10"/>
      <c r="O1005" s="6"/>
      <c r="T1005" s="11"/>
      <c r="U1005" s="7"/>
      <c r="V1005" s="6"/>
      <c r="W1005" s="7"/>
      <c r="X1005" s="6"/>
      <c r="Y1005" s="7"/>
      <c r="AA1005" s="6"/>
      <c r="AE1005" s="6"/>
      <c r="AH1005" s="7"/>
      <c r="AI1005" s="6"/>
      <c r="AJ1005" s="6"/>
      <c r="AL1005" s="6"/>
    </row>
    <row r="1006" spans="1:38" hidden="1" x14ac:dyDescent="0.25">
      <c r="A1006" s="4"/>
      <c r="C1006" s="6">
        <f>_xlfn.XLOOKUP(Table3[[#This Row],[station]],station_waterbody_county!A:A, station_waterbody_county!B:B)</f>
        <v>0</v>
      </c>
      <c r="D1006" s="3">
        <f>_xlfn.XLOOKUP(Table3[[#This Row],[station]],station_waterbody_county!A:A, station_waterbody_county!C:C)</f>
        <v>0</v>
      </c>
      <c r="E1006" s="6"/>
      <c r="G1006" s="12"/>
      <c r="H1006" s="5"/>
      <c r="I1006" s="4"/>
      <c r="J1006" s="5"/>
      <c r="K1006" s="10"/>
      <c r="O1006" s="6"/>
      <c r="T1006" s="11"/>
      <c r="U1006" s="7"/>
      <c r="V1006" s="6"/>
      <c r="W1006" s="7"/>
      <c r="X1006" s="6"/>
      <c r="Y1006" s="7"/>
      <c r="AA1006" s="6"/>
      <c r="AE1006" s="6"/>
      <c r="AH1006" s="7"/>
      <c r="AI1006" s="6"/>
      <c r="AJ1006" s="6"/>
      <c r="AL1006" s="6"/>
    </row>
    <row r="1007" spans="1:38" hidden="1" x14ac:dyDescent="0.25">
      <c r="A1007" s="4"/>
      <c r="C1007" s="6">
        <f>_xlfn.XLOOKUP(Table3[[#This Row],[station]],station_waterbody_county!A:A, station_waterbody_county!B:B)</f>
        <v>0</v>
      </c>
      <c r="D1007" s="3">
        <f>_xlfn.XLOOKUP(Table3[[#This Row],[station]],station_waterbody_county!A:A, station_waterbody_county!C:C)</f>
        <v>0</v>
      </c>
      <c r="E1007" s="6"/>
      <c r="G1007" s="12"/>
      <c r="H1007" s="5"/>
      <c r="I1007" s="4"/>
      <c r="J1007" s="5"/>
      <c r="K1007" s="10"/>
      <c r="O1007" s="6"/>
      <c r="T1007" s="11"/>
      <c r="U1007" s="7"/>
      <c r="V1007" s="6"/>
      <c r="W1007" s="7"/>
      <c r="X1007" s="6"/>
      <c r="Y1007" s="7"/>
      <c r="AA1007" s="6"/>
      <c r="AE1007" s="6"/>
      <c r="AH1007" s="7"/>
      <c r="AI1007" s="6"/>
      <c r="AJ1007" s="6"/>
      <c r="AL1007" s="6"/>
    </row>
    <row r="1008" spans="1:38" hidden="1" x14ac:dyDescent="0.25">
      <c r="A1008" s="4"/>
      <c r="C1008" s="6">
        <f>_xlfn.XLOOKUP(Table3[[#This Row],[station]],station_waterbody_county!A:A, station_waterbody_county!B:B)</f>
        <v>0</v>
      </c>
      <c r="D1008" s="3">
        <f>_xlfn.XLOOKUP(Table3[[#This Row],[station]],station_waterbody_county!A:A, station_waterbody_county!C:C)</f>
        <v>0</v>
      </c>
      <c r="E1008" s="6"/>
      <c r="G1008" s="12"/>
      <c r="H1008" s="5"/>
      <c r="I1008" s="4"/>
      <c r="J1008" s="5"/>
      <c r="K1008" s="10"/>
      <c r="O1008" s="6"/>
      <c r="T1008" s="11"/>
      <c r="U1008" s="7"/>
      <c r="V1008" s="6"/>
      <c r="W1008" s="7"/>
      <c r="X1008" s="6"/>
      <c r="Y1008" s="7"/>
      <c r="AA1008" s="6"/>
      <c r="AE1008" s="6"/>
      <c r="AH1008" s="7"/>
      <c r="AI1008" s="6"/>
      <c r="AJ1008" s="6"/>
      <c r="AL1008" s="6"/>
    </row>
    <row r="1009" spans="1:38" hidden="1" x14ac:dyDescent="0.25">
      <c r="A1009" s="4"/>
      <c r="C1009" s="6">
        <f>_xlfn.XLOOKUP(Table3[[#This Row],[station]],station_waterbody_county!A:A, station_waterbody_county!B:B)</f>
        <v>0</v>
      </c>
      <c r="D1009" s="3">
        <f>_xlfn.XLOOKUP(Table3[[#This Row],[station]],station_waterbody_county!A:A, station_waterbody_county!C:C)</f>
        <v>0</v>
      </c>
      <c r="E1009" s="6"/>
      <c r="G1009" s="12"/>
      <c r="H1009" s="5"/>
      <c r="I1009" s="4"/>
      <c r="J1009" s="5"/>
      <c r="K1009" s="10"/>
      <c r="O1009" s="6"/>
      <c r="T1009" s="11"/>
      <c r="U1009" s="7"/>
      <c r="V1009" s="6"/>
      <c r="W1009" s="7"/>
      <c r="X1009" s="6"/>
      <c r="Y1009" s="7"/>
      <c r="AA1009" s="6"/>
      <c r="AE1009" s="6"/>
      <c r="AH1009" s="7"/>
      <c r="AI1009" s="6"/>
      <c r="AJ1009" s="6"/>
      <c r="AL1009" s="6"/>
    </row>
    <row r="1010" spans="1:38" hidden="1" x14ac:dyDescent="0.25">
      <c r="A1010" s="4"/>
      <c r="C1010" s="6">
        <f>_xlfn.XLOOKUP(Table3[[#This Row],[station]],station_waterbody_county!A:A, station_waterbody_county!B:B)</f>
        <v>0</v>
      </c>
      <c r="D1010" s="3">
        <f>_xlfn.XLOOKUP(Table3[[#This Row],[station]],station_waterbody_county!A:A, station_waterbody_county!C:C)</f>
        <v>0</v>
      </c>
      <c r="E1010" s="6"/>
      <c r="G1010" s="12"/>
      <c r="H1010" s="5"/>
      <c r="I1010" s="4"/>
      <c r="J1010" s="5"/>
      <c r="K1010" s="10"/>
      <c r="O1010" s="6"/>
      <c r="T1010" s="11"/>
      <c r="U1010" s="7"/>
      <c r="V1010" s="6"/>
      <c r="W1010" s="7"/>
      <c r="X1010" s="6"/>
      <c r="Y1010" s="7"/>
      <c r="AA1010" s="6"/>
      <c r="AE1010" s="6"/>
      <c r="AH1010" s="7"/>
      <c r="AI1010" s="6"/>
      <c r="AJ1010" s="6"/>
      <c r="AL1010" s="6"/>
    </row>
    <row r="1011" spans="1:38" hidden="1" x14ac:dyDescent="0.25">
      <c r="A1011" s="4"/>
      <c r="C1011" s="6">
        <f>_xlfn.XLOOKUP(Table3[[#This Row],[station]],station_waterbody_county!A:A, station_waterbody_county!B:B)</f>
        <v>0</v>
      </c>
      <c r="D1011" s="3">
        <f>_xlfn.XLOOKUP(Table3[[#This Row],[station]],station_waterbody_county!A:A, station_waterbody_county!C:C)</f>
        <v>0</v>
      </c>
      <c r="E1011" s="6"/>
      <c r="G1011" s="12"/>
      <c r="H1011" s="5"/>
      <c r="I1011" s="4"/>
      <c r="J1011" s="5"/>
      <c r="K1011" s="10"/>
      <c r="O1011" s="6"/>
      <c r="T1011" s="11"/>
      <c r="U1011" s="7"/>
      <c r="V1011" s="6"/>
      <c r="W1011" s="7"/>
      <c r="X1011" s="6"/>
      <c r="Y1011" s="7"/>
      <c r="AA1011" s="6"/>
      <c r="AE1011" s="6"/>
      <c r="AH1011" s="7"/>
      <c r="AI1011" s="6"/>
      <c r="AJ1011" s="6"/>
      <c r="AL1011" s="6"/>
    </row>
    <row r="1012" spans="1:38" hidden="1" x14ac:dyDescent="0.25">
      <c r="A1012" s="4"/>
      <c r="C1012" s="6">
        <f>_xlfn.XLOOKUP(Table3[[#This Row],[station]],station_waterbody_county!A:A, station_waterbody_county!B:B)</f>
        <v>0</v>
      </c>
      <c r="D1012" s="3">
        <f>_xlfn.XLOOKUP(Table3[[#This Row],[station]],station_waterbody_county!A:A, station_waterbody_county!C:C)</f>
        <v>0</v>
      </c>
      <c r="E1012" s="6"/>
      <c r="G1012" s="12"/>
      <c r="H1012" s="5"/>
      <c r="I1012" s="4"/>
      <c r="J1012" s="5"/>
      <c r="K1012" s="10"/>
      <c r="O1012" s="6"/>
      <c r="T1012" s="11"/>
      <c r="U1012" s="7"/>
      <c r="V1012" s="6"/>
      <c r="W1012" s="7"/>
      <c r="X1012" s="6"/>
      <c r="Y1012" s="7"/>
      <c r="AA1012" s="6"/>
      <c r="AE1012" s="6"/>
      <c r="AH1012" s="7"/>
      <c r="AI1012" s="6"/>
      <c r="AJ1012" s="6"/>
      <c r="AL1012" s="6"/>
    </row>
    <row r="1013" spans="1:38" hidden="1" x14ac:dyDescent="0.25">
      <c r="A1013" s="4"/>
      <c r="C1013" s="6">
        <f>_xlfn.XLOOKUP(Table3[[#This Row],[station]],station_waterbody_county!A:A, station_waterbody_county!B:B)</f>
        <v>0</v>
      </c>
      <c r="D1013" s="3">
        <f>_xlfn.XLOOKUP(Table3[[#This Row],[station]],station_waterbody_county!A:A, station_waterbody_county!C:C)</f>
        <v>0</v>
      </c>
      <c r="E1013" s="6"/>
      <c r="G1013" s="12"/>
      <c r="H1013" s="5"/>
      <c r="I1013" s="4"/>
      <c r="J1013" s="5"/>
      <c r="K1013" s="10"/>
      <c r="O1013" s="6"/>
      <c r="T1013" s="11"/>
      <c r="U1013" s="7"/>
      <c r="V1013" s="6"/>
      <c r="W1013" s="7"/>
      <c r="X1013" s="6"/>
      <c r="Y1013" s="7"/>
      <c r="AA1013" s="6"/>
      <c r="AE1013" s="6"/>
      <c r="AH1013" s="7"/>
      <c r="AI1013" s="6"/>
      <c r="AJ1013" s="6"/>
      <c r="AL1013" s="6"/>
    </row>
    <row r="1014" spans="1:38" hidden="1" x14ac:dyDescent="0.25">
      <c r="A1014" s="4"/>
      <c r="C1014" s="6">
        <f>_xlfn.XLOOKUP(Table3[[#This Row],[station]],station_waterbody_county!A:A, station_waterbody_county!B:B)</f>
        <v>0</v>
      </c>
      <c r="D1014" s="3">
        <f>_xlfn.XLOOKUP(Table3[[#This Row],[station]],station_waterbody_county!A:A, station_waterbody_county!C:C)</f>
        <v>0</v>
      </c>
      <c r="E1014" s="6"/>
      <c r="G1014" s="12"/>
      <c r="H1014" s="5"/>
      <c r="I1014" s="4"/>
      <c r="J1014" s="5"/>
      <c r="K1014" s="10"/>
      <c r="O1014" s="6"/>
      <c r="T1014" s="11"/>
      <c r="U1014" s="7"/>
      <c r="V1014" s="6"/>
      <c r="W1014" s="7"/>
      <c r="X1014" s="6"/>
      <c r="Y1014" s="7"/>
      <c r="AA1014" s="6"/>
      <c r="AE1014" s="6"/>
      <c r="AH1014" s="7"/>
      <c r="AI1014" s="6"/>
      <c r="AJ1014" s="6"/>
      <c r="AL1014" s="6"/>
    </row>
    <row r="1015" spans="1:38" hidden="1" x14ac:dyDescent="0.25">
      <c r="A1015" s="4"/>
      <c r="C1015" s="6">
        <f>_xlfn.XLOOKUP(Table3[[#This Row],[station]],station_waterbody_county!A:A, station_waterbody_county!B:B)</f>
        <v>0</v>
      </c>
      <c r="D1015" s="3">
        <f>_xlfn.XLOOKUP(Table3[[#This Row],[station]],station_waterbody_county!A:A, station_waterbody_county!C:C)</f>
        <v>0</v>
      </c>
      <c r="E1015" s="6"/>
      <c r="G1015" s="12"/>
      <c r="H1015" s="5"/>
      <c r="I1015" s="4"/>
      <c r="J1015" s="5"/>
      <c r="K1015" s="10"/>
      <c r="O1015" s="6"/>
      <c r="T1015" s="11"/>
      <c r="U1015" s="7"/>
      <c r="V1015" s="6"/>
      <c r="W1015" s="7"/>
      <c r="X1015" s="6"/>
      <c r="Y1015" s="7"/>
      <c r="AA1015" s="6"/>
      <c r="AE1015" s="6"/>
      <c r="AH1015" s="7"/>
      <c r="AI1015" s="6"/>
      <c r="AJ1015" s="6"/>
      <c r="AL1015" s="6"/>
    </row>
    <row r="1016" spans="1:38" hidden="1" x14ac:dyDescent="0.25">
      <c r="A1016" s="4"/>
      <c r="C1016" s="6">
        <f>_xlfn.XLOOKUP(Table3[[#This Row],[station]],station_waterbody_county!A:A, station_waterbody_county!B:B)</f>
        <v>0</v>
      </c>
      <c r="D1016" s="3">
        <f>_xlfn.XLOOKUP(Table3[[#This Row],[station]],station_waterbody_county!A:A, station_waterbody_county!C:C)</f>
        <v>0</v>
      </c>
      <c r="E1016" s="6"/>
      <c r="G1016" s="12"/>
      <c r="H1016" s="5"/>
      <c r="I1016" s="4"/>
      <c r="J1016" s="5"/>
      <c r="K1016" s="10"/>
      <c r="O1016" s="6"/>
      <c r="T1016" s="11"/>
      <c r="U1016" s="7"/>
      <c r="V1016" s="6"/>
      <c r="W1016" s="7"/>
      <c r="X1016" s="6"/>
      <c r="Y1016" s="7"/>
      <c r="AA1016" s="6"/>
      <c r="AE1016" s="6"/>
      <c r="AH1016" s="7"/>
      <c r="AI1016" s="6"/>
      <c r="AJ1016" s="6"/>
      <c r="AL1016" s="6"/>
    </row>
    <row r="1017" spans="1:38" hidden="1" x14ac:dyDescent="0.25">
      <c r="A1017" s="4"/>
      <c r="C1017" s="6">
        <f>_xlfn.XLOOKUP(Table3[[#This Row],[station]],station_waterbody_county!A:A, station_waterbody_county!B:B)</f>
        <v>0</v>
      </c>
      <c r="D1017" s="3">
        <f>_xlfn.XLOOKUP(Table3[[#This Row],[station]],station_waterbody_county!A:A, station_waterbody_county!C:C)</f>
        <v>0</v>
      </c>
      <c r="E1017" s="6"/>
      <c r="G1017" s="12"/>
      <c r="H1017" s="5"/>
      <c r="I1017" s="4"/>
      <c r="J1017" s="5"/>
      <c r="K1017" s="10"/>
      <c r="O1017" s="6"/>
      <c r="T1017" s="11"/>
      <c r="U1017" s="7"/>
      <c r="V1017" s="6"/>
      <c r="W1017" s="7"/>
      <c r="X1017" s="6"/>
      <c r="Y1017" s="7"/>
      <c r="AA1017" s="6"/>
      <c r="AE1017" s="6"/>
      <c r="AH1017" s="7"/>
      <c r="AI1017" s="6"/>
      <c r="AJ1017" s="6"/>
      <c r="AL1017" s="6"/>
    </row>
    <row r="1018" spans="1:38" hidden="1" x14ac:dyDescent="0.25">
      <c r="A1018" s="4"/>
      <c r="C1018" s="6">
        <f>_xlfn.XLOOKUP(Table3[[#This Row],[station]],station_waterbody_county!A:A, station_waterbody_county!B:B)</f>
        <v>0</v>
      </c>
      <c r="D1018" s="3">
        <f>_xlfn.XLOOKUP(Table3[[#This Row],[station]],station_waterbody_county!A:A, station_waterbody_county!C:C)</f>
        <v>0</v>
      </c>
      <c r="E1018" s="6"/>
      <c r="G1018" s="12"/>
      <c r="H1018" s="5"/>
      <c r="I1018" s="4"/>
      <c r="J1018" s="5"/>
      <c r="K1018" s="10"/>
      <c r="O1018" s="6"/>
      <c r="T1018" s="11"/>
      <c r="U1018" s="7"/>
      <c r="V1018" s="6"/>
      <c r="W1018" s="7"/>
      <c r="X1018" s="6"/>
      <c r="Y1018" s="7"/>
      <c r="AA1018" s="6"/>
      <c r="AE1018" s="6"/>
      <c r="AH1018" s="7"/>
      <c r="AI1018" s="6"/>
      <c r="AJ1018" s="6"/>
      <c r="AL1018" s="6"/>
    </row>
    <row r="1019" spans="1:38" hidden="1" x14ac:dyDescent="0.25">
      <c r="A1019" s="4"/>
      <c r="C1019" s="6">
        <f>_xlfn.XLOOKUP(Table3[[#This Row],[station]],station_waterbody_county!A:A, station_waterbody_county!B:B)</f>
        <v>0</v>
      </c>
      <c r="D1019" s="3">
        <f>_xlfn.XLOOKUP(Table3[[#This Row],[station]],station_waterbody_county!A:A, station_waterbody_county!C:C)</f>
        <v>0</v>
      </c>
      <c r="E1019" s="6"/>
      <c r="G1019" s="12"/>
      <c r="H1019" s="5"/>
      <c r="I1019" s="4"/>
      <c r="J1019" s="5"/>
      <c r="K1019" s="10"/>
      <c r="O1019" s="6"/>
      <c r="T1019" s="11"/>
      <c r="U1019" s="7"/>
      <c r="V1019" s="6"/>
      <c r="W1019" s="7"/>
      <c r="X1019" s="6"/>
      <c r="Y1019" s="7"/>
      <c r="AA1019" s="6"/>
      <c r="AE1019" s="6"/>
      <c r="AH1019" s="7"/>
      <c r="AI1019" s="6"/>
      <c r="AJ1019" s="6"/>
      <c r="AL1019" s="6"/>
    </row>
    <row r="1020" spans="1:38" hidden="1" x14ac:dyDescent="0.25">
      <c r="A1020" s="4"/>
      <c r="C1020" s="6">
        <f>_xlfn.XLOOKUP(Table3[[#This Row],[station]],station_waterbody_county!A:A, station_waterbody_county!B:B)</f>
        <v>0</v>
      </c>
      <c r="D1020" s="3">
        <f>_xlfn.XLOOKUP(Table3[[#This Row],[station]],station_waterbody_county!A:A, station_waterbody_county!C:C)</f>
        <v>0</v>
      </c>
      <c r="E1020" s="6"/>
      <c r="G1020" s="12"/>
      <c r="H1020" s="5"/>
      <c r="I1020" s="4"/>
      <c r="J1020" s="5"/>
      <c r="K1020" s="10"/>
      <c r="O1020" s="6"/>
      <c r="T1020" s="11"/>
      <c r="U1020" s="7"/>
      <c r="V1020" s="6"/>
      <c r="W1020" s="7"/>
      <c r="X1020" s="6"/>
      <c r="Y1020" s="7"/>
      <c r="AA1020" s="6"/>
      <c r="AE1020" s="6"/>
      <c r="AH1020" s="7"/>
      <c r="AI1020" s="6"/>
      <c r="AJ1020" s="6"/>
      <c r="AL1020" s="6"/>
    </row>
    <row r="1021" spans="1:38" hidden="1" x14ac:dyDescent="0.25">
      <c r="A1021" s="4"/>
      <c r="C1021" s="6">
        <f>_xlfn.XLOOKUP(Table3[[#This Row],[station]],station_waterbody_county!A:A, station_waterbody_county!B:B)</f>
        <v>0</v>
      </c>
      <c r="D1021" s="3">
        <f>_xlfn.XLOOKUP(Table3[[#This Row],[station]],station_waterbody_county!A:A, station_waterbody_county!C:C)</f>
        <v>0</v>
      </c>
      <c r="E1021" s="6"/>
      <c r="G1021" s="12"/>
      <c r="H1021" s="5"/>
      <c r="I1021" s="4"/>
      <c r="J1021" s="5"/>
      <c r="K1021" s="10"/>
      <c r="O1021" s="6"/>
      <c r="T1021" s="11"/>
      <c r="U1021" s="7"/>
      <c r="V1021" s="6"/>
      <c r="W1021" s="7"/>
      <c r="X1021" s="6"/>
      <c r="Y1021" s="7"/>
      <c r="AA1021" s="6"/>
      <c r="AE1021" s="6"/>
      <c r="AH1021" s="7"/>
      <c r="AI1021" s="6"/>
      <c r="AJ1021" s="6"/>
      <c r="AL1021" s="6"/>
    </row>
    <row r="1022" spans="1:38" hidden="1" x14ac:dyDescent="0.25">
      <c r="A1022" s="4"/>
      <c r="C1022" s="6">
        <f>_xlfn.XLOOKUP(Table3[[#This Row],[station]],station_waterbody_county!A:A, station_waterbody_county!B:B)</f>
        <v>0</v>
      </c>
      <c r="D1022" s="3">
        <f>_xlfn.XLOOKUP(Table3[[#This Row],[station]],station_waterbody_county!A:A, station_waterbody_county!C:C)</f>
        <v>0</v>
      </c>
      <c r="E1022" s="6"/>
      <c r="G1022" s="12"/>
      <c r="H1022" s="5"/>
      <c r="I1022" s="4"/>
      <c r="J1022" s="5"/>
      <c r="K1022" s="10"/>
      <c r="O1022" s="6"/>
      <c r="T1022" s="11"/>
      <c r="U1022" s="7"/>
      <c r="V1022" s="6"/>
      <c r="W1022" s="7"/>
      <c r="X1022" s="6"/>
      <c r="Y1022" s="7"/>
      <c r="AA1022" s="6"/>
      <c r="AE1022" s="6"/>
      <c r="AH1022" s="7"/>
      <c r="AI1022" s="6"/>
      <c r="AJ1022" s="6"/>
      <c r="AL1022" s="6"/>
    </row>
    <row r="1023" spans="1:38" hidden="1" x14ac:dyDescent="0.25">
      <c r="A1023" s="4"/>
      <c r="C1023" s="6">
        <f>_xlfn.XLOOKUP(Table3[[#This Row],[station]],station_waterbody_county!A:A, station_waterbody_county!B:B)</f>
        <v>0</v>
      </c>
      <c r="D1023" s="3">
        <f>_xlfn.XLOOKUP(Table3[[#This Row],[station]],station_waterbody_county!A:A, station_waterbody_county!C:C)</f>
        <v>0</v>
      </c>
      <c r="E1023" s="6"/>
      <c r="G1023" s="12"/>
      <c r="H1023" s="5"/>
      <c r="I1023" s="4"/>
      <c r="J1023" s="5"/>
      <c r="K1023" s="10"/>
      <c r="O1023" s="6"/>
      <c r="T1023" s="11"/>
      <c r="U1023" s="7"/>
      <c r="V1023" s="6"/>
      <c r="W1023" s="7"/>
      <c r="X1023" s="6"/>
      <c r="Y1023" s="7"/>
      <c r="AA1023" s="6"/>
      <c r="AE1023" s="6"/>
      <c r="AH1023" s="7"/>
      <c r="AI1023" s="6"/>
      <c r="AJ1023" s="6"/>
      <c r="AL1023" s="6"/>
    </row>
    <row r="1024" spans="1:38" hidden="1" x14ac:dyDescent="0.25">
      <c r="A1024" s="4"/>
      <c r="C1024" s="6">
        <f>_xlfn.XLOOKUP(Table3[[#This Row],[station]],station_waterbody_county!A:A, station_waterbody_county!B:B)</f>
        <v>0</v>
      </c>
      <c r="D1024" s="3">
        <f>_xlfn.XLOOKUP(Table3[[#This Row],[station]],station_waterbody_county!A:A, station_waterbody_county!C:C)</f>
        <v>0</v>
      </c>
      <c r="E1024" s="6"/>
      <c r="G1024" s="12"/>
      <c r="H1024" s="5"/>
      <c r="I1024" s="4"/>
      <c r="J1024" s="5"/>
      <c r="K1024" s="10"/>
      <c r="O1024" s="6"/>
      <c r="T1024" s="11"/>
      <c r="U1024" s="7"/>
      <c r="V1024" s="6"/>
      <c r="W1024" s="7"/>
      <c r="X1024" s="6"/>
      <c r="Y1024" s="7"/>
      <c r="AA1024" s="6"/>
      <c r="AE1024" s="6"/>
      <c r="AH1024" s="7"/>
      <c r="AI1024" s="6"/>
      <c r="AJ1024" s="6"/>
      <c r="AL1024" s="6"/>
    </row>
    <row r="1025" spans="1:38" hidden="1" x14ac:dyDescent="0.25">
      <c r="A1025" s="4"/>
      <c r="C1025" s="6">
        <f>_xlfn.XLOOKUP(Table3[[#This Row],[station]],station_waterbody_county!A:A, station_waterbody_county!B:B)</f>
        <v>0</v>
      </c>
      <c r="D1025" s="3">
        <f>_xlfn.XLOOKUP(Table3[[#This Row],[station]],station_waterbody_county!A:A, station_waterbody_county!C:C)</f>
        <v>0</v>
      </c>
      <c r="E1025" s="6"/>
      <c r="G1025" s="12"/>
      <c r="H1025" s="5"/>
      <c r="I1025" s="4"/>
      <c r="J1025" s="5"/>
      <c r="K1025" s="10"/>
      <c r="O1025" s="6"/>
      <c r="T1025" s="11"/>
      <c r="U1025" s="7"/>
      <c r="V1025" s="6"/>
      <c r="W1025" s="7"/>
      <c r="X1025" s="6"/>
      <c r="Y1025" s="7"/>
      <c r="AA1025" s="6"/>
      <c r="AE1025" s="6"/>
      <c r="AH1025" s="7"/>
      <c r="AI1025" s="6"/>
      <c r="AJ1025" s="6"/>
      <c r="AL1025" s="6"/>
    </row>
    <row r="1026" spans="1:38" hidden="1" x14ac:dyDescent="0.25">
      <c r="A1026" s="4"/>
      <c r="C1026" s="6">
        <f>_xlfn.XLOOKUP(Table3[[#This Row],[station]],station_waterbody_county!A:A, station_waterbody_county!B:B)</f>
        <v>0</v>
      </c>
      <c r="D1026" s="3">
        <f>_xlfn.XLOOKUP(Table3[[#This Row],[station]],station_waterbody_county!A:A, station_waterbody_county!C:C)</f>
        <v>0</v>
      </c>
      <c r="E1026" s="6"/>
      <c r="G1026" s="12"/>
      <c r="H1026" s="5"/>
      <c r="I1026" s="4"/>
      <c r="J1026" s="5"/>
      <c r="K1026" s="10"/>
      <c r="O1026" s="6"/>
      <c r="T1026" s="11"/>
      <c r="U1026" s="7"/>
      <c r="V1026" s="6"/>
      <c r="W1026" s="7"/>
      <c r="X1026" s="6"/>
      <c r="Y1026" s="7"/>
      <c r="AA1026" s="6"/>
      <c r="AE1026" s="6"/>
      <c r="AH1026" s="7"/>
      <c r="AI1026" s="6"/>
      <c r="AJ1026" s="6"/>
      <c r="AL1026" s="6"/>
    </row>
    <row r="1027" spans="1:38" hidden="1" x14ac:dyDescent="0.25">
      <c r="A1027" s="4"/>
      <c r="C1027" s="6">
        <f>_xlfn.XLOOKUP(Table3[[#This Row],[station]],station_waterbody_county!A:A, station_waterbody_county!B:B)</f>
        <v>0</v>
      </c>
      <c r="D1027" s="3">
        <f>_xlfn.XLOOKUP(Table3[[#This Row],[station]],station_waterbody_county!A:A, station_waterbody_county!C:C)</f>
        <v>0</v>
      </c>
      <c r="E1027" s="6"/>
      <c r="G1027" s="12"/>
      <c r="H1027" s="5"/>
      <c r="I1027" s="4"/>
      <c r="J1027" s="5"/>
      <c r="K1027" s="10"/>
      <c r="O1027" s="6"/>
      <c r="T1027" s="11"/>
      <c r="U1027" s="7"/>
      <c r="V1027" s="6"/>
      <c r="W1027" s="7"/>
      <c r="X1027" s="6"/>
      <c r="Y1027" s="7"/>
      <c r="AA1027" s="6"/>
      <c r="AE1027" s="6"/>
      <c r="AH1027" s="7"/>
      <c r="AI1027" s="6"/>
      <c r="AJ1027" s="6"/>
      <c r="AL1027" s="6"/>
    </row>
    <row r="1028" spans="1:38" hidden="1" x14ac:dyDescent="0.25">
      <c r="A1028" s="4"/>
      <c r="C1028" s="6">
        <f>_xlfn.XLOOKUP(Table3[[#This Row],[station]],station_waterbody_county!A:A, station_waterbody_county!B:B)</f>
        <v>0</v>
      </c>
      <c r="D1028" s="3">
        <f>_xlfn.XLOOKUP(Table3[[#This Row],[station]],station_waterbody_county!A:A, station_waterbody_county!C:C)</f>
        <v>0</v>
      </c>
      <c r="E1028" s="6"/>
      <c r="G1028" s="12"/>
      <c r="H1028" s="5"/>
      <c r="I1028" s="4"/>
      <c r="J1028" s="5"/>
      <c r="K1028" s="10"/>
      <c r="O1028" s="6"/>
      <c r="T1028" s="11"/>
      <c r="U1028" s="7"/>
      <c r="V1028" s="6"/>
      <c r="W1028" s="7"/>
      <c r="X1028" s="6"/>
      <c r="Y1028" s="7"/>
      <c r="AA1028" s="6"/>
      <c r="AE1028" s="6"/>
      <c r="AH1028" s="7"/>
      <c r="AI1028" s="6"/>
      <c r="AJ1028" s="6"/>
      <c r="AL1028" s="6"/>
    </row>
    <row r="1029" spans="1:38" hidden="1" x14ac:dyDescent="0.25">
      <c r="A1029" s="4"/>
      <c r="C1029" s="6">
        <f>_xlfn.XLOOKUP(Table3[[#This Row],[station]],station_waterbody_county!A:A, station_waterbody_county!B:B)</f>
        <v>0</v>
      </c>
      <c r="D1029" s="3">
        <f>_xlfn.XLOOKUP(Table3[[#This Row],[station]],station_waterbody_county!A:A, station_waterbody_county!C:C)</f>
        <v>0</v>
      </c>
      <c r="E1029" s="6"/>
      <c r="G1029" s="12"/>
      <c r="H1029" s="5"/>
      <c r="I1029" s="4"/>
      <c r="J1029" s="5"/>
      <c r="K1029" s="10"/>
      <c r="O1029" s="6"/>
      <c r="T1029" s="11"/>
      <c r="U1029" s="7"/>
      <c r="V1029" s="6"/>
      <c r="W1029" s="7"/>
      <c r="X1029" s="6"/>
      <c r="Y1029" s="7"/>
      <c r="AA1029" s="6"/>
      <c r="AE1029" s="6"/>
      <c r="AH1029" s="7"/>
      <c r="AI1029" s="6"/>
      <c r="AJ1029" s="6"/>
      <c r="AL1029" s="6"/>
    </row>
    <row r="1030" spans="1:38" hidden="1" x14ac:dyDescent="0.25">
      <c r="A1030" s="4"/>
      <c r="C1030" s="6">
        <f>_xlfn.XLOOKUP(Table3[[#This Row],[station]],station_waterbody_county!A:A, station_waterbody_county!B:B)</f>
        <v>0</v>
      </c>
      <c r="D1030" s="3">
        <f>_xlfn.XLOOKUP(Table3[[#This Row],[station]],station_waterbody_county!A:A, station_waterbody_county!C:C)</f>
        <v>0</v>
      </c>
      <c r="E1030" s="6"/>
      <c r="G1030" s="12"/>
      <c r="H1030" s="5"/>
      <c r="I1030" s="4"/>
      <c r="J1030" s="5"/>
      <c r="K1030" s="10"/>
      <c r="O1030" s="6"/>
      <c r="T1030" s="11"/>
      <c r="U1030" s="7"/>
      <c r="V1030" s="6"/>
      <c r="W1030" s="7"/>
      <c r="X1030" s="6"/>
      <c r="Y1030" s="7"/>
      <c r="AA1030" s="6"/>
      <c r="AE1030" s="6"/>
      <c r="AH1030" s="7"/>
      <c r="AI1030" s="6"/>
      <c r="AJ1030" s="6"/>
      <c r="AL1030" s="6"/>
    </row>
    <row r="1031" spans="1:38" hidden="1" x14ac:dyDescent="0.25">
      <c r="A1031" s="4"/>
      <c r="C1031" s="6">
        <f>_xlfn.XLOOKUP(Table3[[#This Row],[station]],station_waterbody_county!A:A, station_waterbody_county!B:B)</f>
        <v>0</v>
      </c>
      <c r="D1031" s="3">
        <f>_xlfn.XLOOKUP(Table3[[#This Row],[station]],station_waterbody_county!A:A, station_waterbody_county!C:C)</f>
        <v>0</v>
      </c>
      <c r="E1031" s="6"/>
      <c r="G1031" s="12"/>
      <c r="H1031" s="5"/>
      <c r="I1031" s="4"/>
      <c r="J1031" s="5"/>
      <c r="K1031" s="10"/>
      <c r="O1031" s="6"/>
      <c r="T1031" s="11"/>
      <c r="U1031" s="7"/>
      <c r="V1031" s="6"/>
      <c r="W1031" s="7"/>
      <c r="X1031" s="6"/>
      <c r="Y1031" s="7"/>
      <c r="AA1031" s="6"/>
      <c r="AE1031" s="6"/>
      <c r="AH1031" s="7"/>
      <c r="AI1031" s="6"/>
      <c r="AJ1031" s="6"/>
      <c r="AL1031" s="6"/>
    </row>
    <row r="1032" spans="1:38" hidden="1" x14ac:dyDescent="0.25">
      <c r="A1032" s="4"/>
      <c r="C1032" s="6">
        <f>_xlfn.XLOOKUP(Table3[[#This Row],[station]],station_waterbody_county!A:A, station_waterbody_county!B:B)</f>
        <v>0</v>
      </c>
      <c r="D1032" s="3">
        <f>_xlfn.XLOOKUP(Table3[[#This Row],[station]],station_waterbody_county!A:A, station_waterbody_county!C:C)</f>
        <v>0</v>
      </c>
      <c r="E1032" s="6"/>
      <c r="G1032" s="12"/>
      <c r="H1032" s="5"/>
      <c r="I1032" s="4"/>
      <c r="J1032" s="5"/>
      <c r="K1032" s="10"/>
      <c r="O1032" s="6"/>
      <c r="T1032" s="11"/>
      <c r="U1032" s="7"/>
      <c r="V1032" s="6"/>
      <c r="W1032" s="7"/>
      <c r="X1032" s="6"/>
      <c r="Y1032" s="7"/>
      <c r="AA1032" s="6"/>
      <c r="AE1032" s="6"/>
      <c r="AH1032" s="7"/>
      <c r="AI1032" s="6"/>
      <c r="AJ1032" s="6"/>
      <c r="AL1032" s="6"/>
    </row>
    <row r="1033" spans="1:38" hidden="1" x14ac:dyDescent="0.25">
      <c r="A1033" s="4"/>
      <c r="C1033" s="6">
        <f>_xlfn.XLOOKUP(Table3[[#This Row],[station]],station_waterbody_county!A:A, station_waterbody_county!B:B)</f>
        <v>0</v>
      </c>
      <c r="D1033" s="3">
        <f>_xlfn.XLOOKUP(Table3[[#This Row],[station]],station_waterbody_county!A:A, station_waterbody_county!C:C)</f>
        <v>0</v>
      </c>
      <c r="E1033" s="6"/>
      <c r="G1033" s="12"/>
      <c r="H1033" s="5"/>
      <c r="I1033" s="4"/>
      <c r="J1033" s="5"/>
      <c r="K1033" s="10"/>
      <c r="O1033" s="6"/>
      <c r="T1033" s="11"/>
      <c r="U1033" s="7"/>
      <c r="V1033" s="6"/>
      <c r="W1033" s="7"/>
      <c r="X1033" s="6"/>
      <c r="Y1033" s="7"/>
      <c r="AA1033" s="6"/>
      <c r="AE1033" s="6"/>
      <c r="AH1033" s="7"/>
      <c r="AI1033" s="6"/>
      <c r="AJ1033" s="6"/>
      <c r="AL1033" s="6"/>
    </row>
    <row r="1034" spans="1:38" hidden="1" x14ac:dyDescent="0.25">
      <c r="A1034" s="4"/>
      <c r="C1034" s="6">
        <f>_xlfn.XLOOKUP(Table3[[#This Row],[station]],station_waterbody_county!A:A, station_waterbody_county!B:B)</f>
        <v>0</v>
      </c>
      <c r="D1034" s="3">
        <f>_xlfn.XLOOKUP(Table3[[#This Row],[station]],station_waterbody_county!A:A, station_waterbody_county!C:C)</f>
        <v>0</v>
      </c>
      <c r="E1034" s="6"/>
      <c r="G1034" s="12"/>
      <c r="H1034" s="5"/>
      <c r="I1034" s="4"/>
      <c r="J1034" s="5"/>
      <c r="K1034" s="10"/>
      <c r="O1034" s="6"/>
      <c r="T1034" s="11"/>
      <c r="U1034" s="7"/>
      <c r="V1034" s="6"/>
      <c r="W1034" s="7"/>
      <c r="X1034" s="6"/>
      <c r="Y1034" s="7"/>
      <c r="AA1034" s="6"/>
      <c r="AE1034" s="6"/>
      <c r="AH1034" s="7"/>
      <c r="AI1034" s="6"/>
      <c r="AJ1034" s="6"/>
      <c r="AL1034" s="6"/>
    </row>
    <row r="1035" spans="1:38" hidden="1" x14ac:dyDescent="0.25">
      <c r="A1035" s="4"/>
      <c r="C1035" s="6">
        <f>_xlfn.XLOOKUP(Table3[[#This Row],[station]],station_waterbody_county!A:A, station_waterbody_county!B:B)</f>
        <v>0</v>
      </c>
      <c r="D1035" s="3">
        <f>_xlfn.XLOOKUP(Table3[[#This Row],[station]],station_waterbody_county!A:A, station_waterbody_county!C:C)</f>
        <v>0</v>
      </c>
      <c r="E1035" s="6"/>
      <c r="G1035" s="12"/>
      <c r="H1035" s="5"/>
      <c r="I1035" s="4"/>
      <c r="J1035" s="5"/>
      <c r="K1035" s="10"/>
      <c r="O1035" s="6"/>
      <c r="T1035" s="11"/>
      <c r="U1035" s="7"/>
      <c r="V1035" s="6"/>
      <c r="W1035" s="7"/>
      <c r="X1035" s="6"/>
      <c r="Y1035" s="7"/>
      <c r="AA1035" s="6"/>
      <c r="AE1035" s="6"/>
      <c r="AH1035" s="7"/>
      <c r="AI1035" s="6"/>
      <c r="AJ1035" s="6"/>
      <c r="AL1035" s="6"/>
    </row>
    <row r="1036" spans="1:38" hidden="1" x14ac:dyDescent="0.25">
      <c r="A1036" s="4"/>
      <c r="C1036" s="6">
        <f>_xlfn.XLOOKUP(Table3[[#This Row],[station]],station_waterbody_county!A:A, station_waterbody_county!B:B)</f>
        <v>0</v>
      </c>
      <c r="D1036" s="3">
        <f>_xlfn.XLOOKUP(Table3[[#This Row],[station]],station_waterbody_county!A:A, station_waterbody_county!C:C)</f>
        <v>0</v>
      </c>
      <c r="E1036" s="6"/>
      <c r="G1036" s="12"/>
      <c r="H1036" s="5"/>
      <c r="I1036" s="4"/>
      <c r="J1036" s="5"/>
      <c r="K1036" s="10"/>
      <c r="O1036" s="6"/>
      <c r="T1036" s="11"/>
      <c r="U1036" s="7"/>
      <c r="V1036" s="6"/>
      <c r="W1036" s="7"/>
      <c r="X1036" s="6"/>
      <c r="Y1036" s="7"/>
      <c r="AA1036" s="6"/>
      <c r="AE1036" s="6"/>
      <c r="AH1036" s="7"/>
      <c r="AI1036" s="6"/>
      <c r="AJ1036" s="6"/>
      <c r="AL1036" s="6"/>
    </row>
    <row r="1037" spans="1:38" hidden="1" x14ac:dyDescent="0.25">
      <c r="A1037" s="4"/>
      <c r="C1037" s="6">
        <f>_xlfn.XLOOKUP(Table3[[#This Row],[station]],station_waterbody_county!A:A, station_waterbody_county!B:B)</f>
        <v>0</v>
      </c>
      <c r="D1037" s="3">
        <f>_xlfn.XLOOKUP(Table3[[#This Row],[station]],station_waterbody_county!A:A, station_waterbody_county!C:C)</f>
        <v>0</v>
      </c>
      <c r="E1037" s="6"/>
      <c r="G1037" s="12"/>
      <c r="H1037" s="5"/>
      <c r="I1037" s="4"/>
      <c r="J1037" s="5"/>
      <c r="K1037" s="10"/>
      <c r="O1037" s="6"/>
      <c r="T1037" s="11"/>
      <c r="U1037" s="7"/>
      <c r="V1037" s="6"/>
      <c r="W1037" s="7"/>
      <c r="X1037" s="6"/>
      <c r="Y1037" s="7"/>
      <c r="AA1037" s="6"/>
      <c r="AE1037" s="6"/>
      <c r="AH1037" s="7"/>
      <c r="AI1037" s="6"/>
      <c r="AJ1037" s="6"/>
      <c r="AL1037" s="6"/>
    </row>
    <row r="1038" spans="1:38" hidden="1" x14ac:dyDescent="0.25">
      <c r="A1038" s="4"/>
      <c r="C1038" s="6">
        <f>_xlfn.XLOOKUP(Table3[[#This Row],[station]],station_waterbody_county!A:A, station_waterbody_county!B:B)</f>
        <v>0</v>
      </c>
      <c r="D1038" s="3">
        <f>_xlfn.XLOOKUP(Table3[[#This Row],[station]],station_waterbody_county!A:A, station_waterbody_county!C:C)</f>
        <v>0</v>
      </c>
      <c r="E1038" s="6"/>
      <c r="G1038" s="12"/>
      <c r="H1038" s="5"/>
      <c r="I1038" s="4"/>
      <c r="J1038" s="5"/>
      <c r="K1038" s="10"/>
      <c r="O1038" s="6"/>
      <c r="T1038" s="11"/>
      <c r="U1038" s="7"/>
      <c r="V1038" s="6"/>
      <c r="W1038" s="7"/>
      <c r="X1038" s="6"/>
      <c r="Y1038" s="7"/>
      <c r="AA1038" s="6"/>
      <c r="AE1038" s="6"/>
      <c r="AH1038" s="7"/>
      <c r="AI1038" s="6"/>
      <c r="AJ1038" s="6"/>
      <c r="AL1038" s="6"/>
    </row>
    <row r="1039" spans="1:38" hidden="1" x14ac:dyDescent="0.25">
      <c r="A1039" s="4"/>
      <c r="C1039" s="6">
        <f>_xlfn.XLOOKUP(Table3[[#This Row],[station]],station_waterbody_county!A:A, station_waterbody_county!B:B)</f>
        <v>0</v>
      </c>
      <c r="D1039" s="3">
        <f>_xlfn.XLOOKUP(Table3[[#This Row],[station]],station_waterbody_county!A:A, station_waterbody_county!C:C)</f>
        <v>0</v>
      </c>
      <c r="E1039" s="6"/>
      <c r="G1039" s="12"/>
      <c r="H1039" s="5"/>
      <c r="I1039" s="4"/>
      <c r="J1039" s="5"/>
      <c r="K1039" s="10"/>
      <c r="O1039" s="6"/>
      <c r="T1039" s="11"/>
      <c r="U1039" s="7"/>
      <c r="V1039" s="6"/>
      <c r="W1039" s="7"/>
      <c r="X1039" s="6"/>
      <c r="Y1039" s="7"/>
      <c r="AA1039" s="6"/>
      <c r="AE1039" s="6"/>
      <c r="AH1039" s="7"/>
      <c r="AI1039" s="6"/>
      <c r="AJ1039" s="6"/>
      <c r="AL1039" s="6"/>
    </row>
    <row r="1040" spans="1:38" hidden="1" x14ac:dyDescent="0.25">
      <c r="A1040" s="4"/>
      <c r="C1040" s="6">
        <f>_xlfn.XLOOKUP(Table3[[#This Row],[station]],station_waterbody_county!A:A, station_waterbody_county!B:B)</f>
        <v>0</v>
      </c>
      <c r="D1040" s="3">
        <f>_xlfn.XLOOKUP(Table3[[#This Row],[station]],station_waterbody_county!A:A, station_waterbody_county!C:C)</f>
        <v>0</v>
      </c>
      <c r="E1040" s="6"/>
      <c r="G1040" s="12"/>
      <c r="H1040" s="5"/>
      <c r="I1040" s="4"/>
      <c r="J1040" s="5"/>
      <c r="K1040" s="10"/>
      <c r="O1040" s="6"/>
      <c r="T1040" s="11"/>
      <c r="U1040" s="7"/>
      <c r="V1040" s="6"/>
      <c r="W1040" s="7"/>
      <c r="X1040" s="6"/>
      <c r="Y1040" s="7"/>
      <c r="AA1040" s="6"/>
      <c r="AE1040" s="6"/>
      <c r="AH1040" s="7"/>
      <c r="AI1040" s="6"/>
      <c r="AJ1040" s="6"/>
      <c r="AL1040" s="6"/>
    </row>
    <row r="1041" spans="1:38" hidden="1" x14ac:dyDescent="0.25">
      <c r="A1041" s="4"/>
      <c r="C1041" s="6">
        <f>_xlfn.XLOOKUP(Table3[[#This Row],[station]],station_waterbody_county!A:A, station_waterbody_county!B:B)</f>
        <v>0</v>
      </c>
      <c r="D1041" s="3">
        <f>_xlfn.XLOOKUP(Table3[[#This Row],[station]],station_waterbody_county!A:A, station_waterbody_county!C:C)</f>
        <v>0</v>
      </c>
      <c r="E1041" s="6"/>
      <c r="G1041" s="12"/>
      <c r="H1041" s="5"/>
      <c r="I1041" s="4"/>
      <c r="J1041" s="5"/>
      <c r="K1041" s="10"/>
      <c r="O1041" s="6"/>
      <c r="T1041" s="11"/>
      <c r="U1041" s="7"/>
      <c r="V1041" s="6"/>
      <c r="W1041" s="7"/>
      <c r="X1041" s="6"/>
      <c r="Y1041" s="7"/>
      <c r="AA1041" s="6"/>
      <c r="AE1041" s="6"/>
      <c r="AH1041" s="7"/>
      <c r="AI1041" s="6"/>
      <c r="AJ1041" s="6"/>
      <c r="AL1041" s="6"/>
    </row>
    <row r="1042" spans="1:38" hidden="1" x14ac:dyDescent="0.25">
      <c r="A1042" s="4"/>
      <c r="C1042" s="6">
        <f>_xlfn.XLOOKUP(Table3[[#This Row],[station]],station_waterbody_county!A:A, station_waterbody_county!B:B)</f>
        <v>0</v>
      </c>
      <c r="D1042" s="3">
        <f>_xlfn.XLOOKUP(Table3[[#This Row],[station]],station_waterbody_county!A:A, station_waterbody_county!C:C)</f>
        <v>0</v>
      </c>
      <c r="E1042" s="6"/>
      <c r="G1042" s="12"/>
      <c r="H1042" s="5"/>
      <c r="I1042" s="4"/>
      <c r="J1042" s="5"/>
      <c r="K1042" s="10"/>
      <c r="O1042" s="6"/>
      <c r="T1042" s="11"/>
      <c r="U1042" s="7"/>
      <c r="V1042" s="6"/>
      <c r="W1042" s="7"/>
      <c r="X1042" s="6"/>
      <c r="Y1042" s="7"/>
      <c r="AA1042" s="6"/>
      <c r="AE1042" s="6"/>
      <c r="AH1042" s="7"/>
      <c r="AI1042" s="6"/>
      <c r="AJ1042" s="6"/>
      <c r="AL1042" s="6"/>
    </row>
    <row r="1043" spans="1:38" hidden="1" x14ac:dyDescent="0.25">
      <c r="A1043" s="4"/>
      <c r="C1043" s="6">
        <f>_xlfn.XLOOKUP(Table3[[#This Row],[station]],station_waterbody_county!A:A, station_waterbody_county!B:B)</f>
        <v>0</v>
      </c>
      <c r="D1043" s="3">
        <f>_xlfn.XLOOKUP(Table3[[#This Row],[station]],station_waterbody_county!A:A, station_waterbody_county!C:C)</f>
        <v>0</v>
      </c>
      <c r="E1043" s="6"/>
      <c r="G1043" s="12"/>
      <c r="H1043" s="5"/>
      <c r="I1043" s="4"/>
      <c r="J1043" s="5"/>
      <c r="K1043" s="10"/>
      <c r="O1043" s="6"/>
      <c r="T1043" s="11"/>
      <c r="U1043" s="7"/>
      <c r="V1043" s="6"/>
      <c r="W1043" s="7"/>
      <c r="X1043" s="6"/>
      <c r="Y1043" s="7"/>
      <c r="AA1043" s="6"/>
      <c r="AE1043" s="6"/>
      <c r="AH1043" s="7"/>
      <c r="AI1043" s="6"/>
      <c r="AJ1043" s="6"/>
      <c r="AL1043" s="6"/>
    </row>
    <row r="1044" spans="1:38" hidden="1" x14ac:dyDescent="0.25">
      <c r="A1044" s="4"/>
      <c r="C1044" s="6">
        <f>_xlfn.XLOOKUP(Table3[[#This Row],[station]],station_waterbody_county!A:A, station_waterbody_county!B:B)</f>
        <v>0</v>
      </c>
      <c r="D1044" s="3">
        <f>_xlfn.XLOOKUP(Table3[[#This Row],[station]],station_waterbody_county!A:A, station_waterbody_county!C:C)</f>
        <v>0</v>
      </c>
      <c r="E1044" s="6"/>
      <c r="G1044" s="12"/>
      <c r="H1044" s="5"/>
      <c r="I1044" s="4"/>
      <c r="J1044" s="5"/>
      <c r="K1044" s="10"/>
      <c r="O1044" s="6"/>
      <c r="T1044" s="11"/>
      <c r="U1044" s="7"/>
      <c r="V1044" s="6"/>
      <c r="W1044" s="7"/>
      <c r="X1044" s="6"/>
      <c r="Y1044" s="7"/>
      <c r="AA1044" s="6"/>
      <c r="AE1044" s="6"/>
      <c r="AH1044" s="7"/>
      <c r="AI1044" s="6"/>
      <c r="AJ1044" s="6"/>
      <c r="AL1044" s="6"/>
    </row>
    <row r="1045" spans="1:38" hidden="1" x14ac:dyDescent="0.25">
      <c r="A1045" s="4"/>
      <c r="C1045" s="6">
        <f>_xlfn.XLOOKUP(Table3[[#This Row],[station]],station_waterbody_county!A:A, station_waterbody_county!B:B)</f>
        <v>0</v>
      </c>
      <c r="D1045" s="3">
        <f>_xlfn.XLOOKUP(Table3[[#This Row],[station]],station_waterbody_county!A:A, station_waterbody_county!C:C)</f>
        <v>0</v>
      </c>
      <c r="E1045" s="6"/>
      <c r="G1045" s="12"/>
      <c r="H1045" s="5"/>
      <c r="I1045" s="4"/>
      <c r="J1045" s="5"/>
      <c r="K1045" s="10"/>
      <c r="O1045" s="6"/>
      <c r="T1045" s="11"/>
      <c r="U1045" s="7"/>
      <c r="V1045" s="6"/>
      <c r="W1045" s="7"/>
      <c r="X1045" s="6"/>
      <c r="Y1045" s="7"/>
      <c r="AA1045" s="6"/>
      <c r="AE1045" s="6"/>
      <c r="AH1045" s="7"/>
      <c r="AI1045" s="6"/>
      <c r="AJ1045" s="6"/>
      <c r="AL1045" s="6"/>
    </row>
    <row r="1046" spans="1:38" hidden="1" x14ac:dyDescent="0.25">
      <c r="A1046" s="4"/>
      <c r="C1046" s="6">
        <f>_xlfn.XLOOKUP(Table3[[#This Row],[station]],station_waterbody_county!A:A, station_waterbody_county!B:B)</f>
        <v>0</v>
      </c>
      <c r="D1046" s="3">
        <f>_xlfn.XLOOKUP(Table3[[#This Row],[station]],station_waterbody_county!A:A, station_waterbody_county!C:C)</f>
        <v>0</v>
      </c>
      <c r="E1046" s="6"/>
      <c r="G1046" s="12"/>
      <c r="H1046" s="5"/>
      <c r="I1046" s="4"/>
      <c r="J1046" s="5"/>
      <c r="K1046" s="10"/>
      <c r="O1046" s="6"/>
      <c r="T1046" s="11"/>
      <c r="U1046" s="7"/>
      <c r="V1046" s="6"/>
      <c r="W1046" s="7"/>
      <c r="X1046" s="6"/>
      <c r="Y1046" s="7"/>
      <c r="AA1046" s="6"/>
      <c r="AE1046" s="6"/>
      <c r="AH1046" s="7"/>
      <c r="AI1046" s="6"/>
      <c r="AJ1046" s="6"/>
      <c r="AL1046" s="6"/>
    </row>
    <row r="1047" spans="1:38" hidden="1" x14ac:dyDescent="0.25">
      <c r="A1047" s="4"/>
      <c r="C1047" s="6">
        <f>_xlfn.XLOOKUP(Table3[[#This Row],[station]],station_waterbody_county!A:A, station_waterbody_county!B:B)</f>
        <v>0</v>
      </c>
      <c r="D1047" s="3">
        <f>_xlfn.XLOOKUP(Table3[[#This Row],[station]],station_waterbody_county!A:A, station_waterbody_county!C:C)</f>
        <v>0</v>
      </c>
      <c r="E1047" s="6"/>
      <c r="G1047" s="12"/>
      <c r="H1047" s="5"/>
      <c r="I1047" s="4"/>
      <c r="J1047" s="5"/>
      <c r="K1047" s="10"/>
      <c r="O1047" s="6"/>
      <c r="T1047" s="11"/>
      <c r="U1047" s="7"/>
      <c r="V1047" s="6"/>
      <c r="W1047" s="7"/>
      <c r="X1047" s="6"/>
      <c r="Y1047" s="7"/>
      <c r="AA1047" s="6"/>
      <c r="AE1047" s="6"/>
      <c r="AH1047" s="7"/>
      <c r="AI1047" s="6"/>
      <c r="AJ1047" s="6"/>
      <c r="AL1047" s="6"/>
    </row>
    <row r="1048" spans="1:38" hidden="1" x14ac:dyDescent="0.25">
      <c r="A1048" s="4"/>
      <c r="C1048" s="6">
        <f>_xlfn.XLOOKUP(Table3[[#This Row],[station]],station_waterbody_county!A:A, station_waterbody_county!B:B)</f>
        <v>0</v>
      </c>
      <c r="D1048" s="3">
        <f>_xlfn.XLOOKUP(Table3[[#This Row],[station]],station_waterbody_county!A:A, station_waterbody_county!C:C)</f>
        <v>0</v>
      </c>
      <c r="E1048" s="6"/>
      <c r="G1048" s="12"/>
      <c r="H1048" s="5"/>
      <c r="I1048" s="4"/>
      <c r="J1048" s="5"/>
      <c r="K1048" s="10"/>
      <c r="O1048" s="6"/>
      <c r="T1048" s="11"/>
      <c r="U1048" s="7"/>
      <c r="V1048" s="6"/>
      <c r="W1048" s="7"/>
      <c r="X1048" s="6"/>
      <c r="Y1048" s="7"/>
      <c r="AA1048" s="6"/>
      <c r="AE1048" s="6"/>
      <c r="AH1048" s="7"/>
      <c r="AI1048" s="6"/>
      <c r="AJ1048" s="6"/>
      <c r="AL1048" s="6"/>
    </row>
    <row r="1049" spans="1:38" hidden="1" x14ac:dyDescent="0.25">
      <c r="A1049" s="4"/>
      <c r="C1049" s="6">
        <f>_xlfn.XLOOKUP(Table3[[#This Row],[station]],station_waterbody_county!A:A, station_waterbody_county!B:B)</f>
        <v>0</v>
      </c>
      <c r="D1049" s="3">
        <f>_xlfn.XLOOKUP(Table3[[#This Row],[station]],station_waterbody_county!A:A, station_waterbody_county!C:C)</f>
        <v>0</v>
      </c>
      <c r="E1049" s="6"/>
      <c r="G1049" s="12"/>
      <c r="H1049" s="5"/>
      <c r="I1049" s="4"/>
      <c r="J1049" s="5"/>
      <c r="K1049" s="10"/>
      <c r="O1049" s="6"/>
      <c r="T1049" s="11"/>
      <c r="U1049" s="7"/>
      <c r="V1049" s="6"/>
      <c r="W1049" s="7"/>
      <c r="X1049" s="6"/>
      <c r="Y1049" s="7"/>
      <c r="AA1049" s="6"/>
      <c r="AE1049" s="6"/>
      <c r="AH1049" s="7"/>
      <c r="AI1049" s="6"/>
      <c r="AJ1049" s="6"/>
      <c r="AL1049" s="6"/>
    </row>
    <row r="1050" spans="1:38" hidden="1" x14ac:dyDescent="0.25">
      <c r="A1050" s="4"/>
      <c r="C1050" s="6">
        <f>_xlfn.XLOOKUP(Table3[[#This Row],[station]],station_waterbody_county!A:A, station_waterbody_county!B:B)</f>
        <v>0</v>
      </c>
      <c r="D1050" s="3">
        <f>_xlfn.XLOOKUP(Table3[[#This Row],[station]],station_waterbody_county!A:A, station_waterbody_county!C:C)</f>
        <v>0</v>
      </c>
      <c r="E1050" s="6"/>
      <c r="G1050" s="12"/>
      <c r="H1050" s="5"/>
      <c r="I1050" s="4"/>
      <c r="J1050" s="5"/>
      <c r="K1050" s="10"/>
      <c r="O1050" s="6"/>
      <c r="T1050" s="11"/>
      <c r="U1050" s="7"/>
      <c r="V1050" s="6"/>
      <c r="W1050" s="7"/>
      <c r="X1050" s="6"/>
      <c r="Y1050" s="7"/>
      <c r="AA1050" s="6"/>
      <c r="AE1050" s="6"/>
      <c r="AH1050" s="7"/>
      <c r="AI1050" s="6"/>
      <c r="AJ1050" s="6"/>
      <c r="AL1050" s="6"/>
    </row>
    <row r="1051" spans="1:38" hidden="1" x14ac:dyDescent="0.25">
      <c r="A1051" s="4"/>
      <c r="C1051" s="6">
        <f>_xlfn.XLOOKUP(Table3[[#This Row],[station]],station_waterbody_county!A:A, station_waterbody_county!B:B)</f>
        <v>0</v>
      </c>
      <c r="D1051" s="3">
        <f>_xlfn.XLOOKUP(Table3[[#This Row],[station]],station_waterbody_county!A:A, station_waterbody_county!C:C)</f>
        <v>0</v>
      </c>
      <c r="E1051" s="6"/>
      <c r="G1051" s="12"/>
      <c r="H1051" s="5"/>
      <c r="I1051" s="4"/>
      <c r="J1051" s="5"/>
      <c r="K1051" s="10"/>
      <c r="O1051" s="6"/>
      <c r="T1051" s="11"/>
      <c r="U1051" s="7"/>
      <c r="V1051" s="6"/>
      <c r="W1051" s="7"/>
      <c r="X1051" s="6"/>
      <c r="Y1051" s="7"/>
      <c r="AA1051" s="6"/>
      <c r="AE1051" s="6"/>
      <c r="AH1051" s="7"/>
      <c r="AI1051" s="6"/>
      <c r="AJ1051" s="6"/>
      <c r="AL1051" s="6"/>
    </row>
    <row r="1052" spans="1:38" hidden="1" x14ac:dyDescent="0.25">
      <c r="A1052" s="4"/>
      <c r="C1052" s="6">
        <f>_xlfn.XLOOKUP(Table3[[#This Row],[station]],station_waterbody_county!A:A, station_waterbody_county!B:B)</f>
        <v>0</v>
      </c>
      <c r="D1052" s="3">
        <f>_xlfn.XLOOKUP(Table3[[#This Row],[station]],station_waterbody_county!A:A, station_waterbody_county!C:C)</f>
        <v>0</v>
      </c>
      <c r="E1052" s="6"/>
      <c r="G1052" s="12"/>
      <c r="H1052" s="5"/>
      <c r="I1052" s="4"/>
      <c r="J1052" s="5"/>
      <c r="K1052" s="10"/>
      <c r="O1052" s="6"/>
      <c r="T1052" s="11"/>
      <c r="U1052" s="7"/>
      <c r="V1052" s="6"/>
      <c r="W1052" s="7"/>
      <c r="X1052" s="6"/>
      <c r="Y1052" s="7"/>
      <c r="AA1052" s="6"/>
      <c r="AE1052" s="6"/>
      <c r="AH1052" s="7"/>
      <c r="AI1052" s="6"/>
      <c r="AJ1052" s="6"/>
      <c r="AL1052" s="6"/>
    </row>
    <row r="1053" spans="1:38" hidden="1" x14ac:dyDescent="0.25">
      <c r="A1053" s="4"/>
      <c r="C1053" s="6">
        <f>_xlfn.XLOOKUP(Table3[[#This Row],[station]],station_waterbody_county!A:A, station_waterbody_county!B:B)</f>
        <v>0</v>
      </c>
      <c r="D1053" s="3">
        <f>_xlfn.XLOOKUP(Table3[[#This Row],[station]],station_waterbody_county!A:A, station_waterbody_county!C:C)</f>
        <v>0</v>
      </c>
      <c r="E1053" s="6"/>
      <c r="G1053" s="12"/>
      <c r="H1053" s="5"/>
      <c r="I1053" s="4"/>
      <c r="J1053" s="5"/>
      <c r="K1053" s="10"/>
      <c r="O1053" s="6"/>
      <c r="T1053" s="11"/>
      <c r="U1053" s="7"/>
      <c r="V1053" s="6"/>
      <c r="W1053" s="7"/>
      <c r="X1053" s="6"/>
      <c r="Y1053" s="7"/>
      <c r="AA1053" s="6"/>
      <c r="AE1053" s="6"/>
      <c r="AH1053" s="7"/>
      <c r="AI1053" s="6"/>
      <c r="AJ1053" s="6"/>
      <c r="AL1053" s="6"/>
    </row>
    <row r="1054" spans="1:38" hidden="1" x14ac:dyDescent="0.25">
      <c r="A1054" s="4"/>
      <c r="C1054" s="6">
        <f>_xlfn.XLOOKUP(Table3[[#This Row],[station]],station_waterbody_county!A:A, station_waterbody_county!B:B)</f>
        <v>0</v>
      </c>
      <c r="D1054" s="3">
        <f>_xlfn.XLOOKUP(Table3[[#This Row],[station]],station_waterbody_county!A:A, station_waterbody_county!C:C)</f>
        <v>0</v>
      </c>
      <c r="E1054" s="6"/>
      <c r="G1054" s="12"/>
      <c r="H1054" s="5"/>
      <c r="I1054" s="4"/>
      <c r="J1054" s="5"/>
      <c r="K1054" s="10"/>
      <c r="O1054" s="6"/>
      <c r="T1054" s="11"/>
      <c r="U1054" s="7"/>
      <c r="V1054" s="6"/>
      <c r="W1054" s="7"/>
      <c r="X1054" s="6"/>
      <c r="Y1054" s="7"/>
      <c r="AA1054" s="6"/>
      <c r="AE1054" s="6"/>
      <c r="AH1054" s="7"/>
      <c r="AI1054" s="6"/>
      <c r="AJ1054" s="6"/>
      <c r="AL1054" s="6"/>
    </row>
    <row r="1055" spans="1:38" hidden="1" x14ac:dyDescent="0.25">
      <c r="A1055" s="4"/>
      <c r="C1055" s="6">
        <f>_xlfn.XLOOKUP(Table3[[#This Row],[station]],station_waterbody_county!A:A, station_waterbody_county!B:B)</f>
        <v>0</v>
      </c>
      <c r="D1055" s="3">
        <f>_xlfn.XLOOKUP(Table3[[#This Row],[station]],station_waterbody_county!A:A, station_waterbody_county!C:C)</f>
        <v>0</v>
      </c>
      <c r="E1055" s="6"/>
      <c r="G1055" s="12"/>
      <c r="H1055" s="5"/>
      <c r="I1055" s="4"/>
      <c r="J1055" s="5"/>
      <c r="K1055" s="10"/>
      <c r="O1055" s="6"/>
      <c r="T1055" s="11"/>
      <c r="U1055" s="7"/>
      <c r="V1055" s="6"/>
      <c r="W1055" s="7"/>
      <c r="X1055" s="6"/>
      <c r="Y1055" s="7"/>
      <c r="AA1055" s="6"/>
      <c r="AE1055" s="6"/>
      <c r="AH1055" s="7"/>
      <c r="AI1055" s="6"/>
      <c r="AJ1055" s="6"/>
      <c r="AL1055" s="6"/>
    </row>
    <row r="1056" spans="1:38" hidden="1" x14ac:dyDescent="0.25">
      <c r="A1056" s="4"/>
      <c r="C1056" s="6">
        <f>_xlfn.XLOOKUP(Table3[[#This Row],[station]],station_waterbody_county!A:A, station_waterbody_county!B:B)</f>
        <v>0</v>
      </c>
      <c r="D1056" s="3">
        <f>_xlfn.XLOOKUP(Table3[[#This Row],[station]],station_waterbody_county!A:A, station_waterbody_county!C:C)</f>
        <v>0</v>
      </c>
      <c r="E1056" s="6"/>
      <c r="G1056" s="12"/>
      <c r="H1056" s="5"/>
      <c r="I1056" s="4"/>
      <c r="J1056" s="5"/>
      <c r="K1056" s="10"/>
      <c r="O1056" s="6"/>
      <c r="T1056" s="11"/>
      <c r="U1056" s="7"/>
      <c r="V1056" s="6"/>
      <c r="W1056" s="7"/>
      <c r="X1056" s="6"/>
      <c r="Y1056" s="7"/>
      <c r="AA1056" s="6"/>
      <c r="AE1056" s="6"/>
      <c r="AH1056" s="7"/>
      <c r="AI1056" s="6"/>
      <c r="AJ1056" s="6"/>
      <c r="AL1056" s="6"/>
    </row>
    <row r="1057" spans="1:38" hidden="1" x14ac:dyDescent="0.25">
      <c r="A1057" s="4"/>
      <c r="C1057" s="6">
        <f>_xlfn.XLOOKUP(Table3[[#This Row],[station]],station_waterbody_county!A:A, station_waterbody_county!B:B)</f>
        <v>0</v>
      </c>
      <c r="D1057" s="3">
        <f>_xlfn.XLOOKUP(Table3[[#This Row],[station]],station_waterbody_county!A:A, station_waterbody_county!C:C)</f>
        <v>0</v>
      </c>
      <c r="E1057" s="6"/>
      <c r="G1057" s="12"/>
      <c r="H1057" s="5"/>
      <c r="I1057" s="4"/>
      <c r="J1057" s="5"/>
      <c r="K1057" s="10"/>
      <c r="O1057" s="6"/>
      <c r="T1057" s="11"/>
      <c r="U1057" s="7"/>
      <c r="V1057" s="6"/>
      <c r="W1057" s="7"/>
      <c r="X1057" s="6"/>
      <c r="Y1057" s="7"/>
      <c r="AA1057" s="6"/>
      <c r="AE1057" s="6"/>
      <c r="AH1057" s="7"/>
      <c r="AI1057" s="6"/>
      <c r="AJ1057" s="6"/>
      <c r="AL1057" s="6"/>
    </row>
    <row r="1058" spans="1:38" hidden="1" x14ac:dyDescent="0.25">
      <c r="A1058" s="4"/>
      <c r="C1058" s="6">
        <f>_xlfn.XLOOKUP(Table3[[#This Row],[station]],station_waterbody_county!A:A, station_waterbody_county!B:B)</f>
        <v>0</v>
      </c>
      <c r="D1058" s="3">
        <f>_xlfn.XLOOKUP(Table3[[#This Row],[station]],station_waterbody_county!A:A, station_waterbody_county!C:C)</f>
        <v>0</v>
      </c>
      <c r="E1058" s="6"/>
      <c r="G1058" s="12"/>
      <c r="H1058" s="5"/>
      <c r="I1058" s="4"/>
      <c r="J1058" s="5"/>
      <c r="K1058" s="10"/>
      <c r="O1058" s="6"/>
      <c r="T1058" s="11"/>
      <c r="U1058" s="7"/>
      <c r="V1058" s="6"/>
      <c r="W1058" s="7"/>
      <c r="X1058" s="6"/>
      <c r="Y1058" s="7"/>
      <c r="AA1058" s="6"/>
      <c r="AE1058" s="6"/>
      <c r="AH1058" s="7"/>
      <c r="AI1058" s="6"/>
      <c r="AJ1058" s="6"/>
      <c r="AL1058" s="6"/>
    </row>
    <row r="1059" spans="1:38" hidden="1" x14ac:dyDescent="0.25">
      <c r="A1059" s="4"/>
      <c r="C1059" s="6">
        <f>_xlfn.XLOOKUP(Table3[[#This Row],[station]],station_waterbody_county!A:A, station_waterbody_county!B:B)</f>
        <v>0</v>
      </c>
      <c r="D1059" s="3">
        <f>_xlfn.XLOOKUP(Table3[[#This Row],[station]],station_waterbody_county!A:A, station_waterbody_county!C:C)</f>
        <v>0</v>
      </c>
      <c r="E1059" s="6"/>
      <c r="G1059" s="12"/>
      <c r="H1059" s="5"/>
      <c r="I1059" s="4"/>
      <c r="J1059" s="5"/>
      <c r="K1059" s="10"/>
      <c r="O1059" s="6"/>
      <c r="T1059" s="11"/>
      <c r="U1059" s="7"/>
      <c r="V1059" s="6"/>
      <c r="W1059" s="7"/>
      <c r="X1059" s="6"/>
      <c r="Y1059" s="7"/>
      <c r="AA1059" s="6"/>
      <c r="AE1059" s="6"/>
      <c r="AH1059" s="7"/>
      <c r="AI1059" s="6"/>
      <c r="AJ1059" s="6"/>
      <c r="AL1059" s="6"/>
    </row>
    <row r="1060" spans="1:38" hidden="1" x14ac:dyDescent="0.25">
      <c r="A1060" s="4"/>
      <c r="C1060" s="6">
        <f>_xlfn.XLOOKUP(Table3[[#This Row],[station]],station_waterbody_county!A:A, station_waterbody_county!B:B)</f>
        <v>0</v>
      </c>
      <c r="D1060" s="3">
        <f>_xlfn.XLOOKUP(Table3[[#This Row],[station]],station_waterbody_county!A:A, station_waterbody_county!C:C)</f>
        <v>0</v>
      </c>
      <c r="E1060" s="6"/>
      <c r="G1060" s="12"/>
      <c r="H1060" s="5"/>
      <c r="I1060" s="4"/>
      <c r="J1060" s="5"/>
      <c r="K1060" s="10"/>
      <c r="O1060" s="6"/>
      <c r="T1060" s="11"/>
      <c r="U1060" s="7"/>
      <c r="V1060" s="6"/>
      <c r="W1060" s="7"/>
      <c r="X1060" s="6"/>
      <c r="Y1060" s="7"/>
      <c r="AA1060" s="6"/>
      <c r="AE1060" s="6"/>
      <c r="AH1060" s="7"/>
      <c r="AI1060" s="6"/>
      <c r="AJ1060" s="6"/>
      <c r="AL1060" s="6"/>
    </row>
    <row r="1061" spans="1:38" hidden="1" x14ac:dyDescent="0.25">
      <c r="A1061" s="4"/>
      <c r="C1061" s="6">
        <f>_xlfn.XLOOKUP(Table3[[#This Row],[station]],station_waterbody_county!A:A, station_waterbody_county!B:B)</f>
        <v>0</v>
      </c>
      <c r="D1061" s="3">
        <f>_xlfn.XLOOKUP(Table3[[#This Row],[station]],station_waterbody_county!A:A, station_waterbody_county!C:C)</f>
        <v>0</v>
      </c>
      <c r="E1061" s="6"/>
      <c r="G1061" s="12"/>
      <c r="H1061" s="5"/>
      <c r="I1061" s="4"/>
      <c r="J1061" s="5"/>
      <c r="K1061" s="10"/>
      <c r="O1061" s="6"/>
      <c r="T1061" s="11"/>
      <c r="U1061" s="7"/>
      <c r="V1061" s="6"/>
      <c r="W1061" s="7"/>
      <c r="X1061" s="6"/>
      <c r="Y1061" s="7"/>
      <c r="AA1061" s="6"/>
      <c r="AE1061" s="6"/>
      <c r="AH1061" s="7"/>
      <c r="AI1061" s="6"/>
      <c r="AJ1061" s="6"/>
      <c r="AL1061" s="6"/>
    </row>
    <row r="1062" spans="1:38" hidden="1" x14ac:dyDescent="0.25">
      <c r="A1062" s="4"/>
      <c r="C1062" s="6">
        <f>_xlfn.XLOOKUP(Table3[[#This Row],[station]],station_waterbody_county!A:A, station_waterbody_county!B:B)</f>
        <v>0</v>
      </c>
      <c r="D1062" s="3">
        <f>_xlfn.XLOOKUP(Table3[[#This Row],[station]],station_waterbody_county!A:A, station_waterbody_county!C:C)</f>
        <v>0</v>
      </c>
      <c r="E1062" s="6"/>
      <c r="G1062" s="12"/>
      <c r="H1062" s="5"/>
      <c r="I1062" s="4"/>
      <c r="J1062" s="5"/>
      <c r="K1062" s="10"/>
      <c r="O1062" s="6"/>
      <c r="T1062" s="11"/>
      <c r="U1062" s="7"/>
      <c r="V1062" s="6"/>
      <c r="W1062" s="7"/>
      <c r="X1062" s="6"/>
      <c r="Y1062" s="7"/>
      <c r="AA1062" s="6"/>
      <c r="AE1062" s="6"/>
      <c r="AH1062" s="7"/>
      <c r="AI1062" s="6"/>
      <c r="AJ1062" s="6"/>
      <c r="AL1062" s="6"/>
    </row>
    <row r="1063" spans="1:38" hidden="1" x14ac:dyDescent="0.25">
      <c r="A1063" s="4"/>
      <c r="C1063" s="6">
        <f>_xlfn.XLOOKUP(Table3[[#This Row],[station]],station_waterbody_county!A:A, station_waterbody_county!B:B)</f>
        <v>0</v>
      </c>
      <c r="D1063" s="3">
        <f>_xlfn.XLOOKUP(Table3[[#This Row],[station]],station_waterbody_county!A:A, station_waterbody_county!C:C)</f>
        <v>0</v>
      </c>
      <c r="E1063" s="6"/>
      <c r="G1063" s="12"/>
      <c r="H1063" s="5"/>
      <c r="I1063" s="4"/>
      <c r="J1063" s="5"/>
      <c r="K1063" s="10"/>
      <c r="O1063" s="6"/>
      <c r="T1063" s="11"/>
      <c r="U1063" s="7"/>
      <c r="V1063" s="6"/>
      <c r="W1063" s="7"/>
      <c r="X1063" s="6"/>
      <c r="Y1063" s="7"/>
      <c r="AA1063" s="6"/>
      <c r="AE1063" s="6"/>
      <c r="AH1063" s="7"/>
      <c r="AI1063" s="6"/>
      <c r="AJ1063" s="6"/>
      <c r="AL1063" s="6"/>
    </row>
    <row r="1064" spans="1:38" hidden="1" x14ac:dyDescent="0.25">
      <c r="A1064" s="4"/>
      <c r="C1064" s="6">
        <f>_xlfn.XLOOKUP(Table3[[#This Row],[station]],station_waterbody_county!A:A, station_waterbody_county!B:B)</f>
        <v>0</v>
      </c>
      <c r="D1064" s="3">
        <f>_xlfn.XLOOKUP(Table3[[#This Row],[station]],station_waterbody_county!A:A, station_waterbody_county!C:C)</f>
        <v>0</v>
      </c>
      <c r="E1064" s="6"/>
      <c r="G1064" s="12"/>
      <c r="H1064" s="5"/>
      <c r="I1064" s="4"/>
      <c r="J1064" s="5"/>
      <c r="K1064" s="10"/>
      <c r="O1064" s="6"/>
      <c r="T1064" s="11"/>
      <c r="U1064" s="7"/>
      <c r="V1064" s="6"/>
      <c r="W1064" s="7"/>
      <c r="X1064" s="6"/>
      <c r="Y1064" s="7"/>
      <c r="AA1064" s="6"/>
      <c r="AE1064" s="6"/>
      <c r="AH1064" s="7"/>
      <c r="AI1064" s="6"/>
      <c r="AJ1064" s="6"/>
      <c r="AL1064" s="6"/>
    </row>
    <row r="1065" spans="1:38" hidden="1" x14ac:dyDescent="0.25">
      <c r="A1065" s="4"/>
      <c r="C1065" s="6">
        <f>_xlfn.XLOOKUP(Table3[[#This Row],[station]],station_waterbody_county!A:A, station_waterbody_county!B:B)</f>
        <v>0</v>
      </c>
      <c r="D1065" s="3">
        <f>_xlfn.XLOOKUP(Table3[[#This Row],[station]],station_waterbody_county!A:A, station_waterbody_county!C:C)</f>
        <v>0</v>
      </c>
      <c r="E1065" s="6"/>
      <c r="G1065" s="12"/>
      <c r="H1065" s="5"/>
      <c r="I1065" s="4"/>
      <c r="J1065" s="5"/>
      <c r="K1065" s="10"/>
      <c r="O1065" s="6"/>
      <c r="T1065" s="11"/>
      <c r="U1065" s="7"/>
      <c r="V1065" s="6"/>
      <c r="W1065" s="7"/>
      <c r="X1065" s="6"/>
      <c r="Y1065" s="7"/>
      <c r="AA1065" s="6"/>
      <c r="AE1065" s="6"/>
      <c r="AH1065" s="7"/>
      <c r="AI1065" s="6"/>
      <c r="AJ1065" s="6"/>
      <c r="AL1065" s="6"/>
    </row>
    <row r="1066" spans="1:38" hidden="1" x14ac:dyDescent="0.25">
      <c r="A1066" s="4"/>
      <c r="C1066" s="6">
        <f>_xlfn.XLOOKUP(Table3[[#This Row],[station]],station_waterbody_county!A:A, station_waterbody_county!B:B)</f>
        <v>0</v>
      </c>
      <c r="D1066" s="3">
        <f>_xlfn.XLOOKUP(Table3[[#This Row],[station]],station_waterbody_county!A:A, station_waterbody_county!C:C)</f>
        <v>0</v>
      </c>
      <c r="E1066" s="6"/>
      <c r="G1066" s="12"/>
      <c r="H1066" s="5"/>
      <c r="I1066" s="4"/>
      <c r="J1066" s="5"/>
      <c r="K1066" s="10"/>
      <c r="O1066" s="6"/>
      <c r="T1066" s="11"/>
      <c r="U1066" s="7"/>
      <c r="V1066" s="6"/>
      <c r="W1066" s="7"/>
      <c r="X1066" s="6"/>
      <c r="Y1066" s="7"/>
      <c r="AA1066" s="6"/>
      <c r="AE1066" s="6"/>
      <c r="AH1066" s="7"/>
      <c r="AI1066" s="6"/>
      <c r="AJ1066" s="6"/>
      <c r="AL1066" s="6"/>
    </row>
    <row r="1067" spans="1:38" hidden="1" x14ac:dyDescent="0.25">
      <c r="A1067" s="4"/>
      <c r="C1067" s="6">
        <f>_xlfn.XLOOKUP(Table3[[#This Row],[station]],station_waterbody_county!A:A, station_waterbody_county!B:B)</f>
        <v>0</v>
      </c>
      <c r="D1067" s="3">
        <f>_xlfn.XLOOKUP(Table3[[#This Row],[station]],station_waterbody_county!A:A, station_waterbody_county!C:C)</f>
        <v>0</v>
      </c>
      <c r="E1067" s="6"/>
      <c r="G1067" s="12"/>
      <c r="H1067" s="5"/>
      <c r="I1067" s="4"/>
      <c r="J1067" s="5"/>
      <c r="K1067" s="10"/>
      <c r="O1067" s="6"/>
      <c r="T1067" s="11"/>
      <c r="U1067" s="7"/>
      <c r="V1067" s="6"/>
      <c r="W1067" s="7"/>
      <c r="X1067" s="6"/>
      <c r="Y1067" s="7"/>
      <c r="AA1067" s="6"/>
      <c r="AE1067" s="6"/>
      <c r="AH1067" s="7"/>
      <c r="AI1067" s="6"/>
      <c r="AJ1067" s="6"/>
      <c r="AL1067" s="6"/>
    </row>
    <row r="1068" spans="1:38" hidden="1" x14ac:dyDescent="0.25">
      <c r="A1068" s="4"/>
      <c r="C1068" s="6">
        <f>_xlfn.XLOOKUP(Table3[[#This Row],[station]],station_waterbody_county!A:A, station_waterbody_county!B:B)</f>
        <v>0</v>
      </c>
      <c r="D1068" s="3">
        <f>_xlfn.XLOOKUP(Table3[[#This Row],[station]],station_waterbody_county!A:A, station_waterbody_county!C:C)</f>
        <v>0</v>
      </c>
      <c r="E1068" s="6"/>
      <c r="G1068" s="12"/>
      <c r="H1068" s="5"/>
      <c r="I1068" s="4"/>
      <c r="J1068" s="5"/>
      <c r="K1068" s="10"/>
      <c r="O1068" s="6"/>
      <c r="T1068" s="11"/>
      <c r="U1068" s="7"/>
      <c r="V1068" s="6"/>
      <c r="W1068" s="7"/>
      <c r="X1068" s="6"/>
      <c r="Y1068" s="7"/>
      <c r="AA1068" s="6"/>
      <c r="AE1068" s="6"/>
      <c r="AH1068" s="7"/>
      <c r="AI1068" s="6"/>
      <c r="AJ1068" s="6"/>
      <c r="AL1068" s="6"/>
    </row>
    <row r="1069" spans="1:38" hidden="1" x14ac:dyDescent="0.25">
      <c r="A1069" s="4"/>
      <c r="C1069" s="6">
        <f>_xlfn.XLOOKUP(Table3[[#This Row],[station]],station_waterbody_county!A:A, station_waterbody_county!B:B)</f>
        <v>0</v>
      </c>
      <c r="D1069" s="3">
        <f>_xlfn.XLOOKUP(Table3[[#This Row],[station]],station_waterbody_county!A:A, station_waterbody_county!C:C)</f>
        <v>0</v>
      </c>
      <c r="E1069" s="6"/>
      <c r="G1069" s="12"/>
      <c r="H1069" s="5"/>
      <c r="I1069" s="4"/>
      <c r="J1069" s="5"/>
      <c r="K1069" s="10"/>
      <c r="O1069" s="6"/>
      <c r="T1069" s="11"/>
      <c r="U1069" s="7"/>
      <c r="V1069" s="6"/>
      <c r="W1069" s="7"/>
      <c r="X1069" s="6"/>
      <c r="Y1069" s="7"/>
      <c r="AA1069" s="6"/>
      <c r="AE1069" s="6"/>
      <c r="AH1069" s="7"/>
      <c r="AI1069" s="6"/>
      <c r="AJ1069" s="6"/>
      <c r="AL1069" s="6"/>
    </row>
    <row r="1070" spans="1:38" hidden="1" x14ac:dyDescent="0.25">
      <c r="A1070" s="4"/>
      <c r="C1070" s="6">
        <f>_xlfn.XLOOKUP(Table3[[#This Row],[station]],station_waterbody_county!A:A, station_waterbody_county!B:B)</f>
        <v>0</v>
      </c>
      <c r="D1070" s="3">
        <f>_xlfn.XLOOKUP(Table3[[#This Row],[station]],station_waterbody_county!A:A, station_waterbody_county!C:C)</f>
        <v>0</v>
      </c>
      <c r="E1070" s="6"/>
      <c r="G1070" s="12"/>
      <c r="H1070" s="5"/>
      <c r="I1070" s="4"/>
      <c r="J1070" s="5"/>
      <c r="K1070" s="10"/>
      <c r="O1070" s="6"/>
      <c r="T1070" s="11"/>
      <c r="U1070" s="7"/>
      <c r="V1070" s="6"/>
      <c r="W1070" s="7"/>
      <c r="X1070" s="6"/>
      <c r="Y1070" s="7"/>
      <c r="AA1070" s="6"/>
      <c r="AE1070" s="6"/>
      <c r="AH1070" s="7"/>
      <c r="AI1070" s="6"/>
      <c r="AJ1070" s="6"/>
      <c r="AL1070" s="6"/>
    </row>
    <row r="1071" spans="1:38" hidden="1" x14ac:dyDescent="0.25">
      <c r="A1071" s="4"/>
      <c r="C1071" s="6">
        <f>_xlfn.XLOOKUP(Table3[[#This Row],[station]],station_waterbody_county!A:A, station_waterbody_county!B:B)</f>
        <v>0</v>
      </c>
      <c r="D1071" s="3">
        <f>_xlfn.XLOOKUP(Table3[[#This Row],[station]],station_waterbody_county!A:A, station_waterbody_county!C:C)</f>
        <v>0</v>
      </c>
      <c r="E1071" s="6"/>
      <c r="G1071" s="12"/>
      <c r="H1071" s="5"/>
      <c r="I1071" s="4"/>
      <c r="J1071" s="5"/>
      <c r="K1071" s="10"/>
      <c r="O1071" s="6"/>
      <c r="T1071" s="11"/>
      <c r="U1071" s="7"/>
      <c r="V1071" s="6"/>
      <c r="W1071" s="7"/>
      <c r="X1071" s="6"/>
      <c r="Y1071" s="7"/>
      <c r="AA1071" s="6"/>
      <c r="AE1071" s="6"/>
      <c r="AH1071" s="7"/>
      <c r="AI1071" s="6"/>
      <c r="AJ1071" s="6"/>
      <c r="AL1071" s="6"/>
    </row>
    <row r="1072" spans="1:38" hidden="1" x14ac:dyDescent="0.25">
      <c r="A1072" s="4"/>
      <c r="C1072" s="6">
        <f>_xlfn.XLOOKUP(Table3[[#This Row],[station]],station_waterbody_county!A:A, station_waterbody_county!B:B)</f>
        <v>0</v>
      </c>
      <c r="D1072" s="3">
        <f>_xlfn.XLOOKUP(Table3[[#This Row],[station]],station_waterbody_county!A:A, station_waterbody_county!C:C)</f>
        <v>0</v>
      </c>
      <c r="E1072" s="6"/>
      <c r="G1072" s="12"/>
      <c r="H1072" s="5"/>
      <c r="I1072" s="4"/>
      <c r="J1072" s="5"/>
      <c r="K1072" s="10"/>
      <c r="O1072" s="6"/>
      <c r="T1072" s="11"/>
      <c r="U1072" s="7"/>
      <c r="V1072" s="6"/>
      <c r="W1072" s="7"/>
      <c r="X1072" s="6"/>
      <c r="Y1072" s="7"/>
      <c r="AA1072" s="6"/>
      <c r="AE1072" s="6"/>
      <c r="AH1072" s="7"/>
      <c r="AI1072" s="6"/>
      <c r="AJ1072" s="6"/>
      <c r="AL1072" s="6"/>
    </row>
    <row r="1073" spans="1:38" hidden="1" x14ac:dyDescent="0.25">
      <c r="A1073" s="4"/>
      <c r="C1073" s="6">
        <f>_xlfn.XLOOKUP(Table3[[#This Row],[station]],station_waterbody_county!A:A, station_waterbody_county!B:B)</f>
        <v>0</v>
      </c>
      <c r="D1073" s="3">
        <f>_xlfn.XLOOKUP(Table3[[#This Row],[station]],station_waterbody_county!A:A, station_waterbody_county!C:C)</f>
        <v>0</v>
      </c>
      <c r="E1073" s="6"/>
      <c r="G1073" s="12"/>
      <c r="H1073" s="5"/>
      <c r="I1073" s="4"/>
      <c r="J1073" s="5"/>
      <c r="K1073" s="10"/>
      <c r="O1073" s="6"/>
      <c r="T1073" s="11"/>
      <c r="U1073" s="7"/>
      <c r="V1073" s="6"/>
      <c r="W1073" s="7"/>
      <c r="X1073" s="6"/>
      <c r="Y1073" s="7"/>
      <c r="AA1073" s="6"/>
      <c r="AE1073" s="6"/>
      <c r="AH1073" s="7"/>
      <c r="AI1073" s="6"/>
      <c r="AJ1073" s="6"/>
      <c r="AL1073" s="6"/>
    </row>
    <row r="1074" spans="1:38" hidden="1" x14ac:dyDescent="0.25">
      <c r="A1074" s="4"/>
      <c r="C1074" s="6">
        <f>_xlfn.XLOOKUP(Table3[[#This Row],[station]],station_waterbody_county!A:A, station_waterbody_county!B:B)</f>
        <v>0</v>
      </c>
      <c r="D1074" s="3">
        <f>_xlfn.XLOOKUP(Table3[[#This Row],[station]],station_waterbody_county!A:A, station_waterbody_county!C:C)</f>
        <v>0</v>
      </c>
      <c r="E1074" s="6"/>
      <c r="G1074" s="12"/>
      <c r="H1074" s="5"/>
      <c r="I1074" s="4"/>
      <c r="J1074" s="5"/>
      <c r="K1074" s="10"/>
      <c r="O1074" s="6"/>
      <c r="T1074" s="11"/>
      <c r="U1074" s="7"/>
      <c r="V1074" s="6"/>
      <c r="W1074" s="7"/>
      <c r="X1074" s="6"/>
      <c r="Y1074" s="7"/>
      <c r="AA1074" s="6"/>
      <c r="AE1074" s="6"/>
      <c r="AH1074" s="7"/>
      <c r="AI1074" s="6"/>
      <c r="AJ1074" s="6"/>
      <c r="AL1074" s="6"/>
    </row>
    <row r="1075" spans="1:38" hidden="1" x14ac:dyDescent="0.25">
      <c r="A1075" s="4"/>
      <c r="C1075" s="6">
        <f>_xlfn.XLOOKUP(Table3[[#This Row],[station]],station_waterbody_county!A:A, station_waterbody_county!B:B)</f>
        <v>0</v>
      </c>
      <c r="D1075" s="3">
        <f>_xlfn.XLOOKUP(Table3[[#This Row],[station]],station_waterbody_county!A:A, station_waterbody_county!C:C)</f>
        <v>0</v>
      </c>
      <c r="E1075" s="6"/>
      <c r="G1075" s="12"/>
      <c r="H1075" s="5"/>
      <c r="I1075" s="4"/>
      <c r="J1075" s="5"/>
      <c r="K1075" s="10"/>
      <c r="O1075" s="6"/>
      <c r="T1075" s="11"/>
      <c r="U1075" s="7"/>
      <c r="V1075" s="6"/>
      <c r="W1075" s="7"/>
      <c r="X1075" s="6"/>
      <c r="Y1075" s="7"/>
      <c r="AA1075" s="6"/>
      <c r="AE1075" s="6"/>
      <c r="AH1075" s="7"/>
      <c r="AI1075" s="6"/>
      <c r="AJ1075" s="6"/>
      <c r="AL1075" s="6"/>
    </row>
    <row r="1076" spans="1:38" hidden="1" x14ac:dyDescent="0.25">
      <c r="A1076" s="4"/>
      <c r="C1076" s="6">
        <f>_xlfn.XLOOKUP(Table3[[#This Row],[station]],station_waterbody_county!A:A, station_waterbody_county!B:B)</f>
        <v>0</v>
      </c>
      <c r="D1076" s="3">
        <f>_xlfn.XLOOKUP(Table3[[#This Row],[station]],station_waterbody_county!A:A, station_waterbody_county!C:C)</f>
        <v>0</v>
      </c>
      <c r="E1076" s="6"/>
      <c r="G1076" s="12"/>
      <c r="H1076" s="5"/>
      <c r="I1076" s="4"/>
      <c r="J1076" s="5"/>
      <c r="K1076" s="10"/>
      <c r="O1076" s="6"/>
      <c r="T1076" s="11"/>
      <c r="U1076" s="7"/>
      <c r="V1076" s="6"/>
      <c r="W1076" s="7"/>
      <c r="X1076" s="6"/>
      <c r="Y1076" s="7"/>
      <c r="AA1076" s="6"/>
      <c r="AE1076" s="6"/>
      <c r="AH1076" s="7"/>
      <c r="AI1076" s="6"/>
      <c r="AJ1076" s="6"/>
      <c r="AL1076" s="6"/>
    </row>
    <row r="1077" spans="1:38" hidden="1" x14ac:dyDescent="0.25">
      <c r="A1077" s="4"/>
      <c r="C1077" s="6">
        <f>_xlfn.XLOOKUP(Table3[[#This Row],[station]],station_waterbody_county!A:A, station_waterbody_county!B:B)</f>
        <v>0</v>
      </c>
      <c r="D1077" s="3">
        <f>_xlfn.XLOOKUP(Table3[[#This Row],[station]],station_waterbody_county!A:A, station_waterbody_county!C:C)</f>
        <v>0</v>
      </c>
      <c r="E1077" s="6"/>
      <c r="G1077" s="12"/>
      <c r="H1077" s="5"/>
      <c r="I1077" s="4"/>
      <c r="J1077" s="5"/>
      <c r="K1077" s="10"/>
      <c r="O1077" s="6"/>
      <c r="T1077" s="11"/>
      <c r="U1077" s="7"/>
      <c r="V1077" s="6"/>
      <c r="W1077" s="7"/>
      <c r="X1077" s="6"/>
      <c r="Y1077" s="7"/>
      <c r="AA1077" s="6"/>
      <c r="AE1077" s="6"/>
      <c r="AH1077" s="7"/>
      <c r="AI1077" s="6"/>
      <c r="AJ1077" s="6"/>
      <c r="AL1077" s="6"/>
    </row>
    <row r="1078" spans="1:38" x14ac:dyDescent="0.25">
      <c r="AI1078" s="3"/>
    </row>
  </sheetData>
  <phoneticPr fontId="3" type="noConversion"/>
  <conditionalFormatting sqref="B2:B1048576 E1078:E1048576">
    <cfRule type="containsBlanks" dxfId="2" priority="3">
      <formula>LEN(TRIM(B2))=0</formula>
    </cfRule>
  </conditionalFormatting>
  <conditionalFormatting sqref="B2:B1048576">
    <cfRule type="expression" dxfId="1" priority="8">
      <formula>ISNA(MATCH($B2,STATION_LIST,0))</formula>
    </cfRule>
  </conditionalFormatting>
  <conditionalFormatting sqref="E1078:E1048576">
    <cfRule type="expression" dxfId="0" priority="7">
      <formula>ISNA(MATCH($D1078,WATERBODY_LIST,0))</formula>
    </cfRule>
  </conditionalFormatting>
  <dataValidations count="12">
    <dataValidation type="list" allowBlank="1" showInputMessage="1" showErrorMessage="1" sqref="W1078:W1048576 S1:S1077" xr:uid="{CE11D56C-69F9-4F77-8C27-E9FA23A8B502}">
      <formula1>"aquaMeasure DOT, aquaMeasure SAL, aquaMeasure CHL, HOBO DO, HOBO Pro V2, HOBO Level Logger, TidbiT MX 2203, miniDOT, VR2AR, VR2ARX"</formula1>
    </dataValidation>
    <dataValidation type="list" allowBlank="1" showInputMessage="1" showErrorMessage="1" sqref="AM694:AM772 AM1077:AM1048576 AK1078:AL1048576 AB1:AD1 AM777:AM793" xr:uid="{8D7A4C87-4B71-45D1-A7BF-3423BC42DBAE}">
      <formula1>"11"" hard vinyl, 14"" hard vinyl, 8"" hard vinyl"</formula1>
    </dataValidation>
    <dataValidation type="list" allowBlank="1" showInputMessage="1" showErrorMessage="1" sqref="Z1078:Z1048576 V1:V1077" xr:uid="{60EF5F75-C4ED-413B-8BDE-B3CB4A251B2B}">
      <formula1>"sub-surface buoy, surface buoy, attached to fixed structure, attached to gear, floating dock, unknown"</formula1>
    </dataValidation>
    <dataValidation type="list" allowBlank="1" showInputMessage="1" showErrorMessage="1" sqref="AG1078:AH1048576 AA1:AA1077" xr:uid="{F8A24D70-4158-4BC0-9C01-60B81F911E48}">
      <formula1>"rising,falling,slack high, slack low"</formula1>
    </dataValidation>
    <dataValidation type="list" allowBlank="1" showInputMessage="1" showErrorMessage="1" sqref="AN575:AN579 X1:X569 AK1:AK1077" xr:uid="{B3A25C55-C161-485B-A7BC-67EAB5B3A1F4}">
      <formula1>"y,n"</formula1>
    </dataValidation>
    <dataValidation type="date" operator="greaterThan" allowBlank="1" showInputMessage="1" showErrorMessage="1" sqref="G598:G604 A2:A1048576" xr:uid="{408D4309-F772-4711-B2BC-7405AF9200BB}">
      <formula1>43831</formula1>
    </dataValidation>
    <dataValidation type="list" allowBlank="1" showInputMessage="1" showErrorMessage="1" sqref="G1078:G1048576 F1:F1077" xr:uid="{CF75AA07-DE5A-425F-AD7B-50F752533FF2}">
      <formula1>"deployed, retrieved, lost"</formula1>
    </dataValidation>
    <dataValidation type="list" allowBlank="1" showInputMessage="1" showErrorMessage="1" sqref="E1078:E1048576" xr:uid="{BAC56DD3-3A3A-4451-8424-4CF39D8D3746}">
      <formula1>#REF!</formula1>
    </dataValidation>
    <dataValidation type="list" allowBlank="1" showInputMessage="1" showErrorMessage="1" sqref="AI1:AI1077" xr:uid="{6CEFF97D-BF66-4721-AF18-09C1F4D2FD84}">
      <formula1>"none, copper tape, copper cage, PME miniWIPER, pvc pipe, uv light, Hobo DO antifouling protective guard"</formula1>
    </dataValidation>
    <dataValidation type="list" allowBlank="1" showInputMessage="1" showErrorMessage="1" sqref="AE2:AE1077" xr:uid="{B6F73EEE-D99B-4759-A6BD-8C07A25EC955}">
      <formula1>"none, SSL link, Fundy loop"</formula1>
    </dataValidation>
    <dataValidation type="list" allowBlank="1" showInputMessage="1" showErrorMessage="1" sqref="AB2:AB1048576" xr:uid="{D6FDA1AD-9F8E-4937-B4F4-B28C07AEAC27}">
      <formula1>"16"" hard vinyl, 14"" hard vinyl, 14"" hard vinyl (white), 14"" hard vinyl (orange), 11"" hard vinyl, 8"" hard vinyl, nav buoy, vinyl"</formula1>
    </dataValidation>
    <dataValidation type="list" allowBlank="1" showInputMessage="1" showErrorMessage="1" sqref="AC2:AD1048576" xr:uid="{22DBDE75-4E02-4F53-B975-E9F073EE7A8D}">
      <formula1>"11"" hard vinyl, 8"" hard vinyl"</formula1>
    </dataValidation>
  </dataValidations>
  <pageMargins left="0.7" right="0.7" top="0.75" bottom="0.75" header="0.3" footer="0.3"/>
  <pageSetup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16C24A7-E5AC-46AE-BCF4-6B0A87CDDB67}">
          <x14:formula1>
            <xm:f>station_waterbody_county!$A:$A</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8D97-480E-4A1C-A868-3FF779D47BC0}">
  <dimension ref="A1:I231"/>
  <sheetViews>
    <sheetView topLeftCell="A211" zoomScale="115" zoomScaleNormal="115" workbookViewId="0">
      <selection activeCell="F231" sqref="F231:G231"/>
    </sheetView>
  </sheetViews>
  <sheetFormatPr defaultRowHeight="15" x14ac:dyDescent="0.25"/>
  <cols>
    <col min="1" max="1" width="29.140625" style="26" bestFit="1" customWidth="1"/>
    <col min="2" max="2" width="24" bestFit="1" customWidth="1"/>
    <col min="3" max="3" width="14.7109375" bestFit="1" customWidth="1"/>
    <col min="4" max="4" width="12" hidden="1" customWidth="1"/>
    <col min="5" max="5" width="12.7109375" hidden="1" customWidth="1"/>
    <col min="6" max="6" width="13.140625" bestFit="1" customWidth="1"/>
    <col min="7" max="7" width="14.7109375" bestFit="1" customWidth="1"/>
    <col min="8" max="8" width="14.7109375" customWidth="1"/>
  </cols>
  <sheetData>
    <row r="1" spans="1:9" s="2" customFormat="1" x14ac:dyDescent="0.25">
      <c r="A1" s="25" t="s">
        <v>1</v>
      </c>
      <c r="B1" s="2" t="s">
        <v>0</v>
      </c>
      <c r="C1" s="2" t="s">
        <v>747</v>
      </c>
      <c r="D1" s="2" t="s">
        <v>776</v>
      </c>
      <c r="E1" s="2" t="s">
        <v>777</v>
      </c>
      <c r="F1" s="2" t="s">
        <v>778</v>
      </c>
      <c r="G1" s="2" t="s">
        <v>779</v>
      </c>
      <c r="H1" s="2" t="s">
        <v>3</v>
      </c>
      <c r="I1" s="2" t="s">
        <v>31</v>
      </c>
    </row>
    <row r="2" spans="1:9" x14ac:dyDescent="0.25">
      <c r="A2" s="26">
        <v>1042</v>
      </c>
      <c r="B2" t="s">
        <v>48</v>
      </c>
      <c r="C2" t="s">
        <v>749</v>
      </c>
      <c r="D2">
        <v>44.652859999999997</v>
      </c>
      <c r="E2">
        <v>-65.674530000000004</v>
      </c>
      <c r="F2" t="s">
        <v>780</v>
      </c>
      <c r="G2" t="s">
        <v>781</v>
      </c>
      <c r="H2" t="s">
        <v>1296</v>
      </c>
    </row>
    <row r="3" spans="1:9" x14ac:dyDescent="0.25">
      <c r="A3" s="26">
        <v>5004</v>
      </c>
      <c r="B3" t="s">
        <v>48</v>
      </c>
      <c r="C3" t="s">
        <v>749</v>
      </c>
      <c r="D3">
        <v>44.676569999999998</v>
      </c>
      <c r="E3">
        <v>-65.691180000000003</v>
      </c>
      <c r="F3" t="s">
        <v>782</v>
      </c>
      <c r="G3" t="s">
        <v>783</v>
      </c>
      <c r="H3" t="s">
        <v>1296</v>
      </c>
    </row>
    <row r="4" spans="1:9" x14ac:dyDescent="0.25">
      <c r="A4" s="26">
        <v>5005</v>
      </c>
      <c r="B4" t="s">
        <v>48</v>
      </c>
      <c r="C4" t="s">
        <v>749</v>
      </c>
      <c r="D4">
        <v>44.634169999999997</v>
      </c>
      <c r="E4">
        <v>-65.711929999999995</v>
      </c>
      <c r="F4" t="s">
        <v>784</v>
      </c>
      <c r="G4" t="s">
        <v>785</v>
      </c>
      <c r="H4" t="s">
        <v>1296</v>
      </c>
    </row>
    <row r="5" spans="1:9" x14ac:dyDescent="0.25">
      <c r="A5" s="26">
        <v>5006</v>
      </c>
      <c r="B5" t="s">
        <v>48</v>
      </c>
      <c r="C5" t="s">
        <v>749</v>
      </c>
      <c r="D5">
        <v>44.669580000000003</v>
      </c>
      <c r="E5">
        <v>-65.647729999999996</v>
      </c>
      <c r="F5" t="s">
        <v>786</v>
      </c>
      <c r="G5" t="s">
        <v>787</v>
      </c>
      <c r="H5" t="s">
        <v>1296</v>
      </c>
    </row>
    <row r="6" spans="1:9" x14ac:dyDescent="0.25">
      <c r="A6" s="26" t="s">
        <v>131</v>
      </c>
      <c r="B6" t="s">
        <v>48</v>
      </c>
      <c r="C6" t="s">
        <v>749</v>
      </c>
      <c r="D6">
        <v>44.669400000000003</v>
      </c>
      <c r="E6">
        <v>-65.644779999999997</v>
      </c>
      <c r="F6" t="s">
        <v>788</v>
      </c>
      <c r="G6" t="s">
        <v>789</v>
      </c>
      <c r="H6" t="s">
        <v>1296</v>
      </c>
    </row>
    <row r="7" spans="1:9" x14ac:dyDescent="0.25">
      <c r="A7" s="26" t="s">
        <v>162</v>
      </c>
      <c r="B7" t="s">
        <v>48</v>
      </c>
      <c r="C7" t="s">
        <v>749</v>
      </c>
      <c r="D7">
        <v>44.67821</v>
      </c>
      <c r="E7">
        <v>-65.683350000000004</v>
      </c>
      <c r="F7" t="s">
        <v>790</v>
      </c>
      <c r="G7" t="s">
        <v>791</v>
      </c>
      <c r="H7" t="s">
        <v>1296</v>
      </c>
    </row>
    <row r="8" spans="1:9" x14ac:dyDescent="0.25">
      <c r="A8" s="26">
        <v>1442</v>
      </c>
      <c r="B8" t="s">
        <v>95</v>
      </c>
      <c r="C8" t="s">
        <v>748</v>
      </c>
      <c r="D8">
        <v>45.671616999999998</v>
      </c>
      <c r="E8">
        <v>-61.892617000000001</v>
      </c>
      <c r="F8" t="s">
        <v>792</v>
      </c>
      <c r="G8" t="s">
        <v>793</v>
      </c>
      <c r="H8" t="s">
        <v>1296</v>
      </c>
    </row>
    <row r="9" spans="1:9" x14ac:dyDescent="0.25">
      <c r="A9" s="26">
        <v>1443</v>
      </c>
      <c r="B9" t="s">
        <v>95</v>
      </c>
      <c r="C9" t="s">
        <v>748</v>
      </c>
      <c r="D9">
        <v>45.679016670000003</v>
      </c>
      <c r="E9">
        <v>-61.895583330000001</v>
      </c>
      <c r="F9" t="s">
        <v>794</v>
      </c>
      <c r="G9" t="s">
        <v>795</v>
      </c>
      <c r="H9" t="s">
        <v>1296</v>
      </c>
    </row>
    <row r="10" spans="1:9" x14ac:dyDescent="0.25">
      <c r="A10" s="26" t="s">
        <v>213</v>
      </c>
      <c r="B10" t="s">
        <v>95</v>
      </c>
      <c r="C10" t="s">
        <v>748</v>
      </c>
      <c r="D10">
        <v>45.659770000000002</v>
      </c>
      <c r="E10">
        <v>-61.904260000000001</v>
      </c>
      <c r="F10" t="s">
        <v>796</v>
      </c>
      <c r="G10" t="s">
        <v>797</v>
      </c>
      <c r="H10" t="s">
        <v>1297</v>
      </c>
    </row>
    <row r="11" spans="1:9" x14ac:dyDescent="0.25">
      <c r="A11" s="26">
        <v>667</v>
      </c>
      <c r="B11" t="s">
        <v>46</v>
      </c>
      <c r="C11" t="s">
        <v>750</v>
      </c>
      <c r="D11">
        <v>45.493409999999997</v>
      </c>
      <c r="E11">
        <v>-61.019469999999998</v>
      </c>
      <c r="F11" t="s">
        <v>798</v>
      </c>
      <c r="G11" t="s">
        <v>799</v>
      </c>
      <c r="H11" t="s">
        <v>1296</v>
      </c>
    </row>
    <row r="12" spans="1:9" x14ac:dyDescent="0.25">
      <c r="A12" s="26" t="s">
        <v>103</v>
      </c>
      <c r="B12" t="s">
        <v>46</v>
      </c>
      <c r="C12" t="s">
        <v>750</v>
      </c>
      <c r="D12">
        <v>45.501350000000002</v>
      </c>
      <c r="E12">
        <v>-61.041969999999999</v>
      </c>
      <c r="F12" t="s">
        <v>800</v>
      </c>
      <c r="G12" t="s">
        <v>801</v>
      </c>
      <c r="H12" t="s">
        <v>1296</v>
      </c>
    </row>
    <row r="13" spans="1:9" x14ac:dyDescent="0.25">
      <c r="A13" s="26" t="s">
        <v>122</v>
      </c>
      <c r="B13" t="s">
        <v>46</v>
      </c>
      <c r="C13" t="s">
        <v>750</v>
      </c>
      <c r="D13">
        <v>45.498199999999997</v>
      </c>
      <c r="E13">
        <v>-61.019170000000003</v>
      </c>
      <c r="F13" t="s">
        <v>802</v>
      </c>
      <c r="G13" t="s">
        <v>803</v>
      </c>
      <c r="H13" t="s">
        <v>1296</v>
      </c>
    </row>
    <row r="14" spans="1:9" x14ac:dyDescent="0.25">
      <c r="A14" s="26" t="s">
        <v>123</v>
      </c>
      <c r="B14" t="s">
        <v>46</v>
      </c>
      <c r="C14" t="s">
        <v>750</v>
      </c>
      <c r="D14">
        <v>45.500360000000001</v>
      </c>
      <c r="E14">
        <v>-61.018700000000003</v>
      </c>
      <c r="F14" t="s">
        <v>804</v>
      </c>
      <c r="G14" t="s">
        <v>805</v>
      </c>
      <c r="H14" t="s">
        <v>1296</v>
      </c>
    </row>
    <row r="15" spans="1:9" x14ac:dyDescent="0.25">
      <c r="A15" s="26" t="s">
        <v>138</v>
      </c>
      <c r="B15" t="s">
        <v>46</v>
      </c>
      <c r="C15" t="s">
        <v>750</v>
      </c>
      <c r="D15">
        <v>45.490279999999998</v>
      </c>
      <c r="E15">
        <v>-61.038310000000003</v>
      </c>
      <c r="F15" t="s">
        <v>806</v>
      </c>
      <c r="G15" t="s">
        <v>807</v>
      </c>
      <c r="H15" t="s">
        <v>1296</v>
      </c>
    </row>
    <row r="16" spans="1:9" x14ac:dyDescent="0.25">
      <c r="A16" s="26" t="s">
        <v>152</v>
      </c>
      <c r="B16" t="s">
        <v>46</v>
      </c>
      <c r="C16" t="s">
        <v>750</v>
      </c>
      <c r="D16">
        <v>45.498170000000002</v>
      </c>
      <c r="E16">
        <v>-61.044649999999997</v>
      </c>
      <c r="F16" t="s">
        <v>808</v>
      </c>
      <c r="G16" t="s">
        <v>809</v>
      </c>
      <c r="H16" t="s">
        <v>1297</v>
      </c>
    </row>
    <row r="17" spans="1:9" x14ac:dyDescent="0.25">
      <c r="A17" s="26" t="s">
        <v>154</v>
      </c>
      <c r="B17" t="s">
        <v>46</v>
      </c>
      <c r="C17" t="s">
        <v>750</v>
      </c>
      <c r="D17">
        <v>45.498240000000003</v>
      </c>
      <c r="E17">
        <v>-61.019309999999997</v>
      </c>
      <c r="F17" t="s">
        <v>810</v>
      </c>
      <c r="G17" t="s">
        <v>811</v>
      </c>
      <c r="H17" t="s">
        <v>1297</v>
      </c>
    </row>
    <row r="18" spans="1:9" x14ac:dyDescent="0.25">
      <c r="A18" s="26" t="s">
        <v>205</v>
      </c>
      <c r="B18" t="s">
        <v>92</v>
      </c>
      <c r="C18" t="s">
        <v>751</v>
      </c>
      <c r="D18">
        <v>44.503349999999998</v>
      </c>
      <c r="E18">
        <v>-64.049899999999994</v>
      </c>
      <c r="F18" t="s">
        <v>812</v>
      </c>
      <c r="G18" t="s">
        <v>813</v>
      </c>
      <c r="H18" t="s">
        <v>1296</v>
      </c>
    </row>
    <row r="19" spans="1:9" x14ac:dyDescent="0.25">
      <c r="A19" s="26" t="s">
        <v>187</v>
      </c>
      <c r="B19" t="s">
        <v>89</v>
      </c>
      <c r="C19" t="s">
        <v>752</v>
      </c>
      <c r="D19">
        <v>46.911230000000003</v>
      </c>
      <c r="E19">
        <v>-60.474780000000003</v>
      </c>
      <c r="F19" t="s">
        <v>814</v>
      </c>
      <c r="G19" t="s">
        <v>815</v>
      </c>
      <c r="H19" t="s">
        <v>1296</v>
      </c>
    </row>
    <row r="20" spans="1:9" x14ac:dyDescent="0.25">
      <c r="A20" s="26" t="s">
        <v>816</v>
      </c>
      <c r="B20" t="s">
        <v>89</v>
      </c>
      <c r="C20" t="s">
        <v>752</v>
      </c>
      <c r="D20">
        <v>46.926288999999997</v>
      </c>
      <c r="E20">
        <v>-60.448709000000001</v>
      </c>
      <c r="F20" t="s">
        <v>817</v>
      </c>
      <c r="G20" t="s">
        <v>818</v>
      </c>
      <c r="H20" t="s">
        <v>1298</v>
      </c>
    </row>
    <row r="21" spans="1:9" x14ac:dyDescent="0.25">
      <c r="A21" s="26" t="s">
        <v>156</v>
      </c>
      <c r="B21" t="s">
        <v>76</v>
      </c>
      <c r="C21" t="s">
        <v>750</v>
      </c>
      <c r="D21">
        <v>45.529040000000002</v>
      </c>
      <c r="E21">
        <v>-60.926009999999998</v>
      </c>
      <c r="F21" t="s">
        <v>819</v>
      </c>
      <c r="G21" t="s">
        <v>820</v>
      </c>
      <c r="H21" t="s">
        <v>1296</v>
      </c>
    </row>
    <row r="22" spans="1:9" x14ac:dyDescent="0.25">
      <c r="A22" s="26" t="s">
        <v>673</v>
      </c>
      <c r="B22" t="s">
        <v>673</v>
      </c>
      <c r="C22" t="s">
        <v>752</v>
      </c>
      <c r="D22">
        <v>47.013967000000001</v>
      </c>
      <c r="E22">
        <v>-60.488549999999996</v>
      </c>
      <c r="F22" t="s">
        <v>821</v>
      </c>
      <c r="G22" t="s">
        <v>822</v>
      </c>
      <c r="H22" t="s">
        <v>1298</v>
      </c>
    </row>
    <row r="23" spans="1:9" x14ac:dyDescent="0.25">
      <c r="A23" s="26" t="s">
        <v>113</v>
      </c>
      <c r="B23" t="s">
        <v>59</v>
      </c>
      <c r="C23" t="s">
        <v>753</v>
      </c>
      <c r="D23">
        <v>44.876849999999997</v>
      </c>
      <c r="E23">
        <v>-62.399850000000001</v>
      </c>
      <c r="F23" t="s">
        <v>823</v>
      </c>
      <c r="G23" t="s">
        <v>824</v>
      </c>
      <c r="H23" t="s">
        <v>1296</v>
      </c>
    </row>
    <row r="24" spans="1:9" x14ac:dyDescent="0.25">
      <c r="A24" s="26" t="s">
        <v>639</v>
      </c>
      <c r="B24" t="s">
        <v>622</v>
      </c>
      <c r="C24" t="s">
        <v>754</v>
      </c>
      <c r="D24">
        <v>45.903139000000003</v>
      </c>
      <c r="E24">
        <v>-60.72325</v>
      </c>
      <c r="I24" t="s">
        <v>825</v>
      </c>
    </row>
    <row r="25" spans="1:9" x14ac:dyDescent="0.25">
      <c r="A25" s="26" t="s">
        <v>644</v>
      </c>
      <c r="B25" t="s">
        <v>627</v>
      </c>
      <c r="C25" t="s">
        <v>755</v>
      </c>
      <c r="D25">
        <v>45.900416999999997</v>
      </c>
      <c r="E25">
        <v>-61.081139</v>
      </c>
      <c r="I25" t="s">
        <v>825</v>
      </c>
    </row>
    <row r="26" spans="1:9" x14ac:dyDescent="0.25">
      <c r="A26" s="26" t="s">
        <v>660</v>
      </c>
      <c r="B26" t="s">
        <v>659</v>
      </c>
      <c r="C26" t="s">
        <v>756</v>
      </c>
      <c r="D26">
        <v>45.673656000000001</v>
      </c>
      <c r="E26">
        <v>-62.637242000000001</v>
      </c>
      <c r="F26" t="s">
        <v>826</v>
      </c>
      <c r="G26" t="s">
        <v>827</v>
      </c>
      <c r="H26" t="s">
        <v>1296</v>
      </c>
      <c r="I26" t="s">
        <v>828</v>
      </c>
    </row>
    <row r="27" spans="1:9" x14ac:dyDescent="0.25">
      <c r="A27" s="26" t="s">
        <v>829</v>
      </c>
      <c r="B27" t="s">
        <v>57</v>
      </c>
      <c r="C27" t="s">
        <v>752</v>
      </c>
      <c r="D27">
        <v>45.965449999999997</v>
      </c>
      <c r="E27">
        <v>-60.79936</v>
      </c>
      <c r="F27" t="s">
        <v>830</v>
      </c>
      <c r="G27" t="s">
        <v>831</v>
      </c>
      <c r="H27" t="s">
        <v>1296</v>
      </c>
    </row>
    <row r="28" spans="1:9" x14ac:dyDescent="0.25">
      <c r="A28" s="26" t="s">
        <v>832</v>
      </c>
      <c r="B28" t="s">
        <v>57</v>
      </c>
      <c r="C28" t="s">
        <v>752</v>
      </c>
      <c r="D28">
        <v>45.946980000000003</v>
      </c>
      <c r="E28">
        <v>-60.809190000000001</v>
      </c>
      <c r="F28" t="s">
        <v>833</v>
      </c>
      <c r="G28" t="s">
        <v>834</v>
      </c>
      <c r="H28" t="s">
        <v>1296</v>
      </c>
    </row>
    <row r="29" spans="1:9" x14ac:dyDescent="0.25">
      <c r="A29" s="26" t="s">
        <v>1317</v>
      </c>
      <c r="B29" t="s">
        <v>869</v>
      </c>
      <c r="C29" t="s">
        <v>755</v>
      </c>
      <c r="F29" t="s">
        <v>1370</v>
      </c>
      <c r="G29" t="s">
        <v>1371</v>
      </c>
      <c r="H29" t="s">
        <v>1297</v>
      </c>
    </row>
    <row r="30" spans="1:9" x14ac:dyDescent="0.25">
      <c r="A30" s="26" t="s">
        <v>133</v>
      </c>
      <c r="B30" t="s">
        <v>57</v>
      </c>
      <c r="C30" t="s">
        <v>755</v>
      </c>
      <c r="D30">
        <v>45.90399</v>
      </c>
      <c r="E30">
        <v>-60.994860000000003</v>
      </c>
      <c r="F30" t="s">
        <v>835</v>
      </c>
      <c r="G30" t="s">
        <v>836</v>
      </c>
      <c r="H30" t="s">
        <v>1296</v>
      </c>
    </row>
    <row r="31" spans="1:9" x14ac:dyDescent="0.25">
      <c r="A31" s="26" t="s">
        <v>134</v>
      </c>
      <c r="B31" t="s">
        <v>57</v>
      </c>
      <c r="C31" t="s">
        <v>755</v>
      </c>
      <c r="D31">
        <v>45.901029999999999</v>
      </c>
      <c r="E31">
        <v>-61.028660000000002</v>
      </c>
      <c r="F31" t="s">
        <v>837</v>
      </c>
      <c r="G31" t="s">
        <v>838</v>
      </c>
      <c r="H31" t="s">
        <v>1296</v>
      </c>
    </row>
    <row r="32" spans="1:9" x14ac:dyDescent="0.25">
      <c r="A32" s="26" t="s">
        <v>1372</v>
      </c>
      <c r="B32" t="s">
        <v>621</v>
      </c>
      <c r="C32" t="s">
        <v>754</v>
      </c>
      <c r="D32">
        <v>45.973419999999997</v>
      </c>
      <c r="E32">
        <v>-60.470199999999998</v>
      </c>
      <c r="F32" t="s">
        <v>839</v>
      </c>
      <c r="G32" t="s">
        <v>840</v>
      </c>
      <c r="H32" t="s">
        <v>1297</v>
      </c>
    </row>
    <row r="33" spans="1:8" x14ac:dyDescent="0.25">
      <c r="A33" s="26" t="s">
        <v>1401</v>
      </c>
      <c r="B33" t="s">
        <v>1402</v>
      </c>
      <c r="C33" t="s">
        <v>751</v>
      </c>
      <c r="F33" t="s">
        <v>1403</v>
      </c>
      <c r="G33" t="s">
        <v>1404</v>
      </c>
      <c r="H33" t="s">
        <v>1297</v>
      </c>
    </row>
    <row r="34" spans="1:8" x14ac:dyDescent="0.25">
      <c r="A34" s="26" t="s">
        <v>144</v>
      </c>
      <c r="B34" t="s">
        <v>57</v>
      </c>
      <c r="C34" t="s">
        <v>752</v>
      </c>
      <c r="D34">
        <v>46.251370000000001</v>
      </c>
      <c r="E34">
        <v>-60.46452</v>
      </c>
      <c r="F34" t="s">
        <v>841</v>
      </c>
      <c r="G34" t="s">
        <v>842</v>
      </c>
      <c r="H34" t="s">
        <v>1296</v>
      </c>
    </row>
    <row r="35" spans="1:8" x14ac:dyDescent="0.25">
      <c r="A35" s="26" t="s">
        <v>145</v>
      </c>
      <c r="B35" t="s">
        <v>57</v>
      </c>
      <c r="C35" t="s">
        <v>752</v>
      </c>
      <c r="D35">
        <v>46.255479999999999</v>
      </c>
      <c r="E35">
        <v>-60.47119</v>
      </c>
      <c r="F35" t="s">
        <v>843</v>
      </c>
      <c r="G35" t="s">
        <v>844</v>
      </c>
      <c r="H35" t="s">
        <v>1296</v>
      </c>
    </row>
    <row r="36" spans="1:8" x14ac:dyDescent="0.25">
      <c r="A36" s="26" t="s">
        <v>146</v>
      </c>
      <c r="B36" t="s">
        <v>57</v>
      </c>
      <c r="C36" t="s">
        <v>752</v>
      </c>
      <c r="D36">
        <v>46.118409999999997</v>
      </c>
      <c r="E36">
        <v>-60.62659</v>
      </c>
      <c r="F36" t="s">
        <v>845</v>
      </c>
      <c r="G36" t="s">
        <v>846</v>
      </c>
      <c r="H36" t="s">
        <v>1296</v>
      </c>
    </row>
    <row r="37" spans="1:8" x14ac:dyDescent="0.25">
      <c r="A37" s="26" t="s">
        <v>147</v>
      </c>
      <c r="B37" t="s">
        <v>57</v>
      </c>
      <c r="C37" t="s">
        <v>752</v>
      </c>
      <c r="D37">
        <v>46.12059</v>
      </c>
      <c r="E37">
        <v>-60.633960000000002</v>
      </c>
      <c r="F37" t="s">
        <v>847</v>
      </c>
      <c r="G37" t="s">
        <v>848</v>
      </c>
      <c r="H37" t="s">
        <v>1296</v>
      </c>
    </row>
    <row r="38" spans="1:8" x14ac:dyDescent="0.25">
      <c r="A38" s="26" t="s">
        <v>158</v>
      </c>
      <c r="B38" t="s">
        <v>57</v>
      </c>
      <c r="C38" t="s">
        <v>754</v>
      </c>
      <c r="D38">
        <v>46.296259999999997</v>
      </c>
      <c r="E38">
        <v>-60.287689999999998</v>
      </c>
      <c r="F38" t="s">
        <v>849</v>
      </c>
      <c r="G38" t="s">
        <v>850</v>
      </c>
      <c r="H38" t="s">
        <v>1296</v>
      </c>
    </row>
    <row r="39" spans="1:8" x14ac:dyDescent="0.25">
      <c r="A39" s="26" t="s">
        <v>159</v>
      </c>
      <c r="B39" t="s">
        <v>57</v>
      </c>
      <c r="C39" t="s">
        <v>752</v>
      </c>
      <c r="D39">
        <v>45.998980000000003</v>
      </c>
      <c r="E39">
        <v>-60.974339999999998</v>
      </c>
      <c r="F39" t="s">
        <v>851</v>
      </c>
      <c r="G39" t="s">
        <v>852</v>
      </c>
      <c r="H39" t="s">
        <v>1296</v>
      </c>
    </row>
    <row r="40" spans="1:8" x14ac:dyDescent="0.25">
      <c r="A40" s="26" t="s">
        <v>160</v>
      </c>
      <c r="B40" t="s">
        <v>57</v>
      </c>
      <c r="C40" t="s">
        <v>752</v>
      </c>
      <c r="D40">
        <v>45.986409999999999</v>
      </c>
      <c r="E40">
        <v>-60.990279999999998</v>
      </c>
      <c r="F40" t="s">
        <v>853</v>
      </c>
      <c r="G40" t="s">
        <v>854</v>
      </c>
      <c r="H40" t="s">
        <v>1296</v>
      </c>
    </row>
    <row r="41" spans="1:8" x14ac:dyDescent="0.25">
      <c r="A41" s="26" t="s">
        <v>1316</v>
      </c>
      <c r="B41" t="s">
        <v>869</v>
      </c>
      <c r="C41" t="s">
        <v>755</v>
      </c>
      <c r="F41" t="s">
        <v>1368</v>
      </c>
      <c r="G41" t="s">
        <v>1369</v>
      </c>
      <c r="H41" t="s">
        <v>1297</v>
      </c>
    </row>
    <row r="42" spans="1:8" x14ac:dyDescent="0.25">
      <c r="A42" s="26" t="s">
        <v>1360</v>
      </c>
      <c r="B42" t="s">
        <v>1375</v>
      </c>
      <c r="C42" t="s">
        <v>754</v>
      </c>
      <c r="F42" t="s">
        <v>1373</v>
      </c>
      <c r="G42" t="s">
        <v>1374</v>
      </c>
      <c r="H42" t="s">
        <v>1297</v>
      </c>
    </row>
    <row r="43" spans="1:8" x14ac:dyDescent="0.25">
      <c r="A43" s="26" t="s">
        <v>190</v>
      </c>
      <c r="B43" t="s">
        <v>57</v>
      </c>
      <c r="C43" t="s">
        <v>752</v>
      </c>
      <c r="D43">
        <v>46.065240000000003</v>
      </c>
      <c r="E43">
        <v>-60.894829999999999</v>
      </c>
      <c r="F43" t="s">
        <v>855</v>
      </c>
      <c r="G43" t="s">
        <v>856</v>
      </c>
      <c r="H43" t="s">
        <v>1296</v>
      </c>
    </row>
    <row r="44" spans="1:8" x14ac:dyDescent="0.25">
      <c r="A44" s="26" t="s">
        <v>191</v>
      </c>
      <c r="B44" t="s">
        <v>57</v>
      </c>
      <c r="C44" t="s">
        <v>752</v>
      </c>
      <c r="D44">
        <v>46.064779999999999</v>
      </c>
      <c r="E44">
        <v>-60.902360000000002</v>
      </c>
      <c r="F44" t="s">
        <v>857</v>
      </c>
      <c r="G44" t="s">
        <v>858</v>
      </c>
      <c r="H44" t="s">
        <v>1296</v>
      </c>
    </row>
    <row r="45" spans="1:8" x14ac:dyDescent="0.25">
      <c r="A45" s="26" t="s">
        <v>1359</v>
      </c>
      <c r="B45" t="s">
        <v>1376</v>
      </c>
      <c r="C45" t="s">
        <v>752</v>
      </c>
      <c r="F45" t="s">
        <v>1361</v>
      </c>
      <c r="G45" t="s">
        <v>1362</v>
      </c>
      <c r="H45" t="s">
        <v>1297</v>
      </c>
    </row>
    <row r="46" spans="1:8" x14ac:dyDescent="0.25">
      <c r="A46" s="26" t="s">
        <v>215</v>
      </c>
      <c r="B46" t="s">
        <v>57</v>
      </c>
      <c r="C46" t="s">
        <v>754</v>
      </c>
      <c r="D46">
        <v>46.243290000000002</v>
      </c>
      <c r="E46">
        <v>-60.303109999999997</v>
      </c>
      <c r="F46" t="s">
        <v>859</v>
      </c>
      <c r="G46" t="s">
        <v>860</v>
      </c>
      <c r="H46" t="s">
        <v>1296</v>
      </c>
    </row>
    <row r="47" spans="1:8" x14ac:dyDescent="0.25">
      <c r="A47" s="26" t="s">
        <v>216</v>
      </c>
      <c r="B47" t="s">
        <v>57</v>
      </c>
      <c r="C47" t="s">
        <v>750</v>
      </c>
      <c r="D47">
        <v>45.659550000000003</v>
      </c>
      <c r="E47">
        <v>-60.864510000000003</v>
      </c>
      <c r="F47" t="s">
        <v>861</v>
      </c>
      <c r="G47" t="s">
        <v>862</v>
      </c>
      <c r="H47" t="s">
        <v>1296</v>
      </c>
    </row>
    <row r="48" spans="1:8" x14ac:dyDescent="0.25">
      <c r="A48" s="26" t="s">
        <v>217</v>
      </c>
      <c r="B48" t="s">
        <v>57</v>
      </c>
      <c r="C48" t="s">
        <v>750</v>
      </c>
      <c r="D48">
        <v>45.650790000000001</v>
      </c>
      <c r="E48">
        <v>-60.874079999999999</v>
      </c>
      <c r="F48" t="s">
        <v>863</v>
      </c>
      <c r="G48" t="s">
        <v>864</v>
      </c>
      <c r="H48" t="s">
        <v>1296</v>
      </c>
    </row>
    <row r="49" spans="1:9" x14ac:dyDescent="0.25">
      <c r="A49" s="26" t="s">
        <v>869</v>
      </c>
      <c r="B49" t="s">
        <v>1367</v>
      </c>
      <c r="C49" t="s">
        <v>750</v>
      </c>
      <c r="D49">
        <v>45.710729999999998</v>
      </c>
      <c r="E49">
        <v>-61.139620000000001</v>
      </c>
      <c r="F49" t="s">
        <v>870</v>
      </c>
      <c r="G49" t="s">
        <v>871</v>
      </c>
      <c r="H49" t="s">
        <v>1297</v>
      </c>
    </row>
    <row r="50" spans="1:9" x14ac:dyDescent="0.25">
      <c r="A50" s="26" t="s">
        <v>650</v>
      </c>
      <c r="B50" t="s">
        <v>631</v>
      </c>
      <c r="C50" t="s">
        <v>752</v>
      </c>
      <c r="D50">
        <v>46.025167000000003</v>
      </c>
      <c r="E50">
        <v>-60.863</v>
      </c>
      <c r="I50" t="s">
        <v>825</v>
      </c>
    </row>
    <row r="51" spans="1:9" x14ac:dyDescent="0.25">
      <c r="A51" s="26" t="s">
        <v>237</v>
      </c>
      <c r="B51" t="s">
        <v>102</v>
      </c>
      <c r="C51" t="s">
        <v>758</v>
      </c>
      <c r="D51">
        <v>43.831530000000001</v>
      </c>
      <c r="E51">
        <v>-66.173209999999997</v>
      </c>
      <c r="F51" t="s">
        <v>872</v>
      </c>
      <c r="G51" t="s">
        <v>873</v>
      </c>
      <c r="H51" t="s">
        <v>1297</v>
      </c>
    </row>
    <row r="52" spans="1:9" x14ac:dyDescent="0.25">
      <c r="A52" s="26" t="s">
        <v>232</v>
      </c>
      <c r="B52" t="s">
        <v>100</v>
      </c>
      <c r="C52" t="s">
        <v>756</v>
      </c>
      <c r="D52">
        <v>45.756250000000001</v>
      </c>
      <c r="E52">
        <v>-62.770310000000002</v>
      </c>
      <c r="F52" t="s">
        <v>874</v>
      </c>
      <c r="G52" t="s">
        <v>875</v>
      </c>
      <c r="H52" t="s">
        <v>1296</v>
      </c>
    </row>
    <row r="53" spans="1:9" x14ac:dyDescent="0.25">
      <c r="A53" s="26" t="s">
        <v>74</v>
      </c>
      <c r="B53" t="s">
        <v>74</v>
      </c>
      <c r="C53" t="s">
        <v>756</v>
      </c>
      <c r="D53">
        <v>45.669069999999998</v>
      </c>
      <c r="E53">
        <v>-62.571899999999999</v>
      </c>
      <c r="F53" t="s">
        <v>876</v>
      </c>
      <c r="G53" t="s">
        <v>877</v>
      </c>
      <c r="H53" t="s">
        <v>1296</v>
      </c>
    </row>
    <row r="54" spans="1:9" x14ac:dyDescent="0.25">
      <c r="A54" s="26" t="s">
        <v>151</v>
      </c>
      <c r="B54" t="s">
        <v>74</v>
      </c>
      <c r="C54" t="s">
        <v>756</v>
      </c>
      <c r="D54">
        <v>45.669119999999999</v>
      </c>
      <c r="E54">
        <v>-62.572499999999998</v>
      </c>
      <c r="F54" t="s">
        <v>878</v>
      </c>
      <c r="G54" t="s">
        <v>879</v>
      </c>
      <c r="H54" t="s">
        <v>1296</v>
      </c>
    </row>
    <row r="55" spans="1:9" x14ac:dyDescent="0.25">
      <c r="A55" s="26" t="s">
        <v>114</v>
      </c>
      <c r="B55" t="s">
        <v>60</v>
      </c>
      <c r="C55" t="s">
        <v>758</v>
      </c>
      <c r="D55">
        <v>43.770389999999999</v>
      </c>
      <c r="E55">
        <v>-66.135180000000005</v>
      </c>
      <c r="F55" t="s">
        <v>880</v>
      </c>
      <c r="G55" t="s">
        <v>881</v>
      </c>
      <c r="H55" t="s">
        <v>1297</v>
      </c>
    </row>
    <row r="56" spans="1:9" x14ac:dyDescent="0.25">
      <c r="A56" s="26" t="s">
        <v>135</v>
      </c>
      <c r="B56" t="s">
        <v>69</v>
      </c>
      <c r="C56" t="s">
        <v>759</v>
      </c>
      <c r="D56">
        <v>45.359050000000003</v>
      </c>
      <c r="E56">
        <v>-61.41966</v>
      </c>
      <c r="F56" t="s">
        <v>882</v>
      </c>
      <c r="G56" t="s">
        <v>883</v>
      </c>
      <c r="H56" t="s">
        <v>1296</v>
      </c>
    </row>
    <row r="57" spans="1:9" x14ac:dyDescent="0.25">
      <c r="A57" s="26" t="s">
        <v>136</v>
      </c>
      <c r="B57" t="s">
        <v>69</v>
      </c>
      <c r="C57" t="s">
        <v>759</v>
      </c>
      <c r="D57">
        <v>45.360849999999999</v>
      </c>
      <c r="E57">
        <v>-61.407029999999999</v>
      </c>
      <c r="F57" t="s">
        <v>884</v>
      </c>
      <c r="G57" t="s">
        <v>885</v>
      </c>
      <c r="H57" t="s">
        <v>1297</v>
      </c>
      <c r="I57" t="s">
        <v>886</v>
      </c>
    </row>
    <row r="58" spans="1:9" x14ac:dyDescent="0.25">
      <c r="A58" s="26" t="s">
        <v>183</v>
      </c>
      <c r="B58" t="s">
        <v>69</v>
      </c>
      <c r="C58" t="s">
        <v>759</v>
      </c>
      <c r="D58">
        <v>45.399799999999999</v>
      </c>
      <c r="E58">
        <v>-61.420720000000003</v>
      </c>
      <c r="F58" t="s">
        <v>887</v>
      </c>
      <c r="G58" t="s">
        <v>888</v>
      </c>
      <c r="H58" t="s">
        <v>1296</v>
      </c>
    </row>
    <row r="59" spans="1:9" x14ac:dyDescent="0.25">
      <c r="A59" s="26" t="s">
        <v>184</v>
      </c>
      <c r="B59" t="s">
        <v>69</v>
      </c>
      <c r="C59" t="s">
        <v>759</v>
      </c>
      <c r="D59">
        <v>45.395000000000003</v>
      </c>
      <c r="E59">
        <v>-61.409509999999997</v>
      </c>
      <c r="F59" t="s">
        <v>889</v>
      </c>
      <c r="G59" t="s">
        <v>890</v>
      </c>
      <c r="H59" t="s">
        <v>1297</v>
      </c>
      <c r="I59" t="s">
        <v>891</v>
      </c>
    </row>
    <row r="60" spans="1:9" x14ac:dyDescent="0.25">
      <c r="A60" s="26" t="s">
        <v>200</v>
      </c>
      <c r="B60" t="s">
        <v>69</v>
      </c>
      <c r="C60" t="s">
        <v>759</v>
      </c>
      <c r="D60">
        <v>45.350879999999997</v>
      </c>
      <c r="E60">
        <v>-61.26811</v>
      </c>
      <c r="F60" t="s">
        <v>892</v>
      </c>
      <c r="G60" t="s">
        <v>893</v>
      </c>
      <c r="H60" t="s">
        <v>1296</v>
      </c>
    </row>
    <row r="61" spans="1:9" x14ac:dyDescent="0.25">
      <c r="A61" s="26" t="s">
        <v>201</v>
      </c>
      <c r="B61" t="s">
        <v>69</v>
      </c>
      <c r="C61" t="s">
        <v>759</v>
      </c>
      <c r="D61">
        <v>45.352319999999999</v>
      </c>
      <c r="E61">
        <v>-61.28687</v>
      </c>
      <c r="F61" t="s">
        <v>894</v>
      </c>
      <c r="G61" t="s">
        <v>895</v>
      </c>
      <c r="H61" t="s">
        <v>1297</v>
      </c>
      <c r="I61" t="s">
        <v>896</v>
      </c>
    </row>
    <row r="62" spans="1:9" x14ac:dyDescent="0.25">
      <c r="A62" s="26" t="s">
        <v>224</v>
      </c>
      <c r="B62" t="s">
        <v>69</v>
      </c>
      <c r="C62" t="s">
        <v>759</v>
      </c>
      <c r="D62">
        <v>45.354930000000003</v>
      </c>
      <c r="E62">
        <v>-61.037930000000003</v>
      </c>
      <c r="F62" t="s">
        <v>897</v>
      </c>
      <c r="G62" t="s">
        <v>898</v>
      </c>
      <c r="H62" t="s">
        <v>1296</v>
      </c>
    </row>
    <row r="63" spans="1:9" x14ac:dyDescent="0.25">
      <c r="A63" s="26" t="s">
        <v>225</v>
      </c>
      <c r="B63" t="s">
        <v>69</v>
      </c>
      <c r="C63" t="s">
        <v>759</v>
      </c>
      <c r="D63">
        <v>45.361800000000002</v>
      </c>
      <c r="E63">
        <v>-61.043999999999997</v>
      </c>
      <c r="F63" t="s">
        <v>899</v>
      </c>
      <c r="G63" t="s">
        <v>900</v>
      </c>
      <c r="H63" t="s">
        <v>1297</v>
      </c>
      <c r="I63" t="s">
        <v>901</v>
      </c>
    </row>
    <row r="64" spans="1:9" x14ac:dyDescent="0.25">
      <c r="A64" s="26">
        <v>1</v>
      </c>
      <c r="B64" t="s">
        <v>43</v>
      </c>
      <c r="C64" t="s">
        <v>759</v>
      </c>
      <c r="D64">
        <v>45.185609999999997</v>
      </c>
      <c r="E64">
        <v>-61.716760000000001</v>
      </c>
      <c r="F64" t="s">
        <v>902</v>
      </c>
      <c r="G64" t="s">
        <v>903</v>
      </c>
      <c r="H64" t="s">
        <v>1296</v>
      </c>
    </row>
    <row r="65" spans="1:9" x14ac:dyDescent="0.25">
      <c r="A65" s="26">
        <v>622</v>
      </c>
      <c r="B65" t="s">
        <v>43</v>
      </c>
      <c r="C65" t="s">
        <v>759</v>
      </c>
      <c r="D65">
        <v>45.231940000000002</v>
      </c>
      <c r="E65">
        <v>-61.76</v>
      </c>
      <c r="F65" t="s">
        <v>904</v>
      </c>
      <c r="G65" t="s">
        <v>905</v>
      </c>
      <c r="H65" t="s">
        <v>1296</v>
      </c>
    </row>
    <row r="66" spans="1:9" x14ac:dyDescent="0.25">
      <c r="A66" s="26">
        <v>1307</v>
      </c>
      <c r="B66" t="s">
        <v>43</v>
      </c>
      <c r="C66" t="s">
        <v>759</v>
      </c>
      <c r="D66">
        <v>45.160069999999997</v>
      </c>
      <c r="E66">
        <v>-61.680059999999997</v>
      </c>
      <c r="F66" t="s">
        <v>906</v>
      </c>
      <c r="G66" t="s">
        <v>907</v>
      </c>
      <c r="H66" t="s">
        <v>1296</v>
      </c>
    </row>
    <row r="67" spans="1:9" x14ac:dyDescent="0.25">
      <c r="A67" s="26" t="s">
        <v>234</v>
      </c>
      <c r="B67" t="s">
        <v>43</v>
      </c>
      <c r="C67" t="s">
        <v>759</v>
      </c>
      <c r="D67">
        <v>45.173900000000003</v>
      </c>
      <c r="E67">
        <v>-61.707540000000002</v>
      </c>
      <c r="F67" t="s">
        <v>908</v>
      </c>
      <c r="G67" t="s">
        <v>909</v>
      </c>
      <c r="H67" t="s">
        <v>1296</v>
      </c>
    </row>
    <row r="68" spans="1:9" x14ac:dyDescent="0.25">
      <c r="A68" s="26">
        <v>193</v>
      </c>
      <c r="B68" t="s">
        <v>45</v>
      </c>
      <c r="C68" t="s">
        <v>755</v>
      </c>
      <c r="D68">
        <v>46.007179999999998</v>
      </c>
      <c r="E68">
        <v>-60.98854</v>
      </c>
      <c r="F68" t="s">
        <v>910</v>
      </c>
      <c r="G68" t="s">
        <v>911</v>
      </c>
      <c r="H68" t="s">
        <v>1296</v>
      </c>
    </row>
    <row r="69" spans="1:9" x14ac:dyDescent="0.25">
      <c r="A69" s="26" t="s">
        <v>645</v>
      </c>
      <c r="B69" t="s">
        <v>45</v>
      </c>
      <c r="C69" t="s">
        <v>755</v>
      </c>
      <c r="D69">
        <v>46.008028000000003</v>
      </c>
      <c r="E69">
        <v>-60.989249999999998</v>
      </c>
      <c r="I69" t="s">
        <v>825</v>
      </c>
    </row>
    <row r="70" spans="1:9" x14ac:dyDescent="0.25">
      <c r="A70" s="26" t="s">
        <v>171</v>
      </c>
      <c r="B70" t="s">
        <v>82</v>
      </c>
      <c r="C70" t="s">
        <v>759</v>
      </c>
      <c r="D70">
        <v>45.267670000000003</v>
      </c>
      <c r="E70">
        <v>-60.979390000000002</v>
      </c>
      <c r="F70" t="s">
        <v>912</v>
      </c>
      <c r="G70" t="s">
        <v>913</v>
      </c>
      <c r="H70" t="s">
        <v>1296</v>
      </c>
    </row>
    <row r="71" spans="1:9" x14ac:dyDescent="0.25">
      <c r="A71" s="26" t="s">
        <v>172</v>
      </c>
      <c r="B71" t="s">
        <v>82</v>
      </c>
      <c r="C71" t="s">
        <v>759</v>
      </c>
      <c r="D71">
        <v>45.265799999999999</v>
      </c>
      <c r="E71">
        <v>-60.960850000000001</v>
      </c>
      <c r="F71" t="s">
        <v>914</v>
      </c>
      <c r="G71" t="s">
        <v>915</v>
      </c>
      <c r="H71" t="s">
        <v>1297</v>
      </c>
      <c r="I71" t="s">
        <v>916</v>
      </c>
    </row>
    <row r="72" spans="1:9" x14ac:dyDescent="0.25">
      <c r="A72" s="26" t="s">
        <v>207</v>
      </c>
      <c r="B72" t="s">
        <v>82</v>
      </c>
      <c r="C72" t="s">
        <v>759</v>
      </c>
      <c r="D72">
        <v>45.258589999999998</v>
      </c>
      <c r="E72">
        <v>-60.999470000000002</v>
      </c>
      <c r="F72" t="s">
        <v>917</v>
      </c>
      <c r="G72" t="s">
        <v>918</v>
      </c>
      <c r="H72" t="s">
        <v>1296</v>
      </c>
    </row>
    <row r="73" spans="1:9" x14ac:dyDescent="0.25">
      <c r="A73" s="26" t="s">
        <v>208</v>
      </c>
      <c r="B73" t="s">
        <v>82</v>
      </c>
      <c r="C73" t="s">
        <v>759</v>
      </c>
      <c r="D73">
        <v>45.252470000000002</v>
      </c>
      <c r="E73">
        <v>-61.017870000000002</v>
      </c>
      <c r="F73" t="s">
        <v>919</v>
      </c>
      <c r="G73" t="s">
        <v>920</v>
      </c>
      <c r="H73" t="s">
        <v>1297</v>
      </c>
      <c r="I73" t="s">
        <v>921</v>
      </c>
    </row>
    <row r="74" spans="1:9" x14ac:dyDescent="0.25">
      <c r="A74" s="26" t="s">
        <v>638</v>
      </c>
      <c r="B74" t="s">
        <v>621</v>
      </c>
      <c r="C74" t="s">
        <v>754</v>
      </c>
      <c r="D74">
        <v>46.015694000000003</v>
      </c>
      <c r="E74">
        <v>-60.393000000000001</v>
      </c>
      <c r="I74" t="s">
        <v>825</v>
      </c>
    </row>
    <row r="75" spans="1:9" x14ac:dyDescent="0.25">
      <c r="A75" s="26" t="s">
        <v>386</v>
      </c>
      <c r="B75" t="s">
        <v>86</v>
      </c>
      <c r="C75" t="s">
        <v>759</v>
      </c>
      <c r="D75">
        <v>45.083765999999997</v>
      </c>
      <c r="E75">
        <v>-61.646531000000003</v>
      </c>
      <c r="F75" t="s">
        <v>922</v>
      </c>
      <c r="G75" t="s">
        <v>923</v>
      </c>
      <c r="H75" t="s">
        <v>1296</v>
      </c>
    </row>
    <row r="76" spans="1:9" x14ac:dyDescent="0.25">
      <c r="A76" s="26" t="s">
        <v>178</v>
      </c>
      <c r="B76" t="s">
        <v>86</v>
      </c>
      <c r="C76" t="s">
        <v>759</v>
      </c>
      <c r="D76">
        <v>45.101990000000001</v>
      </c>
      <c r="E76">
        <v>-61.629950000000001</v>
      </c>
      <c r="F76" t="s">
        <v>924</v>
      </c>
      <c r="G76" t="s">
        <v>925</v>
      </c>
      <c r="H76" t="s">
        <v>1297</v>
      </c>
    </row>
    <row r="77" spans="1:9" x14ac:dyDescent="0.25">
      <c r="A77" s="26" t="s">
        <v>926</v>
      </c>
      <c r="B77" t="s">
        <v>760</v>
      </c>
      <c r="C77" t="s">
        <v>754</v>
      </c>
      <c r="D77">
        <v>45.731496</v>
      </c>
      <c r="E77">
        <v>-60.209156</v>
      </c>
      <c r="F77" t="s">
        <v>927</v>
      </c>
      <c r="G77" t="s">
        <v>928</v>
      </c>
      <c r="H77" t="s">
        <v>1298</v>
      </c>
      <c r="I77" t="s">
        <v>775</v>
      </c>
    </row>
    <row r="78" spans="1:9" x14ac:dyDescent="0.25">
      <c r="A78" s="26" t="s">
        <v>199</v>
      </c>
      <c r="B78" t="s">
        <v>91</v>
      </c>
      <c r="C78" t="s">
        <v>756</v>
      </c>
      <c r="D78">
        <v>45.66</v>
      </c>
      <c r="E78">
        <v>-62.411670000000001</v>
      </c>
      <c r="F78" t="s">
        <v>929</v>
      </c>
      <c r="G78" t="s">
        <v>930</v>
      </c>
      <c r="H78" t="s">
        <v>1296</v>
      </c>
    </row>
    <row r="79" spans="1:9" x14ac:dyDescent="0.25">
      <c r="A79" s="26" t="s">
        <v>105</v>
      </c>
      <c r="B79" t="s">
        <v>54</v>
      </c>
      <c r="C79" t="s">
        <v>748</v>
      </c>
      <c r="D79">
        <v>45.677680000000002</v>
      </c>
      <c r="E79">
        <v>-61.912480000000002</v>
      </c>
      <c r="F79" t="s">
        <v>931</v>
      </c>
      <c r="G79" t="s">
        <v>932</v>
      </c>
      <c r="H79" t="s">
        <v>1296</v>
      </c>
    </row>
    <row r="80" spans="1:9" x14ac:dyDescent="0.25">
      <c r="A80" s="26" t="s">
        <v>106</v>
      </c>
      <c r="B80" t="s">
        <v>54</v>
      </c>
      <c r="C80" t="s">
        <v>748</v>
      </c>
      <c r="D80">
        <v>45.677619999999997</v>
      </c>
      <c r="E80">
        <v>-61.912649999999999</v>
      </c>
      <c r="F80" t="s">
        <v>933</v>
      </c>
      <c r="G80" t="s">
        <v>934</v>
      </c>
      <c r="H80" t="s">
        <v>1296</v>
      </c>
    </row>
    <row r="81" spans="1:9" x14ac:dyDescent="0.25">
      <c r="A81" s="26" t="s">
        <v>107</v>
      </c>
      <c r="B81" t="s">
        <v>54</v>
      </c>
      <c r="C81" t="s">
        <v>748</v>
      </c>
      <c r="D81">
        <v>45.67756</v>
      </c>
      <c r="E81">
        <v>-61.912820000000004</v>
      </c>
      <c r="F81" t="s">
        <v>935</v>
      </c>
      <c r="G81" t="s">
        <v>936</v>
      </c>
      <c r="H81" t="s">
        <v>1296</v>
      </c>
    </row>
    <row r="82" spans="1:9" x14ac:dyDescent="0.25">
      <c r="A82" s="26" t="s">
        <v>124</v>
      </c>
      <c r="B82" t="s">
        <v>54</v>
      </c>
      <c r="C82" t="s">
        <v>748</v>
      </c>
      <c r="D82">
        <v>45.674799999999998</v>
      </c>
      <c r="E82">
        <v>-61.907859999999999</v>
      </c>
      <c r="F82" t="s">
        <v>937</v>
      </c>
      <c r="G82" t="s">
        <v>938</v>
      </c>
      <c r="H82" t="s">
        <v>1297</v>
      </c>
    </row>
    <row r="83" spans="1:9" x14ac:dyDescent="0.25">
      <c r="A83" s="26" t="s">
        <v>112</v>
      </c>
      <c r="B83" t="s">
        <v>58</v>
      </c>
      <c r="C83" t="s">
        <v>761</v>
      </c>
      <c r="D83">
        <v>44.010190000000001</v>
      </c>
      <c r="E83">
        <v>-66.186179999999993</v>
      </c>
      <c r="F83" t="s">
        <v>939</v>
      </c>
      <c r="G83" t="s">
        <v>940</v>
      </c>
      <c r="H83" t="s">
        <v>1297</v>
      </c>
    </row>
    <row r="84" spans="1:9" x14ac:dyDescent="0.25">
      <c r="A84" s="26" t="s">
        <v>117</v>
      </c>
      <c r="B84" t="s">
        <v>63</v>
      </c>
      <c r="C84" t="s">
        <v>762</v>
      </c>
      <c r="D84">
        <v>43.686279999999996</v>
      </c>
      <c r="E84">
        <v>-65.167810000000003</v>
      </c>
      <c r="F84" t="s">
        <v>941</v>
      </c>
      <c r="G84" t="s">
        <v>942</v>
      </c>
      <c r="H84" t="s">
        <v>1297</v>
      </c>
    </row>
    <row r="85" spans="1:9" x14ac:dyDescent="0.25">
      <c r="A85" s="26" t="s">
        <v>608</v>
      </c>
      <c r="B85" t="s">
        <v>614</v>
      </c>
      <c r="C85" t="s">
        <v>753</v>
      </c>
      <c r="D85">
        <v>44.623361000000003</v>
      </c>
      <c r="E85">
        <v>-63.521050000000002</v>
      </c>
      <c r="F85" t="s">
        <v>943</v>
      </c>
      <c r="G85" t="s">
        <v>944</v>
      </c>
      <c r="H85" t="s">
        <v>1296</v>
      </c>
    </row>
    <row r="86" spans="1:9" x14ac:dyDescent="0.25">
      <c r="A86" s="26" t="s">
        <v>149</v>
      </c>
      <c r="B86" t="s">
        <v>72</v>
      </c>
      <c r="C86" t="s">
        <v>748</v>
      </c>
      <c r="D86">
        <v>45.690309999999997</v>
      </c>
      <c r="E86">
        <v>-61.517310000000002</v>
      </c>
      <c r="F86" t="s">
        <v>945</v>
      </c>
      <c r="G86" t="s">
        <v>946</v>
      </c>
      <c r="H86" t="s">
        <v>1296</v>
      </c>
    </row>
    <row r="87" spans="1:9" x14ac:dyDescent="0.25">
      <c r="A87" s="26" t="s">
        <v>110</v>
      </c>
      <c r="B87" t="s">
        <v>56</v>
      </c>
      <c r="C87" t="s">
        <v>759</v>
      </c>
      <c r="D87">
        <v>45.084809999999997</v>
      </c>
      <c r="E87">
        <v>-61.823639999999997</v>
      </c>
      <c r="F87" t="s">
        <v>947</v>
      </c>
      <c r="G87" t="s">
        <v>948</v>
      </c>
      <c r="H87" t="s">
        <v>1297</v>
      </c>
    </row>
    <row r="88" spans="1:9" x14ac:dyDescent="0.25">
      <c r="A88" s="26" t="s">
        <v>209</v>
      </c>
      <c r="B88" t="s">
        <v>94</v>
      </c>
      <c r="C88" t="s">
        <v>758</v>
      </c>
      <c r="D88">
        <v>43.930929999999996</v>
      </c>
      <c r="E88">
        <v>-66.16798</v>
      </c>
      <c r="F88" t="s">
        <v>949</v>
      </c>
      <c r="G88" t="s">
        <v>950</v>
      </c>
      <c r="H88" t="s">
        <v>1297</v>
      </c>
    </row>
    <row r="89" spans="1:9" x14ac:dyDescent="0.25">
      <c r="A89" s="26" t="s">
        <v>75</v>
      </c>
      <c r="B89" t="s">
        <v>75</v>
      </c>
      <c r="C89" t="s">
        <v>753</v>
      </c>
      <c r="D89">
        <v>44.634320000000002</v>
      </c>
      <c r="E89">
        <v>-63.337209999999999</v>
      </c>
      <c r="F89" t="s">
        <v>951</v>
      </c>
      <c r="G89" t="s">
        <v>952</v>
      </c>
      <c r="H89" t="s">
        <v>1296</v>
      </c>
    </row>
    <row r="90" spans="1:9" x14ac:dyDescent="0.25">
      <c r="A90" s="26" t="s">
        <v>125</v>
      </c>
      <c r="B90" t="s">
        <v>67</v>
      </c>
      <c r="C90" t="s">
        <v>750</v>
      </c>
      <c r="D90">
        <v>45.611289999999997</v>
      </c>
      <c r="E90">
        <v>-60.984409999999997</v>
      </c>
      <c r="F90" t="s">
        <v>953</v>
      </c>
      <c r="G90" t="s">
        <v>954</v>
      </c>
      <c r="H90" t="s">
        <v>1296</v>
      </c>
    </row>
    <row r="91" spans="1:9" x14ac:dyDescent="0.25">
      <c r="A91" s="26" t="s">
        <v>143</v>
      </c>
      <c r="B91" t="s">
        <v>67</v>
      </c>
      <c r="C91" t="s">
        <v>750</v>
      </c>
      <c r="D91">
        <v>45.602600000000002</v>
      </c>
      <c r="E91">
        <v>-60.902439999999999</v>
      </c>
      <c r="F91" t="s">
        <v>955</v>
      </c>
      <c r="G91" t="s">
        <v>956</v>
      </c>
      <c r="H91" t="s">
        <v>1296</v>
      </c>
    </row>
    <row r="92" spans="1:9" x14ac:dyDescent="0.25">
      <c r="A92" s="26" t="s">
        <v>651</v>
      </c>
      <c r="B92" t="s">
        <v>632</v>
      </c>
      <c r="C92" t="s">
        <v>755</v>
      </c>
      <c r="D92">
        <v>45.904888999999997</v>
      </c>
      <c r="E92">
        <v>-61.018250000000002</v>
      </c>
      <c r="I92" t="s">
        <v>825</v>
      </c>
    </row>
    <row r="93" spans="1:9" x14ac:dyDescent="0.25">
      <c r="A93" s="26" t="s">
        <v>78</v>
      </c>
      <c r="B93" t="s">
        <v>78</v>
      </c>
      <c r="C93" t="s">
        <v>762</v>
      </c>
      <c r="D93">
        <v>43.715719999999997</v>
      </c>
      <c r="E93">
        <v>-65.008399999999995</v>
      </c>
      <c r="F93" t="s">
        <v>957</v>
      </c>
      <c r="G93" t="s">
        <v>958</v>
      </c>
      <c r="H93" t="s">
        <v>1296</v>
      </c>
    </row>
    <row r="94" spans="1:9" x14ac:dyDescent="0.25">
      <c r="A94" s="26" t="s">
        <v>179</v>
      </c>
      <c r="B94" t="s">
        <v>78</v>
      </c>
      <c r="C94" t="s">
        <v>756</v>
      </c>
      <c r="D94">
        <v>45.650100000000002</v>
      </c>
      <c r="E94">
        <v>-62.525089999999999</v>
      </c>
      <c r="F94" t="s">
        <v>959</v>
      </c>
      <c r="G94" t="s">
        <v>960</v>
      </c>
      <c r="H94" t="s">
        <v>1296</v>
      </c>
      <c r="I94" t="s">
        <v>961</v>
      </c>
    </row>
    <row r="95" spans="1:9" x14ac:dyDescent="0.25">
      <c r="A95" s="26" t="s">
        <v>198</v>
      </c>
      <c r="B95" t="s">
        <v>78</v>
      </c>
      <c r="C95" t="s">
        <v>750</v>
      </c>
      <c r="D95">
        <v>45.560859999999998</v>
      </c>
      <c r="E95">
        <v>-60.76126</v>
      </c>
      <c r="F95" t="s">
        <v>962</v>
      </c>
      <c r="G95" t="s">
        <v>963</v>
      </c>
      <c r="H95" t="s">
        <v>1296</v>
      </c>
    </row>
    <row r="96" spans="1:9" x14ac:dyDescent="0.25">
      <c r="A96" s="26" t="s">
        <v>202</v>
      </c>
      <c r="B96" t="s">
        <v>78</v>
      </c>
      <c r="C96" t="s">
        <v>756</v>
      </c>
      <c r="D96">
        <v>45.660400000000003</v>
      </c>
      <c r="E96">
        <v>-62.51482</v>
      </c>
      <c r="F96" t="s">
        <v>964</v>
      </c>
      <c r="G96" t="s">
        <v>965</v>
      </c>
      <c r="H96" t="s">
        <v>1296</v>
      </c>
    </row>
    <row r="97" spans="1:9" x14ac:dyDescent="0.25">
      <c r="A97" s="26" t="s">
        <v>203</v>
      </c>
      <c r="B97" t="s">
        <v>78</v>
      </c>
      <c r="C97" t="s">
        <v>756</v>
      </c>
      <c r="D97">
        <v>45.660429999999998</v>
      </c>
      <c r="E97">
        <v>-62.514870000000002</v>
      </c>
      <c r="F97" t="s">
        <v>966</v>
      </c>
      <c r="G97" t="s">
        <v>967</v>
      </c>
      <c r="H97" t="s">
        <v>1296</v>
      </c>
    </row>
    <row r="98" spans="1:9" x14ac:dyDescent="0.25">
      <c r="A98" s="26" t="s">
        <v>204</v>
      </c>
      <c r="B98" t="s">
        <v>78</v>
      </c>
      <c r="C98" t="s">
        <v>756</v>
      </c>
      <c r="D98">
        <v>45.66046</v>
      </c>
      <c r="E98">
        <v>-62.514919999999996</v>
      </c>
      <c r="F98" t="s">
        <v>968</v>
      </c>
      <c r="G98" t="s">
        <v>969</v>
      </c>
      <c r="H98" t="s">
        <v>1296</v>
      </c>
    </row>
    <row r="99" spans="1:9" x14ac:dyDescent="0.25">
      <c r="A99" s="26" t="s">
        <v>970</v>
      </c>
      <c r="B99" t="s">
        <v>79</v>
      </c>
      <c r="C99" t="s">
        <v>752</v>
      </c>
      <c r="D99">
        <v>46.002760000000002</v>
      </c>
      <c r="E99">
        <v>-60.96011</v>
      </c>
      <c r="F99" t="s">
        <v>971</v>
      </c>
      <c r="G99" t="s">
        <v>972</v>
      </c>
      <c r="H99" t="s">
        <v>1296</v>
      </c>
    </row>
    <row r="100" spans="1:9" x14ac:dyDescent="0.25">
      <c r="A100" s="26" t="s">
        <v>180</v>
      </c>
      <c r="B100" t="s">
        <v>87</v>
      </c>
      <c r="C100" t="s">
        <v>757</v>
      </c>
      <c r="D100">
        <v>44.026119999999999</v>
      </c>
      <c r="E100">
        <v>-64.665760000000006</v>
      </c>
      <c r="F100" t="s">
        <v>973</v>
      </c>
      <c r="G100" t="s">
        <v>974</v>
      </c>
      <c r="H100" t="s">
        <v>1297</v>
      </c>
    </row>
    <row r="101" spans="1:9" x14ac:dyDescent="0.25">
      <c r="A101" s="26" t="s">
        <v>80</v>
      </c>
      <c r="B101" t="s">
        <v>80</v>
      </c>
      <c r="C101" t="s">
        <v>758</v>
      </c>
      <c r="D101">
        <v>43.679020000000001</v>
      </c>
      <c r="E101">
        <v>-65.897800000000004</v>
      </c>
      <c r="F101" t="s">
        <v>975</v>
      </c>
      <c r="G101" t="s">
        <v>976</v>
      </c>
      <c r="H101" t="s">
        <v>1297</v>
      </c>
    </row>
    <row r="102" spans="1:9" x14ac:dyDescent="0.25">
      <c r="A102" s="26" t="s">
        <v>185</v>
      </c>
      <c r="B102" t="s">
        <v>80</v>
      </c>
      <c r="C102" t="s">
        <v>758</v>
      </c>
      <c r="D102">
        <v>43.79083</v>
      </c>
      <c r="E102">
        <v>-65.9114</v>
      </c>
      <c r="F102" t="s">
        <v>977</v>
      </c>
      <c r="G102" t="s">
        <v>978</v>
      </c>
      <c r="H102" t="s">
        <v>1296</v>
      </c>
    </row>
    <row r="103" spans="1:9" x14ac:dyDescent="0.25">
      <c r="A103" s="26" t="s">
        <v>192</v>
      </c>
      <c r="B103" t="s">
        <v>80</v>
      </c>
      <c r="C103" t="s">
        <v>758</v>
      </c>
      <c r="D103">
        <v>43.72101</v>
      </c>
      <c r="E103">
        <v>-65.845730000000003</v>
      </c>
      <c r="F103" t="s">
        <v>979</v>
      </c>
      <c r="G103" t="s">
        <v>980</v>
      </c>
      <c r="H103" t="s">
        <v>1296</v>
      </c>
    </row>
    <row r="104" spans="1:9" x14ac:dyDescent="0.25">
      <c r="A104" s="26" t="s">
        <v>981</v>
      </c>
      <c r="B104" t="s">
        <v>80</v>
      </c>
      <c r="C104" t="s">
        <v>758</v>
      </c>
      <c r="D104">
        <v>43.633560000000003</v>
      </c>
      <c r="E104">
        <v>-66.030330000000006</v>
      </c>
      <c r="F104" t="s">
        <v>982</v>
      </c>
      <c r="G104" t="s">
        <v>983</v>
      </c>
      <c r="H104" t="s">
        <v>1296</v>
      </c>
    </row>
    <row r="105" spans="1:9" x14ac:dyDescent="0.25">
      <c r="A105" s="26" t="s">
        <v>197</v>
      </c>
      <c r="B105" t="s">
        <v>80</v>
      </c>
      <c r="C105" t="s">
        <v>758</v>
      </c>
      <c r="D105">
        <v>43.68282</v>
      </c>
      <c r="E105">
        <v>-65.835809999999995</v>
      </c>
      <c r="F105" t="s">
        <v>984</v>
      </c>
      <c r="G105" t="s">
        <v>985</v>
      </c>
      <c r="H105" t="s">
        <v>1297</v>
      </c>
    </row>
    <row r="106" spans="1:9" x14ac:dyDescent="0.25">
      <c r="A106" s="26" t="s">
        <v>986</v>
      </c>
      <c r="B106" t="s">
        <v>80</v>
      </c>
      <c r="C106" t="s">
        <v>758</v>
      </c>
      <c r="D106">
        <v>43.637329999999999</v>
      </c>
      <c r="E106">
        <v>-65.821860000000001</v>
      </c>
      <c r="F106" t="s">
        <v>987</v>
      </c>
      <c r="G106" t="s">
        <v>988</v>
      </c>
      <c r="H106" t="s">
        <v>1296</v>
      </c>
    </row>
    <row r="107" spans="1:9" x14ac:dyDescent="0.25">
      <c r="A107" s="26" t="s">
        <v>230</v>
      </c>
      <c r="B107" t="s">
        <v>80</v>
      </c>
      <c r="C107" t="s">
        <v>758</v>
      </c>
      <c r="D107">
        <v>43.716079999999998</v>
      </c>
      <c r="E107">
        <v>-65.942689999999999</v>
      </c>
      <c r="F107" t="s">
        <v>989</v>
      </c>
      <c r="G107" t="s">
        <v>990</v>
      </c>
      <c r="H107" t="s">
        <v>1296</v>
      </c>
    </row>
    <row r="108" spans="1:9" x14ac:dyDescent="0.25">
      <c r="A108" s="26" t="s">
        <v>233</v>
      </c>
      <c r="B108" t="s">
        <v>80</v>
      </c>
      <c r="C108" t="s">
        <v>758</v>
      </c>
      <c r="D108">
        <v>43.694020000000002</v>
      </c>
      <c r="E108">
        <v>-65.959419999999994</v>
      </c>
      <c r="F108" t="s">
        <v>991</v>
      </c>
      <c r="G108" t="s">
        <v>992</v>
      </c>
      <c r="H108" t="s">
        <v>1297</v>
      </c>
    </row>
    <row r="109" spans="1:9" x14ac:dyDescent="0.25">
      <c r="A109" s="26" t="s">
        <v>641</v>
      </c>
      <c r="B109" t="s">
        <v>624</v>
      </c>
      <c r="C109" t="s">
        <v>754</v>
      </c>
      <c r="D109">
        <v>45.894472</v>
      </c>
      <c r="E109">
        <v>-60.572277999999997</v>
      </c>
      <c r="I109" t="s">
        <v>825</v>
      </c>
    </row>
    <row r="110" spans="1:9" x14ac:dyDescent="0.25">
      <c r="A110" s="26">
        <v>1330</v>
      </c>
      <c r="B110" t="s">
        <v>51</v>
      </c>
      <c r="C110" t="s">
        <v>755</v>
      </c>
      <c r="D110">
        <v>46.08417</v>
      </c>
      <c r="E110">
        <v>-61.45722</v>
      </c>
      <c r="F110" t="s">
        <v>993</v>
      </c>
      <c r="G110" t="s">
        <v>994</v>
      </c>
      <c r="H110" t="s">
        <v>1296</v>
      </c>
    </row>
    <row r="111" spans="1:9" x14ac:dyDescent="0.25">
      <c r="A111" s="26">
        <v>1331</v>
      </c>
      <c r="B111" t="s">
        <v>51</v>
      </c>
      <c r="C111" t="s">
        <v>755</v>
      </c>
      <c r="D111">
        <v>46.075470000000003</v>
      </c>
      <c r="E111">
        <v>-61.447360000000003</v>
      </c>
      <c r="F111" t="s">
        <v>995</v>
      </c>
      <c r="G111" t="s">
        <v>996</v>
      </c>
      <c r="H111" t="s">
        <v>1296</v>
      </c>
    </row>
    <row r="112" spans="1:9" x14ac:dyDescent="0.25">
      <c r="A112" s="26" t="s">
        <v>648</v>
      </c>
      <c r="B112" t="s">
        <v>629</v>
      </c>
      <c r="C112" t="s">
        <v>755</v>
      </c>
      <c r="D112">
        <v>45.938861000000003</v>
      </c>
      <c r="E112">
        <v>-61.107694000000002</v>
      </c>
      <c r="I112" t="s">
        <v>825</v>
      </c>
    </row>
    <row r="113" spans="1:9" x14ac:dyDescent="0.25">
      <c r="A113" s="26" t="s">
        <v>649</v>
      </c>
      <c r="B113" t="s">
        <v>630</v>
      </c>
      <c r="C113" t="s">
        <v>752</v>
      </c>
      <c r="D113">
        <v>46.048194000000002</v>
      </c>
      <c r="E113">
        <v>-60.826582999999999</v>
      </c>
      <c r="I113" t="s">
        <v>825</v>
      </c>
    </row>
    <row r="114" spans="1:9" x14ac:dyDescent="0.25">
      <c r="A114" s="26" t="s">
        <v>646</v>
      </c>
      <c r="B114" t="s">
        <v>628</v>
      </c>
      <c r="C114" t="s">
        <v>752</v>
      </c>
      <c r="D114">
        <v>46.216917000000002</v>
      </c>
      <c r="E114">
        <v>-60.597250000000003</v>
      </c>
      <c r="I114" t="s">
        <v>825</v>
      </c>
    </row>
    <row r="115" spans="1:9" x14ac:dyDescent="0.25">
      <c r="A115" s="26" t="s">
        <v>653</v>
      </c>
      <c r="B115" t="s">
        <v>634</v>
      </c>
      <c r="C115" t="s">
        <v>755</v>
      </c>
      <c r="D115">
        <v>45.874305999999997</v>
      </c>
      <c r="E115">
        <v>-60.996583000000001</v>
      </c>
      <c r="I115" t="s">
        <v>825</v>
      </c>
    </row>
    <row r="116" spans="1:9" x14ac:dyDescent="0.25">
      <c r="A116" s="26" t="s">
        <v>655</v>
      </c>
      <c r="B116" t="s">
        <v>636</v>
      </c>
      <c r="C116" t="s">
        <v>755</v>
      </c>
      <c r="D116">
        <v>45.866</v>
      </c>
      <c r="E116">
        <v>-61.059193999999998</v>
      </c>
      <c r="I116" t="s">
        <v>825</v>
      </c>
    </row>
    <row r="117" spans="1:9" x14ac:dyDescent="0.25">
      <c r="A117" s="26" t="s">
        <v>654</v>
      </c>
      <c r="B117" t="s">
        <v>635</v>
      </c>
      <c r="C117" t="s">
        <v>755</v>
      </c>
      <c r="D117">
        <v>45.870610999999997</v>
      </c>
      <c r="E117">
        <v>-60.933971999999997</v>
      </c>
      <c r="I117" t="s">
        <v>825</v>
      </c>
    </row>
    <row r="118" spans="1:9" x14ac:dyDescent="0.25">
      <c r="A118" s="26" t="s">
        <v>142</v>
      </c>
      <c r="B118" t="s">
        <v>71</v>
      </c>
      <c r="C118" t="s">
        <v>751</v>
      </c>
      <c r="D118">
        <v>44.433439999999997</v>
      </c>
      <c r="E118">
        <v>-64.131609999999995</v>
      </c>
      <c r="F118" t="s">
        <v>997</v>
      </c>
      <c r="G118" t="s">
        <v>998</v>
      </c>
      <c r="H118" t="s">
        <v>1297</v>
      </c>
    </row>
    <row r="119" spans="1:9" x14ac:dyDescent="0.25">
      <c r="A119" s="26" t="s">
        <v>161</v>
      </c>
      <c r="B119" t="s">
        <v>71</v>
      </c>
      <c r="C119" t="s">
        <v>751</v>
      </c>
      <c r="D119">
        <v>44.437199999999997</v>
      </c>
      <c r="E119">
        <v>-64.250579999999999</v>
      </c>
      <c r="F119" t="s">
        <v>999</v>
      </c>
      <c r="G119" t="s">
        <v>1000</v>
      </c>
      <c r="H119" t="s">
        <v>1297</v>
      </c>
    </row>
    <row r="120" spans="1:9" x14ac:dyDescent="0.25">
      <c r="A120" s="26" t="s">
        <v>211</v>
      </c>
      <c r="B120" t="s">
        <v>71</v>
      </c>
      <c r="C120" t="s">
        <v>751</v>
      </c>
      <c r="D120">
        <v>44.543570000000003</v>
      </c>
      <c r="E120">
        <v>-64.173419999999993</v>
      </c>
      <c r="F120" t="s">
        <v>1001</v>
      </c>
      <c r="G120" t="s">
        <v>1002</v>
      </c>
      <c r="H120" t="s">
        <v>1296</v>
      </c>
    </row>
    <row r="121" spans="1:9" x14ac:dyDescent="0.25">
      <c r="A121" s="26" t="s">
        <v>231</v>
      </c>
      <c r="B121" t="s">
        <v>71</v>
      </c>
      <c r="C121" t="s">
        <v>751</v>
      </c>
      <c r="D121">
        <v>44.508870000000002</v>
      </c>
      <c r="E121">
        <v>-64.13297</v>
      </c>
      <c r="F121" t="s">
        <v>1003</v>
      </c>
      <c r="G121" t="s">
        <v>1004</v>
      </c>
      <c r="H121" t="s">
        <v>1297</v>
      </c>
    </row>
    <row r="122" spans="1:9" x14ac:dyDescent="0.25">
      <c r="A122" s="26">
        <v>28</v>
      </c>
      <c r="B122" t="s">
        <v>44</v>
      </c>
      <c r="C122" t="s">
        <v>759</v>
      </c>
      <c r="D122">
        <v>44.962499999999999</v>
      </c>
      <c r="E122">
        <v>-62.060830000000003</v>
      </c>
      <c r="F122" t="s">
        <v>1005</v>
      </c>
      <c r="G122" t="s">
        <v>1006</v>
      </c>
      <c r="H122" t="s">
        <v>1296</v>
      </c>
    </row>
    <row r="123" spans="1:9" x14ac:dyDescent="0.25">
      <c r="A123" s="26" t="s">
        <v>111</v>
      </c>
      <c r="B123" t="s">
        <v>44</v>
      </c>
      <c r="C123" t="s">
        <v>759</v>
      </c>
      <c r="D123">
        <v>44.950200000000002</v>
      </c>
      <c r="E123">
        <v>-62.011069999999997</v>
      </c>
      <c r="F123" t="s">
        <v>1007</v>
      </c>
      <c r="G123" t="s">
        <v>1008</v>
      </c>
      <c r="H123" t="s">
        <v>1297</v>
      </c>
    </row>
    <row r="124" spans="1:9" x14ac:dyDescent="0.25">
      <c r="A124" s="26" t="s">
        <v>153</v>
      </c>
      <c r="B124" t="s">
        <v>44</v>
      </c>
      <c r="C124" t="s">
        <v>759</v>
      </c>
      <c r="D124">
        <v>44.962710000000001</v>
      </c>
      <c r="E124">
        <v>-62.087910000000001</v>
      </c>
      <c r="F124" t="s">
        <v>1009</v>
      </c>
      <c r="G124" t="s">
        <v>1010</v>
      </c>
      <c r="H124" t="s">
        <v>1296</v>
      </c>
    </row>
    <row r="125" spans="1:9" x14ac:dyDescent="0.25">
      <c r="A125" s="26" t="s">
        <v>642</v>
      </c>
      <c r="B125" t="s">
        <v>625</v>
      </c>
      <c r="C125" t="s">
        <v>752</v>
      </c>
      <c r="D125">
        <v>45.930472000000002</v>
      </c>
      <c r="E125">
        <v>-60.932222000000003</v>
      </c>
      <c r="I125" t="s">
        <v>825</v>
      </c>
    </row>
    <row r="126" spans="1:9" x14ac:dyDescent="0.25">
      <c r="A126" s="26" t="s">
        <v>174</v>
      </c>
      <c r="B126" t="s">
        <v>84</v>
      </c>
      <c r="C126" t="s">
        <v>763</v>
      </c>
      <c r="D126">
        <v>45.762810000000002</v>
      </c>
      <c r="E126">
        <v>-63.351370000000003</v>
      </c>
      <c r="F126" t="s">
        <v>1011</v>
      </c>
      <c r="G126" t="s">
        <v>1012</v>
      </c>
      <c r="H126" t="s">
        <v>1296</v>
      </c>
    </row>
    <row r="127" spans="1:9" x14ac:dyDescent="0.25">
      <c r="A127" s="26" t="s">
        <v>175</v>
      </c>
      <c r="B127" t="s">
        <v>84</v>
      </c>
      <c r="C127" t="s">
        <v>763</v>
      </c>
      <c r="D127">
        <v>45.762819999999998</v>
      </c>
      <c r="E127">
        <v>-63.351559999999999</v>
      </c>
      <c r="F127" t="s">
        <v>1013</v>
      </c>
      <c r="G127" t="s">
        <v>1014</v>
      </c>
      <c r="H127" t="s">
        <v>1296</v>
      </c>
    </row>
    <row r="128" spans="1:9" x14ac:dyDescent="0.25">
      <c r="A128" s="26" t="s">
        <v>176</v>
      </c>
      <c r="B128" t="s">
        <v>84</v>
      </c>
      <c r="C128" t="s">
        <v>763</v>
      </c>
      <c r="D128">
        <v>45.762839999999997</v>
      </c>
      <c r="E128">
        <v>-63.351750000000003</v>
      </c>
      <c r="F128" t="s">
        <v>1015</v>
      </c>
      <c r="G128" t="s">
        <v>1016</v>
      </c>
      <c r="H128" t="s">
        <v>1296</v>
      </c>
    </row>
    <row r="129" spans="1:9" x14ac:dyDescent="0.25">
      <c r="A129" s="26" t="s">
        <v>33</v>
      </c>
      <c r="B129" t="s">
        <v>32</v>
      </c>
      <c r="C129" t="s">
        <v>757</v>
      </c>
      <c r="D129">
        <v>44.10013</v>
      </c>
      <c r="E129">
        <v>-64.527829999999994</v>
      </c>
      <c r="F129" t="s">
        <v>1017</v>
      </c>
      <c r="G129" t="s">
        <v>1018</v>
      </c>
      <c r="H129" t="s">
        <v>1297</v>
      </c>
    </row>
    <row r="130" spans="1:9" x14ac:dyDescent="0.25">
      <c r="A130" s="26">
        <v>1369</v>
      </c>
      <c r="B130" t="s">
        <v>55</v>
      </c>
      <c r="C130" t="s">
        <v>756</v>
      </c>
      <c r="D130">
        <v>45.654697499999997</v>
      </c>
      <c r="E130">
        <v>-62.429509400000001</v>
      </c>
      <c r="F130" t="s">
        <v>1019</v>
      </c>
      <c r="G130" t="s">
        <v>1020</v>
      </c>
      <c r="H130" t="s">
        <v>1296</v>
      </c>
      <c r="I130" t="s">
        <v>1021</v>
      </c>
    </row>
    <row r="131" spans="1:9" x14ac:dyDescent="0.25">
      <c r="A131" s="26" t="s">
        <v>108</v>
      </c>
      <c r="B131" t="s">
        <v>55</v>
      </c>
      <c r="C131" t="s">
        <v>756</v>
      </c>
      <c r="D131">
        <v>45.632129999999997</v>
      </c>
      <c r="E131">
        <v>-62.505629999999996</v>
      </c>
      <c r="F131" t="s">
        <v>1022</v>
      </c>
      <c r="G131" t="s">
        <v>1023</v>
      </c>
      <c r="H131" t="s">
        <v>1296</v>
      </c>
    </row>
    <row r="132" spans="1:9" x14ac:dyDescent="0.25">
      <c r="A132" s="26" t="s">
        <v>193</v>
      </c>
      <c r="B132" t="s">
        <v>55</v>
      </c>
      <c r="C132" t="s">
        <v>756</v>
      </c>
      <c r="D132">
        <v>45.643929999999997</v>
      </c>
      <c r="E132">
        <v>-62.468119999999999</v>
      </c>
      <c r="F132" t="s">
        <v>1024</v>
      </c>
      <c r="G132" t="s">
        <v>1025</v>
      </c>
      <c r="H132" t="s">
        <v>1297</v>
      </c>
    </row>
    <row r="133" spans="1:9" x14ac:dyDescent="0.25">
      <c r="A133" s="26" t="s">
        <v>664</v>
      </c>
      <c r="B133" t="s">
        <v>665</v>
      </c>
      <c r="C133" t="s">
        <v>750</v>
      </c>
      <c r="D133">
        <v>45.566183000000002</v>
      </c>
      <c r="E133">
        <v>-60.667299999999997</v>
      </c>
      <c r="F133" t="s">
        <v>1026</v>
      </c>
      <c r="G133" t="s">
        <v>1027</v>
      </c>
      <c r="H133" t="s">
        <v>1298</v>
      </c>
    </row>
    <row r="134" spans="1:9" x14ac:dyDescent="0.25">
      <c r="A134" s="26" t="s">
        <v>182</v>
      </c>
      <c r="B134" t="s">
        <v>88</v>
      </c>
      <c r="C134" t="s">
        <v>748</v>
      </c>
      <c r="D134">
        <v>45.654890000000002</v>
      </c>
      <c r="E134">
        <v>-61.82873</v>
      </c>
      <c r="F134" t="s">
        <v>1028</v>
      </c>
      <c r="G134" t="s">
        <v>1029</v>
      </c>
      <c r="H134" t="s">
        <v>1296</v>
      </c>
      <c r="I134" t="s">
        <v>1030</v>
      </c>
    </row>
    <row r="135" spans="1:9" x14ac:dyDescent="0.25">
      <c r="A135" s="26" t="s">
        <v>656</v>
      </c>
      <c r="B135" t="s">
        <v>637</v>
      </c>
      <c r="C135" t="s">
        <v>755</v>
      </c>
      <c r="D135">
        <v>45.908332999999999</v>
      </c>
      <c r="E135">
        <v>-61.035806000000001</v>
      </c>
      <c r="I135" t="s">
        <v>825</v>
      </c>
    </row>
    <row r="136" spans="1:9" x14ac:dyDescent="0.25">
      <c r="A136" s="26" t="s">
        <v>150</v>
      </c>
      <c r="B136" t="s">
        <v>73</v>
      </c>
      <c r="C136" t="s">
        <v>762</v>
      </c>
      <c r="D136">
        <v>43.524349999999998</v>
      </c>
      <c r="E136">
        <v>-65.355500000000006</v>
      </c>
      <c r="F136" t="s">
        <v>1031</v>
      </c>
      <c r="G136" t="s">
        <v>1032</v>
      </c>
      <c r="H136" t="s">
        <v>1297</v>
      </c>
    </row>
    <row r="137" spans="1:9" x14ac:dyDescent="0.25">
      <c r="A137" s="26" t="s">
        <v>387</v>
      </c>
      <c r="B137" t="s">
        <v>98</v>
      </c>
      <c r="C137" t="s">
        <v>759</v>
      </c>
      <c r="D137">
        <v>45.159702000000003</v>
      </c>
      <c r="E137">
        <v>-61.403179000000002</v>
      </c>
      <c r="F137" t="s">
        <v>1033</v>
      </c>
      <c r="G137" t="s">
        <v>1034</v>
      </c>
      <c r="H137" t="s">
        <v>1296</v>
      </c>
    </row>
    <row r="138" spans="1:9" x14ac:dyDescent="0.25">
      <c r="A138" s="26" t="s">
        <v>222</v>
      </c>
      <c r="B138" t="s">
        <v>98</v>
      </c>
      <c r="C138" t="s">
        <v>759</v>
      </c>
      <c r="D138">
        <v>45.155050000000003</v>
      </c>
      <c r="E138">
        <v>-61.398519999999998</v>
      </c>
      <c r="F138" t="s">
        <v>1035</v>
      </c>
      <c r="G138" t="s">
        <v>1036</v>
      </c>
      <c r="H138" t="s">
        <v>1297</v>
      </c>
    </row>
    <row r="139" spans="1:9" x14ac:dyDescent="0.25">
      <c r="A139" s="26" t="s">
        <v>669</v>
      </c>
      <c r="B139" t="s">
        <v>670</v>
      </c>
      <c r="C139" t="s">
        <v>752</v>
      </c>
      <c r="D139">
        <v>46.664850000000001</v>
      </c>
      <c r="E139">
        <v>-60.376649999999998</v>
      </c>
      <c r="F139" t="s">
        <v>1037</v>
      </c>
      <c r="G139" t="s">
        <v>1038</v>
      </c>
      <c r="H139" t="s">
        <v>1298</v>
      </c>
    </row>
    <row r="140" spans="1:9" x14ac:dyDescent="0.25">
      <c r="A140" s="26" t="s">
        <v>677</v>
      </c>
      <c r="B140" t="s">
        <v>678</v>
      </c>
      <c r="C140" t="s">
        <v>755</v>
      </c>
      <c r="D140">
        <v>46.092483000000001</v>
      </c>
      <c r="E140">
        <v>-61.505282999999999</v>
      </c>
      <c r="F140" t="s">
        <v>1039</v>
      </c>
      <c r="G140" t="s">
        <v>1040</v>
      </c>
      <c r="H140" t="s">
        <v>1298</v>
      </c>
    </row>
    <row r="141" spans="1:9" x14ac:dyDescent="0.25">
      <c r="A141" s="26">
        <v>745</v>
      </c>
      <c r="B141" t="s">
        <v>626</v>
      </c>
      <c r="C141" t="s">
        <v>752</v>
      </c>
      <c r="D141">
        <v>46.0854</v>
      </c>
      <c r="E141">
        <v>-60.89284</v>
      </c>
      <c r="F141" t="s">
        <v>1041</v>
      </c>
      <c r="G141" t="s">
        <v>1042</v>
      </c>
      <c r="H141" t="s">
        <v>1296</v>
      </c>
    </row>
    <row r="142" spans="1:9" x14ac:dyDescent="0.25">
      <c r="A142" s="26" t="s">
        <v>643</v>
      </c>
      <c r="B142" t="s">
        <v>626</v>
      </c>
      <c r="C142" t="s">
        <v>752</v>
      </c>
      <c r="D142">
        <v>46.080249999999999</v>
      </c>
      <c r="E142">
        <v>-60.876832999999998</v>
      </c>
      <c r="I142" t="s">
        <v>825</v>
      </c>
    </row>
    <row r="143" spans="1:9" x14ac:dyDescent="0.25">
      <c r="A143" s="26" t="s">
        <v>865</v>
      </c>
      <c r="B143" t="s">
        <v>626</v>
      </c>
      <c r="C143" t="s">
        <v>752</v>
      </c>
      <c r="D143">
        <v>46.078710000000001</v>
      </c>
      <c r="E143">
        <v>-60.888930000000002</v>
      </c>
      <c r="F143" t="s">
        <v>866</v>
      </c>
      <c r="G143" t="s">
        <v>867</v>
      </c>
      <c r="H143" t="s">
        <v>1297</v>
      </c>
      <c r="I143" t="s">
        <v>868</v>
      </c>
    </row>
    <row r="144" spans="1:9" x14ac:dyDescent="0.25">
      <c r="A144" s="26" t="s">
        <v>1043</v>
      </c>
      <c r="B144" t="s">
        <v>764</v>
      </c>
      <c r="C144" t="s">
        <v>755</v>
      </c>
      <c r="D144">
        <v>46.676566999999999</v>
      </c>
      <c r="E144">
        <v>-60.967883</v>
      </c>
      <c r="F144" t="s">
        <v>1044</v>
      </c>
      <c r="G144" t="s">
        <v>1045</v>
      </c>
      <c r="H144" t="s">
        <v>1298</v>
      </c>
    </row>
    <row r="145" spans="1:9" x14ac:dyDescent="0.25">
      <c r="A145" s="26" t="s">
        <v>1046</v>
      </c>
      <c r="B145" t="s">
        <v>765</v>
      </c>
      <c r="C145" t="s">
        <v>755</v>
      </c>
      <c r="D145">
        <v>46.449800000000003</v>
      </c>
      <c r="E145">
        <v>-61.117100000000001</v>
      </c>
      <c r="F145" t="s">
        <v>1047</v>
      </c>
      <c r="G145" t="s">
        <v>1048</v>
      </c>
      <c r="H145" t="s">
        <v>1298</v>
      </c>
    </row>
    <row r="146" spans="1:9" x14ac:dyDescent="0.25">
      <c r="A146" s="26" t="s">
        <v>194</v>
      </c>
      <c r="B146" t="s">
        <v>90</v>
      </c>
      <c r="C146" t="s">
        <v>753</v>
      </c>
      <c r="D146">
        <v>44.734119999999997</v>
      </c>
      <c r="E146">
        <v>-62.810119999999998</v>
      </c>
      <c r="F146" t="s">
        <v>1049</v>
      </c>
      <c r="G146" t="s">
        <v>1050</v>
      </c>
      <c r="H146" t="s">
        <v>1296</v>
      </c>
      <c r="I146" t="s">
        <v>1051</v>
      </c>
    </row>
    <row r="147" spans="1:9" x14ac:dyDescent="0.25">
      <c r="A147" s="26" t="s">
        <v>1052</v>
      </c>
      <c r="B147" t="s">
        <v>766</v>
      </c>
      <c r="C147" t="s">
        <v>753</v>
      </c>
      <c r="D147">
        <v>44.463070000000002</v>
      </c>
      <c r="E147">
        <v>-63.677399999999999</v>
      </c>
      <c r="F147" t="s">
        <v>1053</v>
      </c>
      <c r="G147" t="s">
        <v>1054</v>
      </c>
      <c r="H147" t="s">
        <v>1296</v>
      </c>
    </row>
    <row r="148" spans="1:9" x14ac:dyDescent="0.25">
      <c r="A148" s="26" t="s">
        <v>1055</v>
      </c>
      <c r="B148" t="s">
        <v>767</v>
      </c>
      <c r="C148" t="s">
        <v>748</v>
      </c>
      <c r="D148">
        <v>45.611930000000001</v>
      </c>
      <c r="E148">
        <v>-61.786769999999997</v>
      </c>
      <c r="F148" t="s">
        <v>1056</v>
      </c>
      <c r="G148" t="s">
        <v>1057</v>
      </c>
      <c r="H148" t="s">
        <v>1296</v>
      </c>
    </row>
    <row r="149" spans="1:9" x14ac:dyDescent="0.25">
      <c r="A149" s="26" t="s">
        <v>219</v>
      </c>
      <c r="B149" t="s">
        <v>97</v>
      </c>
      <c r="C149" t="s">
        <v>762</v>
      </c>
      <c r="D149">
        <v>43.468299999999999</v>
      </c>
      <c r="E149">
        <v>-65.433040000000005</v>
      </c>
      <c r="F149" t="s">
        <v>1058</v>
      </c>
      <c r="G149" t="s">
        <v>1059</v>
      </c>
      <c r="H149" t="s">
        <v>1296</v>
      </c>
      <c r="I149" t="s">
        <v>1060</v>
      </c>
    </row>
    <row r="150" spans="1:9" x14ac:dyDescent="0.25">
      <c r="A150" s="26" t="s">
        <v>220</v>
      </c>
      <c r="B150" t="s">
        <v>97</v>
      </c>
      <c r="C150" t="s">
        <v>762</v>
      </c>
      <c r="D150">
        <v>43.46743</v>
      </c>
      <c r="E150">
        <v>-65.422830000000005</v>
      </c>
      <c r="F150" t="s">
        <v>1061</v>
      </c>
      <c r="G150" t="s">
        <v>1062</v>
      </c>
      <c r="H150" t="s">
        <v>1297</v>
      </c>
    </row>
    <row r="151" spans="1:9" x14ac:dyDescent="0.25">
      <c r="A151" s="26" t="s">
        <v>1063</v>
      </c>
      <c r="B151" t="s">
        <v>768</v>
      </c>
      <c r="C151" t="s">
        <v>757</v>
      </c>
      <c r="D151">
        <v>43.942858999999999</v>
      </c>
      <c r="E151">
        <v>-64.723337000000001</v>
      </c>
      <c r="F151" t="s">
        <v>1064</v>
      </c>
      <c r="G151" t="s">
        <v>1065</v>
      </c>
      <c r="H151" t="s">
        <v>1297</v>
      </c>
    </row>
    <row r="152" spans="1:9" x14ac:dyDescent="0.25">
      <c r="A152" s="26" t="s">
        <v>1066</v>
      </c>
      <c r="B152" t="s">
        <v>769</v>
      </c>
      <c r="C152" t="s">
        <v>762</v>
      </c>
      <c r="D152">
        <v>43.685746999999999</v>
      </c>
      <c r="E152">
        <v>-65.018190000000004</v>
      </c>
      <c r="F152" t="s">
        <v>1067</v>
      </c>
      <c r="G152" t="s">
        <v>1068</v>
      </c>
      <c r="H152" t="s">
        <v>1297</v>
      </c>
    </row>
    <row r="153" spans="1:9" x14ac:dyDescent="0.25">
      <c r="A153" s="26" t="s">
        <v>652</v>
      </c>
      <c r="B153" t="s">
        <v>633</v>
      </c>
      <c r="C153" t="s">
        <v>755</v>
      </c>
      <c r="D153">
        <v>45.751083000000001</v>
      </c>
      <c r="E153">
        <v>-61.153972000000003</v>
      </c>
      <c r="I153" t="s">
        <v>825</v>
      </c>
    </row>
    <row r="154" spans="1:9" x14ac:dyDescent="0.25">
      <c r="A154" s="26" t="s">
        <v>115</v>
      </c>
      <c r="B154" t="s">
        <v>61</v>
      </c>
      <c r="C154" t="s">
        <v>758</v>
      </c>
      <c r="D154">
        <v>43.81344</v>
      </c>
      <c r="E154">
        <v>-65.912139999999994</v>
      </c>
      <c r="F154" t="s">
        <v>1069</v>
      </c>
      <c r="G154" t="s">
        <v>1070</v>
      </c>
      <c r="H154" t="s">
        <v>1296</v>
      </c>
    </row>
    <row r="155" spans="1:9" x14ac:dyDescent="0.25">
      <c r="A155" s="26" t="s">
        <v>157</v>
      </c>
      <c r="B155" t="s">
        <v>77</v>
      </c>
      <c r="C155" t="s">
        <v>757</v>
      </c>
      <c r="D155">
        <v>43.799370000000003</v>
      </c>
      <c r="E155">
        <v>-64.879019999999997</v>
      </c>
      <c r="F155" t="s">
        <v>1071</v>
      </c>
      <c r="G155" t="s">
        <v>1072</v>
      </c>
      <c r="H155" t="s">
        <v>1297</v>
      </c>
    </row>
    <row r="156" spans="1:9" x14ac:dyDescent="0.25">
      <c r="A156" s="26" t="s">
        <v>93</v>
      </c>
      <c r="B156" t="s">
        <v>93</v>
      </c>
      <c r="C156" t="s">
        <v>753</v>
      </c>
      <c r="D156">
        <v>44.501170000000002</v>
      </c>
      <c r="E156">
        <v>-63.814149999999998</v>
      </c>
      <c r="F156" t="s">
        <v>1073</v>
      </c>
      <c r="G156" t="s">
        <v>1074</v>
      </c>
      <c r="H156" t="s">
        <v>1296</v>
      </c>
    </row>
    <row r="157" spans="1:9" x14ac:dyDescent="0.25">
      <c r="A157" s="26" t="s">
        <v>1075</v>
      </c>
      <c r="B157" t="s">
        <v>770</v>
      </c>
      <c r="C157" t="s">
        <v>762</v>
      </c>
      <c r="D157">
        <v>43.469050000000003</v>
      </c>
      <c r="E157">
        <v>-65.740219999999994</v>
      </c>
      <c r="F157" t="s">
        <v>1076</v>
      </c>
      <c r="G157" t="s">
        <v>1077</v>
      </c>
      <c r="H157" t="s">
        <v>1296</v>
      </c>
    </row>
    <row r="158" spans="1:9" x14ac:dyDescent="0.25">
      <c r="A158" s="26" t="s">
        <v>137</v>
      </c>
      <c r="B158" t="s">
        <v>70</v>
      </c>
      <c r="C158" t="s">
        <v>753</v>
      </c>
      <c r="D158">
        <v>44.838590000000003</v>
      </c>
      <c r="E158">
        <v>-62.511699999999998</v>
      </c>
      <c r="F158" t="s">
        <v>1078</v>
      </c>
      <c r="G158" t="s">
        <v>1079</v>
      </c>
      <c r="H158" t="s">
        <v>1296</v>
      </c>
    </row>
    <row r="159" spans="1:9" x14ac:dyDescent="0.25">
      <c r="A159" s="26" t="s">
        <v>177</v>
      </c>
      <c r="B159" t="s">
        <v>85</v>
      </c>
      <c r="C159" t="s">
        <v>762</v>
      </c>
      <c r="D159">
        <v>43.630749999999999</v>
      </c>
      <c r="E159">
        <v>-65.260760000000005</v>
      </c>
      <c r="F159" t="s">
        <v>1080</v>
      </c>
      <c r="G159" t="s">
        <v>1081</v>
      </c>
      <c r="H159" t="s">
        <v>1296</v>
      </c>
    </row>
    <row r="160" spans="1:9" x14ac:dyDescent="0.25">
      <c r="A160" s="26" t="s">
        <v>1082</v>
      </c>
      <c r="B160" t="s">
        <v>771</v>
      </c>
      <c r="C160" t="s">
        <v>751</v>
      </c>
      <c r="D160">
        <v>44.220357999999997</v>
      </c>
      <c r="E160">
        <v>-64.308519000000004</v>
      </c>
      <c r="F160" t="s">
        <v>1083</v>
      </c>
      <c r="G160" t="s">
        <v>1084</v>
      </c>
      <c r="H160" t="s">
        <v>1297</v>
      </c>
    </row>
    <row r="161" spans="1:9" x14ac:dyDescent="0.25">
      <c r="A161" s="26" t="s">
        <v>118</v>
      </c>
      <c r="B161" t="s">
        <v>64</v>
      </c>
      <c r="C161" t="s">
        <v>753</v>
      </c>
      <c r="D161">
        <v>44.773110000000003</v>
      </c>
      <c r="E161">
        <v>-62.725850000000001</v>
      </c>
      <c r="F161" t="s">
        <v>1085</v>
      </c>
      <c r="G161" t="s">
        <v>1086</v>
      </c>
      <c r="H161" t="s">
        <v>1296</v>
      </c>
    </row>
    <row r="162" spans="1:9" x14ac:dyDescent="0.25">
      <c r="A162" s="26" t="s">
        <v>488</v>
      </c>
      <c r="B162" t="s">
        <v>489</v>
      </c>
      <c r="C162" t="s">
        <v>753</v>
      </c>
      <c r="D162">
        <v>44.91053333</v>
      </c>
      <c r="E162">
        <v>-62.319983329999999</v>
      </c>
      <c r="F162" t="s">
        <v>1087</v>
      </c>
      <c r="G162" t="s">
        <v>1088</v>
      </c>
      <c r="H162" t="s">
        <v>1296</v>
      </c>
    </row>
    <row r="163" spans="1:9" x14ac:dyDescent="0.25">
      <c r="A163" s="26">
        <v>1323</v>
      </c>
      <c r="B163" t="s">
        <v>50</v>
      </c>
      <c r="C163" t="s">
        <v>753</v>
      </c>
      <c r="D163">
        <v>44.845190000000002</v>
      </c>
      <c r="E163">
        <v>-62.466290000000001</v>
      </c>
      <c r="F163" t="s">
        <v>1089</v>
      </c>
      <c r="G163" t="s">
        <v>1090</v>
      </c>
      <c r="H163" t="s">
        <v>1296</v>
      </c>
    </row>
    <row r="164" spans="1:9" x14ac:dyDescent="0.25">
      <c r="A164" s="26" t="s">
        <v>212</v>
      </c>
      <c r="B164" t="s">
        <v>50</v>
      </c>
      <c r="C164" t="s">
        <v>753</v>
      </c>
      <c r="D164">
        <v>44.838839999999998</v>
      </c>
      <c r="E164">
        <v>-62.471069999999997</v>
      </c>
      <c r="F164" t="s">
        <v>1091</v>
      </c>
      <c r="G164" t="s">
        <v>1092</v>
      </c>
      <c r="H164" t="s">
        <v>1296</v>
      </c>
    </row>
    <row r="165" spans="1:9" x14ac:dyDescent="0.25">
      <c r="A165" s="26" t="s">
        <v>640</v>
      </c>
      <c r="B165" t="s">
        <v>623</v>
      </c>
      <c r="C165" t="s">
        <v>750</v>
      </c>
      <c r="D165">
        <v>45.696666999999998</v>
      </c>
      <c r="E165">
        <v>-60.7425</v>
      </c>
      <c r="I165" t="s">
        <v>825</v>
      </c>
    </row>
    <row r="166" spans="1:9" x14ac:dyDescent="0.25">
      <c r="A166" s="26" t="s">
        <v>214</v>
      </c>
      <c r="B166" t="s">
        <v>96</v>
      </c>
      <c r="C166" t="s">
        <v>753</v>
      </c>
      <c r="D166">
        <v>44.817929999999997</v>
      </c>
      <c r="E166">
        <v>-62.618989999999997</v>
      </c>
      <c r="F166" t="s">
        <v>1093</v>
      </c>
      <c r="G166" t="s">
        <v>1094</v>
      </c>
      <c r="H166" t="s">
        <v>1297</v>
      </c>
    </row>
    <row r="167" spans="1:9" x14ac:dyDescent="0.25">
      <c r="A167" s="26" t="s">
        <v>1095</v>
      </c>
      <c r="B167" t="s">
        <v>772</v>
      </c>
      <c r="C167" t="s">
        <v>752</v>
      </c>
      <c r="D167">
        <v>46.263739999999999</v>
      </c>
      <c r="E167">
        <v>-60.554929999999999</v>
      </c>
      <c r="F167" t="s">
        <v>1096</v>
      </c>
      <c r="G167" t="s">
        <v>1097</v>
      </c>
      <c r="H167" t="s">
        <v>1296</v>
      </c>
    </row>
    <row r="168" spans="1:9" x14ac:dyDescent="0.25">
      <c r="A168" s="26" t="s">
        <v>325</v>
      </c>
      <c r="B168" t="s">
        <v>318</v>
      </c>
      <c r="C168" t="s">
        <v>748</v>
      </c>
      <c r="D168">
        <v>45.708033</v>
      </c>
      <c r="E168">
        <v>-61.856532999999999</v>
      </c>
      <c r="F168" t="s">
        <v>1098</v>
      </c>
      <c r="G168" t="s">
        <v>1099</v>
      </c>
      <c r="H168" t="s">
        <v>1296</v>
      </c>
    </row>
    <row r="169" spans="1:9" x14ac:dyDescent="0.25">
      <c r="A169" s="26" t="s">
        <v>326</v>
      </c>
      <c r="B169" t="s">
        <v>318</v>
      </c>
      <c r="C169" t="s">
        <v>748</v>
      </c>
      <c r="D169">
        <v>45.694699999999997</v>
      </c>
      <c r="E169">
        <v>-61.850067000000003</v>
      </c>
      <c r="F169" t="s">
        <v>1100</v>
      </c>
      <c r="G169" t="s">
        <v>1101</v>
      </c>
      <c r="H169" t="s">
        <v>1296</v>
      </c>
    </row>
    <row r="170" spans="1:9" x14ac:dyDescent="0.25">
      <c r="A170" s="26" t="s">
        <v>327</v>
      </c>
      <c r="B170" t="s">
        <v>318</v>
      </c>
      <c r="C170" t="s">
        <v>748</v>
      </c>
      <c r="D170">
        <v>45.698683000000003</v>
      </c>
      <c r="E170">
        <v>-61.863999999999997</v>
      </c>
      <c r="F170" t="s">
        <v>1102</v>
      </c>
      <c r="G170" t="s">
        <v>1103</v>
      </c>
      <c r="H170" t="s">
        <v>1296</v>
      </c>
    </row>
    <row r="171" spans="1:9" x14ac:dyDescent="0.25">
      <c r="A171" s="26" t="s">
        <v>116</v>
      </c>
      <c r="B171" t="s">
        <v>62</v>
      </c>
      <c r="C171" t="s">
        <v>751</v>
      </c>
      <c r="D171">
        <v>44.570010000000003</v>
      </c>
      <c r="E171">
        <v>-64.034459999999996</v>
      </c>
      <c r="F171" t="s">
        <v>1104</v>
      </c>
      <c r="G171" t="s">
        <v>1105</v>
      </c>
      <c r="H171" t="s">
        <v>1297</v>
      </c>
    </row>
    <row r="172" spans="1:9" x14ac:dyDescent="0.25">
      <c r="A172" s="26" t="s">
        <v>1106</v>
      </c>
      <c r="B172" t="s">
        <v>62</v>
      </c>
      <c r="C172" t="s">
        <v>751</v>
      </c>
      <c r="D172">
        <v>44.514637999999998</v>
      </c>
      <c r="E172">
        <v>-63.977783000000002</v>
      </c>
      <c r="F172" t="s">
        <v>1107</v>
      </c>
      <c r="G172" t="s">
        <v>1108</v>
      </c>
      <c r="H172" t="s">
        <v>1297</v>
      </c>
    </row>
    <row r="173" spans="1:9" x14ac:dyDescent="0.25">
      <c r="A173" s="26" t="s">
        <v>210</v>
      </c>
      <c r="B173" t="s">
        <v>62</v>
      </c>
      <c r="C173" t="s">
        <v>753</v>
      </c>
      <c r="D173">
        <v>44.557290000000002</v>
      </c>
      <c r="E173">
        <v>-63.954230000000003</v>
      </c>
      <c r="F173" t="s">
        <v>1109</v>
      </c>
      <c r="G173" t="s">
        <v>1110</v>
      </c>
      <c r="H173" t="s">
        <v>1297</v>
      </c>
    </row>
    <row r="174" spans="1:9" x14ac:dyDescent="0.25">
      <c r="A174" s="26" t="s">
        <v>226</v>
      </c>
      <c r="B174" t="s">
        <v>62</v>
      </c>
      <c r="C174" t="s">
        <v>751</v>
      </c>
      <c r="D174">
        <v>44.548290000000001</v>
      </c>
      <c r="E174">
        <v>-64.017420000000001</v>
      </c>
      <c r="F174" t="s">
        <v>1111</v>
      </c>
      <c r="G174" t="s">
        <v>1112</v>
      </c>
      <c r="H174" t="s">
        <v>1297</v>
      </c>
    </row>
    <row r="175" spans="1:9" x14ac:dyDescent="0.25">
      <c r="A175" s="26">
        <v>1012</v>
      </c>
      <c r="B175" t="s">
        <v>47</v>
      </c>
      <c r="C175" t="s">
        <v>761</v>
      </c>
      <c r="D175">
        <v>44.4071</v>
      </c>
      <c r="E175">
        <v>-66.160529999999994</v>
      </c>
      <c r="F175" t="s">
        <v>1113</v>
      </c>
      <c r="G175" t="s">
        <v>1114</v>
      </c>
      <c r="H175" t="s">
        <v>1296</v>
      </c>
    </row>
    <row r="176" spans="1:9" x14ac:dyDescent="0.25">
      <c r="A176" s="26">
        <v>5007</v>
      </c>
      <c r="B176" t="s">
        <v>47</v>
      </c>
      <c r="C176" t="s">
        <v>761</v>
      </c>
      <c r="D176">
        <v>44.539119999999997</v>
      </c>
      <c r="E176">
        <v>-65.957980000000006</v>
      </c>
      <c r="F176" t="s">
        <v>1115</v>
      </c>
      <c r="G176" t="s">
        <v>1116</v>
      </c>
      <c r="H176" t="s">
        <v>1296</v>
      </c>
    </row>
    <row r="177" spans="1:9" x14ac:dyDescent="0.25">
      <c r="A177" s="26">
        <v>5008</v>
      </c>
      <c r="B177" t="s">
        <v>47</v>
      </c>
      <c r="C177" t="s">
        <v>761</v>
      </c>
      <c r="D177">
        <v>44.503839999999997</v>
      </c>
      <c r="E177">
        <v>-65.932299999999998</v>
      </c>
      <c r="F177" t="s">
        <v>1117</v>
      </c>
      <c r="G177" t="s">
        <v>1118</v>
      </c>
      <c r="H177" t="s">
        <v>1296</v>
      </c>
    </row>
    <row r="178" spans="1:9" x14ac:dyDescent="0.25">
      <c r="A178" s="26" t="s">
        <v>127</v>
      </c>
      <c r="B178" t="s">
        <v>47</v>
      </c>
      <c r="C178" t="s">
        <v>761</v>
      </c>
      <c r="D178">
        <v>44.536239999999999</v>
      </c>
      <c r="E178">
        <v>-66.001720000000006</v>
      </c>
      <c r="F178" t="s">
        <v>1119</v>
      </c>
      <c r="G178" t="s">
        <v>1120</v>
      </c>
      <c r="H178" t="s">
        <v>1297</v>
      </c>
    </row>
    <row r="179" spans="1:9" x14ac:dyDescent="0.25">
      <c r="A179" s="26" t="s">
        <v>128</v>
      </c>
      <c r="B179" t="s">
        <v>47</v>
      </c>
      <c r="C179" t="s">
        <v>761</v>
      </c>
      <c r="D179">
        <v>44.532800000000002</v>
      </c>
      <c r="E179">
        <v>-65.984039999999993</v>
      </c>
      <c r="F179" t="s">
        <v>1121</v>
      </c>
      <c r="G179" t="s">
        <v>1122</v>
      </c>
      <c r="H179" t="s">
        <v>1296</v>
      </c>
      <c r="I179" t="s">
        <v>1123</v>
      </c>
    </row>
    <row r="180" spans="1:9" x14ac:dyDescent="0.25">
      <c r="A180" s="26" t="s">
        <v>129</v>
      </c>
      <c r="B180" t="s">
        <v>47</v>
      </c>
      <c r="C180" t="s">
        <v>761</v>
      </c>
      <c r="D180">
        <v>44.324019999999997</v>
      </c>
      <c r="E180">
        <v>-66.135679999999994</v>
      </c>
      <c r="F180" t="s">
        <v>1124</v>
      </c>
      <c r="G180" t="s">
        <v>1125</v>
      </c>
      <c r="H180" t="s">
        <v>1296</v>
      </c>
    </row>
    <row r="181" spans="1:9" x14ac:dyDescent="0.25">
      <c r="A181" s="26" t="s">
        <v>130</v>
      </c>
      <c r="B181" t="s">
        <v>47</v>
      </c>
      <c r="C181" t="s">
        <v>761</v>
      </c>
      <c r="D181">
        <v>44.320149999999998</v>
      </c>
      <c r="E181">
        <v>-66.135069999999999</v>
      </c>
      <c r="F181" t="s">
        <v>1126</v>
      </c>
      <c r="G181" t="s">
        <v>1127</v>
      </c>
      <c r="H181" t="s">
        <v>1296</v>
      </c>
    </row>
    <row r="182" spans="1:9" x14ac:dyDescent="0.25">
      <c r="A182" s="26" t="s">
        <v>1128</v>
      </c>
      <c r="B182" t="s">
        <v>47</v>
      </c>
      <c r="C182" t="s">
        <v>761</v>
      </c>
      <c r="D182">
        <v>44.38944</v>
      </c>
      <c r="E182">
        <v>-66.176379999999995</v>
      </c>
      <c r="F182" t="s">
        <v>1129</v>
      </c>
      <c r="G182" t="s">
        <v>1130</v>
      </c>
      <c r="H182" t="s">
        <v>1296</v>
      </c>
    </row>
    <row r="183" spans="1:9" x14ac:dyDescent="0.25">
      <c r="A183" s="26" t="s">
        <v>166</v>
      </c>
      <c r="B183" t="s">
        <v>47</v>
      </c>
      <c r="C183" t="s">
        <v>761</v>
      </c>
      <c r="D183">
        <v>44.401519999999998</v>
      </c>
      <c r="E183">
        <v>-66.161270000000002</v>
      </c>
      <c r="F183" t="s">
        <v>1131</v>
      </c>
      <c r="G183" t="s">
        <v>1132</v>
      </c>
      <c r="H183" t="s">
        <v>1296</v>
      </c>
    </row>
    <row r="184" spans="1:9" x14ac:dyDescent="0.25">
      <c r="A184" s="26" t="s">
        <v>167</v>
      </c>
      <c r="B184" t="s">
        <v>47</v>
      </c>
      <c r="C184" t="s">
        <v>761</v>
      </c>
      <c r="D184">
        <v>44.381839999999997</v>
      </c>
      <c r="E184">
        <v>-66.177390000000003</v>
      </c>
      <c r="F184" t="s">
        <v>1133</v>
      </c>
      <c r="G184" t="s">
        <v>1134</v>
      </c>
      <c r="H184" t="s">
        <v>1297</v>
      </c>
    </row>
    <row r="185" spans="1:9" x14ac:dyDescent="0.25">
      <c r="A185" s="26" t="s">
        <v>168</v>
      </c>
      <c r="B185" t="s">
        <v>47</v>
      </c>
      <c r="C185" t="s">
        <v>761</v>
      </c>
      <c r="D185">
        <v>44.350389999999997</v>
      </c>
      <c r="E185">
        <v>-66.224670000000003</v>
      </c>
      <c r="F185" t="s">
        <v>1135</v>
      </c>
      <c r="G185" t="s">
        <v>1136</v>
      </c>
      <c r="H185" t="s">
        <v>1296</v>
      </c>
      <c r="I185" t="s">
        <v>1137</v>
      </c>
    </row>
    <row r="186" spans="1:9" x14ac:dyDescent="0.25">
      <c r="A186" s="26" t="s">
        <v>169</v>
      </c>
      <c r="B186" t="s">
        <v>47</v>
      </c>
      <c r="C186" t="s">
        <v>761</v>
      </c>
      <c r="D186">
        <v>44.333500000000001</v>
      </c>
      <c r="E186">
        <v>-66.201880000000003</v>
      </c>
      <c r="F186" t="s">
        <v>1138</v>
      </c>
      <c r="G186" t="s">
        <v>1139</v>
      </c>
      <c r="H186" t="s">
        <v>1297</v>
      </c>
    </row>
    <row r="187" spans="1:9" x14ac:dyDescent="0.25">
      <c r="A187" s="26" t="s">
        <v>1140</v>
      </c>
      <c r="B187" t="s">
        <v>47</v>
      </c>
      <c r="C187" t="s">
        <v>761</v>
      </c>
      <c r="D187">
        <v>44.333199999999998</v>
      </c>
      <c r="E187">
        <v>-66.243510000000001</v>
      </c>
      <c r="F187" t="s">
        <v>1141</v>
      </c>
      <c r="G187" t="s">
        <v>1142</v>
      </c>
      <c r="H187" t="s">
        <v>1296</v>
      </c>
    </row>
    <row r="188" spans="1:9" x14ac:dyDescent="0.25">
      <c r="A188" s="26" t="s">
        <v>181</v>
      </c>
      <c r="B188" t="s">
        <v>47</v>
      </c>
      <c r="C188" t="s">
        <v>761</v>
      </c>
      <c r="D188">
        <v>44.386839999999999</v>
      </c>
      <c r="E188">
        <v>-66.144239999999996</v>
      </c>
      <c r="F188" t="s">
        <v>1143</v>
      </c>
      <c r="G188" t="s">
        <v>1144</v>
      </c>
      <c r="H188" t="s">
        <v>1296</v>
      </c>
    </row>
    <row r="189" spans="1:9" x14ac:dyDescent="0.25">
      <c r="A189" s="26" t="s">
        <v>206</v>
      </c>
      <c r="B189" t="s">
        <v>47</v>
      </c>
      <c r="C189" t="s">
        <v>761</v>
      </c>
      <c r="D189">
        <v>44.485700000000001</v>
      </c>
      <c r="E189">
        <v>-66.059460000000001</v>
      </c>
      <c r="F189" t="s">
        <v>1145</v>
      </c>
      <c r="G189" t="s">
        <v>1146</v>
      </c>
      <c r="H189" t="s">
        <v>1297</v>
      </c>
      <c r="I189" t="s">
        <v>1147</v>
      </c>
    </row>
    <row r="190" spans="1:9" x14ac:dyDescent="0.25">
      <c r="A190" s="26" t="s">
        <v>163</v>
      </c>
      <c r="B190" t="s">
        <v>81</v>
      </c>
      <c r="C190" t="s">
        <v>759</v>
      </c>
      <c r="D190">
        <v>45.078110000000002</v>
      </c>
      <c r="E190">
        <v>-61.93844</v>
      </c>
      <c r="F190" t="s">
        <v>1148</v>
      </c>
      <c r="G190" t="s">
        <v>1149</v>
      </c>
      <c r="H190" t="s">
        <v>1296</v>
      </c>
    </row>
    <row r="191" spans="1:9" x14ac:dyDescent="0.25">
      <c r="A191" s="26" t="s">
        <v>164</v>
      </c>
      <c r="B191" t="s">
        <v>81</v>
      </c>
      <c r="C191" t="s">
        <v>759</v>
      </c>
      <c r="D191">
        <v>45.071190000000001</v>
      </c>
      <c r="E191">
        <v>-61.926720000000003</v>
      </c>
      <c r="F191" t="s">
        <v>1150</v>
      </c>
      <c r="G191" t="s">
        <v>1151</v>
      </c>
      <c r="H191" t="s">
        <v>1296</v>
      </c>
    </row>
    <row r="192" spans="1:9" x14ac:dyDescent="0.25">
      <c r="A192" s="26" t="s">
        <v>165</v>
      </c>
      <c r="B192" t="s">
        <v>81</v>
      </c>
      <c r="C192" t="s">
        <v>759</v>
      </c>
      <c r="D192">
        <v>45.067889999999998</v>
      </c>
      <c r="E192">
        <v>-61.914059999999999</v>
      </c>
      <c r="F192" t="s">
        <v>1152</v>
      </c>
      <c r="G192" t="s">
        <v>1153</v>
      </c>
      <c r="H192" t="s">
        <v>1296</v>
      </c>
    </row>
    <row r="193" spans="1:9" x14ac:dyDescent="0.25">
      <c r="A193" s="26" t="s">
        <v>170</v>
      </c>
      <c r="B193" t="s">
        <v>81</v>
      </c>
      <c r="C193" t="s">
        <v>759</v>
      </c>
      <c r="D193">
        <v>45.071190000000001</v>
      </c>
      <c r="E193">
        <v>-61.926720000000003</v>
      </c>
      <c r="F193" t="s">
        <v>1150</v>
      </c>
      <c r="G193" t="s">
        <v>1151</v>
      </c>
      <c r="H193" t="s">
        <v>1296</v>
      </c>
      <c r="I193" t="s">
        <v>1154</v>
      </c>
    </row>
    <row r="194" spans="1:9" x14ac:dyDescent="0.25">
      <c r="A194" s="26">
        <v>778</v>
      </c>
      <c r="B194" t="s">
        <v>773</v>
      </c>
      <c r="C194" t="s">
        <v>750</v>
      </c>
      <c r="D194">
        <v>45.661830000000002</v>
      </c>
      <c r="E194">
        <v>-60.847610000000003</v>
      </c>
      <c r="F194" t="s">
        <v>1155</v>
      </c>
      <c r="G194" t="s">
        <v>1156</v>
      </c>
      <c r="H194" t="s">
        <v>1296</v>
      </c>
    </row>
    <row r="195" spans="1:9" x14ac:dyDescent="0.25">
      <c r="A195" s="26">
        <v>994</v>
      </c>
      <c r="B195" t="s">
        <v>773</v>
      </c>
      <c r="C195" t="s">
        <v>750</v>
      </c>
      <c r="D195">
        <v>45.655329999999999</v>
      </c>
      <c r="E195">
        <v>-60.84581</v>
      </c>
      <c r="F195" t="s">
        <v>1157</v>
      </c>
      <c r="G195" t="s">
        <v>1158</v>
      </c>
      <c r="H195" t="s">
        <v>1296</v>
      </c>
    </row>
    <row r="196" spans="1:9" x14ac:dyDescent="0.25">
      <c r="A196" s="26" t="s">
        <v>121</v>
      </c>
      <c r="B196" t="s">
        <v>66</v>
      </c>
      <c r="C196" t="s">
        <v>755</v>
      </c>
      <c r="D196">
        <v>45.646880000000003</v>
      </c>
      <c r="E196">
        <v>-61.411470000000001</v>
      </c>
      <c r="F196" t="s">
        <v>1159</v>
      </c>
      <c r="G196" t="s">
        <v>1160</v>
      </c>
      <c r="H196" t="s">
        <v>1296</v>
      </c>
    </row>
    <row r="197" spans="1:9" x14ac:dyDescent="0.25">
      <c r="A197" s="26" t="s">
        <v>139</v>
      </c>
      <c r="B197" t="s">
        <v>66</v>
      </c>
      <c r="C197" t="s">
        <v>759</v>
      </c>
      <c r="D197">
        <v>45.525170000000003</v>
      </c>
      <c r="E197">
        <v>-61.25535</v>
      </c>
      <c r="F197" t="s">
        <v>1161</v>
      </c>
      <c r="G197" t="s">
        <v>1162</v>
      </c>
      <c r="H197" t="s">
        <v>1296</v>
      </c>
    </row>
    <row r="198" spans="1:9" x14ac:dyDescent="0.25">
      <c r="A198" s="26" t="s">
        <v>195</v>
      </c>
      <c r="B198" t="s">
        <v>66</v>
      </c>
      <c r="C198" t="s">
        <v>759</v>
      </c>
      <c r="D198">
        <v>45.589300000000001</v>
      </c>
      <c r="E198">
        <v>-61.379440000000002</v>
      </c>
      <c r="F198" t="s">
        <v>1163</v>
      </c>
      <c r="G198" t="s">
        <v>1164</v>
      </c>
      <c r="H198" t="s">
        <v>1297</v>
      </c>
    </row>
    <row r="199" spans="1:9" x14ac:dyDescent="0.25">
      <c r="A199" s="26" t="s">
        <v>196</v>
      </c>
      <c r="B199" t="s">
        <v>66</v>
      </c>
      <c r="C199" t="s">
        <v>755</v>
      </c>
      <c r="D199">
        <v>45.595860000000002</v>
      </c>
      <c r="E199">
        <v>-61.363819999999997</v>
      </c>
      <c r="F199" t="s">
        <v>1165</v>
      </c>
      <c r="G199" t="s">
        <v>1166</v>
      </c>
      <c r="H199" t="s">
        <v>1296</v>
      </c>
    </row>
    <row r="200" spans="1:9" x14ac:dyDescent="0.25">
      <c r="A200" s="26" t="s">
        <v>1167</v>
      </c>
      <c r="B200" t="s">
        <v>66</v>
      </c>
      <c r="C200" t="s">
        <v>755</v>
      </c>
      <c r="D200">
        <v>45.594499999999996</v>
      </c>
      <c r="E200">
        <v>-61.363819999999997</v>
      </c>
      <c r="F200" t="s">
        <v>1168</v>
      </c>
      <c r="G200" t="s">
        <v>1166</v>
      </c>
      <c r="H200" t="s">
        <v>1296</v>
      </c>
    </row>
    <row r="201" spans="1:9" x14ac:dyDescent="0.25">
      <c r="A201" s="26" t="s">
        <v>1272</v>
      </c>
      <c r="B201" t="s">
        <v>66</v>
      </c>
      <c r="C201" t="s">
        <v>755</v>
      </c>
      <c r="F201" t="s">
        <v>1275</v>
      </c>
      <c r="G201" t="s">
        <v>1276</v>
      </c>
      <c r="H201" t="s">
        <v>1297</v>
      </c>
    </row>
    <row r="202" spans="1:9" x14ac:dyDescent="0.25">
      <c r="A202" s="26" t="s">
        <v>173</v>
      </c>
      <c r="B202" t="s">
        <v>83</v>
      </c>
      <c r="C202" t="s">
        <v>763</v>
      </c>
      <c r="D202">
        <v>45.783160000000002</v>
      </c>
      <c r="E202">
        <v>-63.225169999999999</v>
      </c>
      <c r="F202" t="s">
        <v>1169</v>
      </c>
      <c r="G202" t="s">
        <v>1170</v>
      </c>
      <c r="H202" t="s">
        <v>1296</v>
      </c>
    </row>
    <row r="203" spans="1:9" x14ac:dyDescent="0.25">
      <c r="A203" s="26" t="s">
        <v>126</v>
      </c>
      <c r="B203" t="s">
        <v>68</v>
      </c>
      <c r="C203" t="s">
        <v>759</v>
      </c>
      <c r="D203">
        <v>45.225650000000002</v>
      </c>
      <c r="E203">
        <v>-61.29616</v>
      </c>
      <c r="F203" t="s">
        <v>1171</v>
      </c>
      <c r="G203" t="s">
        <v>1172</v>
      </c>
      <c r="H203" t="s">
        <v>1297</v>
      </c>
      <c r="I203" t="s">
        <v>1173</v>
      </c>
    </row>
    <row r="204" spans="1:9" x14ac:dyDescent="0.25">
      <c r="A204" s="26" t="s">
        <v>140</v>
      </c>
      <c r="B204" t="s">
        <v>68</v>
      </c>
      <c r="C204" t="s">
        <v>759</v>
      </c>
      <c r="D204">
        <v>45.250070000000001</v>
      </c>
      <c r="E204">
        <v>-61.298659999999998</v>
      </c>
      <c r="F204" t="s">
        <v>1174</v>
      </c>
      <c r="G204" t="s">
        <v>1175</v>
      </c>
      <c r="H204" t="s">
        <v>1296</v>
      </c>
    </row>
    <row r="205" spans="1:9" x14ac:dyDescent="0.25">
      <c r="A205" s="26" t="s">
        <v>155</v>
      </c>
      <c r="B205" t="s">
        <v>68</v>
      </c>
      <c r="C205" t="s">
        <v>759</v>
      </c>
      <c r="D205">
        <v>45.207680000000003</v>
      </c>
      <c r="E205">
        <v>-61.353189999999998</v>
      </c>
      <c r="F205" t="s">
        <v>1176</v>
      </c>
      <c r="G205" t="s">
        <v>1177</v>
      </c>
      <c r="H205" t="s">
        <v>1296</v>
      </c>
    </row>
    <row r="206" spans="1:9" x14ac:dyDescent="0.25">
      <c r="A206" s="26" t="s">
        <v>218</v>
      </c>
      <c r="B206" t="s">
        <v>68</v>
      </c>
      <c r="C206" t="s">
        <v>759</v>
      </c>
      <c r="D206">
        <v>45.230179999999997</v>
      </c>
      <c r="E206">
        <v>-61.253390000000003</v>
      </c>
      <c r="F206" t="s">
        <v>1178</v>
      </c>
      <c r="G206" t="s">
        <v>1179</v>
      </c>
      <c r="H206" t="s">
        <v>1296</v>
      </c>
    </row>
    <row r="207" spans="1:9" x14ac:dyDescent="0.25">
      <c r="A207" s="26" t="s">
        <v>227</v>
      </c>
      <c r="B207" t="s">
        <v>99</v>
      </c>
      <c r="C207" t="s">
        <v>748</v>
      </c>
      <c r="D207">
        <v>45.643909999999998</v>
      </c>
      <c r="E207">
        <v>-61.647590000000001</v>
      </c>
      <c r="F207" t="s">
        <v>1180</v>
      </c>
      <c r="G207" t="s">
        <v>1181</v>
      </c>
      <c r="H207" t="s">
        <v>1296</v>
      </c>
    </row>
    <row r="208" spans="1:9" x14ac:dyDescent="0.25">
      <c r="A208" s="26" t="s">
        <v>228</v>
      </c>
      <c r="B208" t="s">
        <v>99</v>
      </c>
      <c r="C208" t="s">
        <v>748</v>
      </c>
      <c r="D208">
        <v>45.644039999999997</v>
      </c>
      <c r="E208">
        <v>-61.647759999999998</v>
      </c>
      <c r="F208" t="s">
        <v>1182</v>
      </c>
      <c r="G208" t="s">
        <v>1183</v>
      </c>
      <c r="H208" t="s">
        <v>1296</v>
      </c>
    </row>
    <row r="209" spans="1:9" x14ac:dyDescent="0.25">
      <c r="A209" s="26" t="s">
        <v>229</v>
      </c>
      <c r="B209" t="s">
        <v>99</v>
      </c>
      <c r="C209" t="s">
        <v>748</v>
      </c>
      <c r="D209">
        <v>45.644170000000003</v>
      </c>
      <c r="E209">
        <v>-61.647889999999997</v>
      </c>
      <c r="F209" t="s">
        <v>1184</v>
      </c>
      <c r="G209" t="s">
        <v>1185</v>
      </c>
      <c r="H209" t="s">
        <v>1296</v>
      </c>
    </row>
    <row r="210" spans="1:9" x14ac:dyDescent="0.25">
      <c r="A210" s="26">
        <v>1199</v>
      </c>
      <c r="B210" t="s">
        <v>49</v>
      </c>
      <c r="C210" t="s">
        <v>759</v>
      </c>
      <c r="D210">
        <v>45.274290000000001</v>
      </c>
      <c r="E210">
        <v>-61.128439999999998</v>
      </c>
      <c r="F210" t="s">
        <v>1186</v>
      </c>
      <c r="G210" t="s">
        <v>1187</v>
      </c>
      <c r="H210" t="s">
        <v>1296</v>
      </c>
      <c r="I210" t="s">
        <v>1188</v>
      </c>
    </row>
    <row r="211" spans="1:9" x14ac:dyDescent="0.25">
      <c r="A211" s="26" t="s">
        <v>109</v>
      </c>
      <c r="B211" t="s">
        <v>49</v>
      </c>
      <c r="C211" t="s">
        <v>759</v>
      </c>
      <c r="D211">
        <v>45.198680000000003</v>
      </c>
      <c r="E211">
        <v>-61.188630000000003</v>
      </c>
      <c r="F211" t="s">
        <v>1189</v>
      </c>
      <c r="G211" t="s">
        <v>1190</v>
      </c>
      <c r="H211" t="s">
        <v>1296</v>
      </c>
    </row>
    <row r="212" spans="1:9" x14ac:dyDescent="0.25">
      <c r="A212" s="26" t="s">
        <v>119</v>
      </c>
      <c r="B212" t="s">
        <v>49</v>
      </c>
      <c r="C212" t="s">
        <v>759</v>
      </c>
      <c r="D212">
        <v>45.255710000000001</v>
      </c>
      <c r="E212">
        <v>-61.146680000000003</v>
      </c>
      <c r="F212" t="s">
        <v>1191</v>
      </c>
      <c r="G212" t="s">
        <v>1192</v>
      </c>
      <c r="H212" t="s">
        <v>1298</v>
      </c>
    </row>
    <row r="213" spans="1:9" x14ac:dyDescent="0.25">
      <c r="A213" s="26" t="s">
        <v>141</v>
      </c>
      <c r="B213" t="s">
        <v>49</v>
      </c>
      <c r="C213" t="s">
        <v>759</v>
      </c>
      <c r="D213">
        <v>45.23997</v>
      </c>
      <c r="E213">
        <v>-61.168379999999999</v>
      </c>
      <c r="F213" t="s">
        <v>1193</v>
      </c>
      <c r="G213" t="s">
        <v>1194</v>
      </c>
      <c r="H213" t="s">
        <v>1298</v>
      </c>
    </row>
    <row r="214" spans="1:9" x14ac:dyDescent="0.25">
      <c r="A214" s="26" t="s">
        <v>148</v>
      </c>
      <c r="B214" t="s">
        <v>49</v>
      </c>
      <c r="C214" t="s">
        <v>759</v>
      </c>
      <c r="D214">
        <v>45.23836</v>
      </c>
      <c r="E214">
        <v>-61.150509999999997</v>
      </c>
      <c r="F214" t="s">
        <v>1195</v>
      </c>
      <c r="G214" t="s">
        <v>1196</v>
      </c>
      <c r="H214" t="s">
        <v>1298</v>
      </c>
    </row>
    <row r="215" spans="1:9" x14ac:dyDescent="0.25">
      <c r="A215" s="26" t="s">
        <v>186</v>
      </c>
      <c r="B215" t="s">
        <v>49</v>
      </c>
      <c r="C215" t="s">
        <v>759</v>
      </c>
      <c r="D215">
        <v>45.239899999999999</v>
      </c>
      <c r="E215">
        <v>-61.152700000000003</v>
      </c>
      <c r="F215" t="s">
        <v>1197</v>
      </c>
      <c r="G215" t="s">
        <v>1198</v>
      </c>
      <c r="H215" t="s">
        <v>1296</v>
      </c>
    </row>
    <row r="216" spans="1:9" x14ac:dyDescent="0.25">
      <c r="A216" s="26" t="s">
        <v>188</v>
      </c>
      <c r="B216" t="s">
        <v>49</v>
      </c>
      <c r="C216" t="s">
        <v>759</v>
      </c>
      <c r="D216">
        <v>45.270620000000001</v>
      </c>
      <c r="E216">
        <v>-61.134999999999998</v>
      </c>
      <c r="F216" t="s">
        <v>1199</v>
      </c>
      <c r="G216" t="s">
        <v>1200</v>
      </c>
      <c r="H216" t="s">
        <v>1298</v>
      </c>
    </row>
    <row r="217" spans="1:9" x14ac:dyDescent="0.25">
      <c r="A217" s="26" t="s">
        <v>189</v>
      </c>
      <c r="B217" t="s">
        <v>49</v>
      </c>
      <c r="C217" t="s">
        <v>759</v>
      </c>
      <c r="D217">
        <v>45.286740000000002</v>
      </c>
      <c r="E217">
        <v>-61.168349999999997</v>
      </c>
      <c r="F217" t="s">
        <v>1201</v>
      </c>
      <c r="G217" t="s">
        <v>1202</v>
      </c>
      <c r="H217" t="s">
        <v>1298</v>
      </c>
    </row>
    <row r="218" spans="1:9" x14ac:dyDescent="0.25">
      <c r="A218" s="26" t="s">
        <v>221</v>
      </c>
      <c r="B218" t="s">
        <v>49</v>
      </c>
      <c r="C218" t="s">
        <v>759</v>
      </c>
      <c r="D218">
        <v>45.237589999999997</v>
      </c>
      <c r="E218">
        <v>-61.149470000000001</v>
      </c>
      <c r="F218" t="s">
        <v>1203</v>
      </c>
      <c r="G218" t="s">
        <v>1204</v>
      </c>
      <c r="H218" t="s">
        <v>1297</v>
      </c>
    </row>
    <row r="219" spans="1:9" x14ac:dyDescent="0.25">
      <c r="A219" s="26" t="s">
        <v>585</v>
      </c>
      <c r="B219" t="s">
        <v>49</v>
      </c>
      <c r="C219" t="s">
        <v>759</v>
      </c>
      <c r="D219">
        <v>45.239060000000002</v>
      </c>
      <c r="E219">
        <v>-61.149619999999999</v>
      </c>
      <c r="F219" t="s">
        <v>1205</v>
      </c>
      <c r="G219" t="s">
        <v>1206</v>
      </c>
      <c r="H219" t="s">
        <v>1296</v>
      </c>
    </row>
    <row r="220" spans="1:9" x14ac:dyDescent="0.25">
      <c r="A220" s="26" t="s">
        <v>223</v>
      </c>
      <c r="B220" t="s">
        <v>49</v>
      </c>
      <c r="C220" t="s">
        <v>759</v>
      </c>
      <c r="D220">
        <v>45.249290000000002</v>
      </c>
      <c r="E220">
        <v>-61.146769999999997</v>
      </c>
      <c r="F220" t="s">
        <v>1207</v>
      </c>
      <c r="G220" t="s">
        <v>1208</v>
      </c>
      <c r="H220" t="s">
        <v>1298</v>
      </c>
    </row>
    <row r="221" spans="1:9" x14ac:dyDescent="0.25">
      <c r="A221" s="26" t="s">
        <v>235</v>
      </c>
      <c r="B221" t="s">
        <v>49</v>
      </c>
      <c r="C221" t="s">
        <v>759</v>
      </c>
      <c r="D221">
        <v>45.246490000000001</v>
      </c>
      <c r="E221">
        <v>-61.156199999999998</v>
      </c>
      <c r="F221" t="s">
        <v>1209</v>
      </c>
      <c r="G221" t="s">
        <v>1210</v>
      </c>
      <c r="H221" t="s">
        <v>1298</v>
      </c>
    </row>
    <row r="222" spans="1:9" x14ac:dyDescent="0.25">
      <c r="A222" s="26" t="s">
        <v>236</v>
      </c>
      <c r="B222" t="s">
        <v>49</v>
      </c>
      <c r="C222" t="s">
        <v>759</v>
      </c>
      <c r="D222">
        <v>45.233609999999999</v>
      </c>
      <c r="E222">
        <v>-61.158479999999997</v>
      </c>
      <c r="F222" t="s">
        <v>1211</v>
      </c>
      <c r="G222" t="s">
        <v>1212</v>
      </c>
      <c r="H222" t="s">
        <v>1298</v>
      </c>
    </row>
    <row r="223" spans="1:9" x14ac:dyDescent="0.25">
      <c r="A223" s="26" t="s">
        <v>1213</v>
      </c>
      <c r="B223" t="s">
        <v>52</v>
      </c>
      <c r="C223" t="s">
        <v>755</v>
      </c>
      <c r="D223">
        <v>45.951259999999998</v>
      </c>
      <c r="E223">
        <v>-61.120710000000003</v>
      </c>
      <c r="F223" t="s">
        <v>1214</v>
      </c>
      <c r="G223" t="s">
        <v>1215</v>
      </c>
      <c r="H223" t="s">
        <v>1296</v>
      </c>
    </row>
    <row r="224" spans="1:9" x14ac:dyDescent="0.25">
      <c r="A224" s="26" t="s">
        <v>1216</v>
      </c>
      <c r="B224" t="s">
        <v>52</v>
      </c>
      <c r="C224" t="s">
        <v>755</v>
      </c>
      <c r="D224">
        <v>45.94547</v>
      </c>
      <c r="E224">
        <v>-61.129170000000002</v>
      </c>
      <c r="F224" t="s">
        <v>1217</v>
      </c>
      <c r="G224" t="s">
        <v>1218</v>
      </c>
      <c r="H224" t="s">
        <v>1296</v>
      </c>
    </row>
    <row r="225" spans="1:9" x14ac:dyDescent="0.25">
      <c r="A225" s="26" t="s">
        <v>132</v>
      </c>
      <c r="B225" t="s">
        <v>52</v>
      </c>
      <c r="C225" t="s">
        <v>755</v>
      </c>
      <c r="D225">
        <v>45.948509999999999</v>
      </c>
      <c r="E225">
        <v>-61.124659999999999</v>
      </c>
      <c r="F225" t="s">
        <v>1219</v>
      </c>
      <c r="G225" t="s">
        <v>1220</v>
      </c>
      <c r="H225" t="s">
        <v>1296</v>
      </c>
    </row>
    <row r="226" spans="1:9" x14ac:dyDescent="0.25">
      <c r="A226" s="26" t="s">
        <v>104</v>
      </c>
      <c r="B226" t="s">
        <v>53</v>
      </c>
      <c r="C226" t="s">
        <v>755</v>
      </c>
      <c r="D226">
        <v>45.976080000000003</v>
      </c>
      <c r="E226">
        <v>-61.022680000000001</v>
      </c>
      <c r="F226" t="s">
        <v>1221</v>
      </c>
      <c r="G226" t="s">
        <v>1222</v>
      </c>
      <c r="H226" t="s">
        <v>1296</v>
      </c>
    </row>
    <row r="227" spans="1:9" x14ac:dyDescent="0.25">
      <c r="A227" s="26" t="s">
        <v>647</v>
      </c>
      <c r="B227" t="s">
        <v>53</v>
      </c>
      <c r="C227" t="s">
        <v>755</v>
      </c>
      <c r="D227">
        <v>45.979666999999999</v>
      </c>
      <c r="E227">
        <v>-61.028832999999999</v>
      </c>
      <c r="I227" t="s">
        <v>825</v>
      </c>
    </row>
    <row r="228" spans="1:9" x14ac:dyDescent="0.25">
      <c r="A228" s="26" t="s">
        <v>657</v>
      </c>
      <c r="B228" t="s">
        <v>53</v>
      </c>
      <c r="C228" t="s">
        <v>755</v>
      </c>
      <c r="D228">
        <v>45.957861000000001</v>
      </c>
      <c r="E228">
        <v>-61.001582999999997</v>
      </c>
      <c r="I228" t="s">
        <v>825</v>
      </c>
    </row>
    <row r="229" spans="1:9" x14ac:dyDescent="0.25">
      <c r="A229" s="26" t="s">
        <v>101</v>
      </c>
      <c r="B229" t="s">
        <v>101</v>
      </c>
      <c r="C229" t="s">
        <v>759</v>
      </c>
      <c r="D229">
        <v>45.072290000000002</v>
      </c>
      <c r="E229">
        <v>-61.86092</v>
      </c>
      <c r="F229" t="s">
        <v>1223</v>
      </c>
      <c r="G229" t="s">
        <v>1224</v>
      </c>
      <c r="H229" t="s">
        <v>1297</v>
      </c>
    </row>
    <row r="230" spans="1:9" x14ac:dyDescent="0.25">
      <c r="A230" s="26" t="s">
        <v>120</v>
      </c>
      <c r="B230" t="s">
        <v>65</v>
      </c>
      <c r="C230" t="s">
        <v>762</v>
      </c>
      <c r="D230">
        <v>43.497140000000002</v>
      </c>
      <c r="E230">
        <v>-65.737840000000006</v>
      </c>
      <c r="F230" t="s">
        <v>1225</v>
      </c>
      <c r="G230" t="s">
        <v>1226</v>
      </c>
      <c r="H230" t="s">
        <v>1296</v>
      </c>
    </row>
    <row r="231" spans="1:9" x14ac:dyDescent="0.25">
      <c r="A231" s="26" t="s">
        <v>1414</v>
      </c>
      <c r="B231" t="s">
        <v>47</v>
      </c>
      <c r="C231" t="s">
        <v>761</v>
      </c>
      <c r="F231" t="s">
        <v>1415</v>
      </c>
      <c r="G231" t="s">
        <v>1416</v>
      </c>
      <c r="H231" t="s">
        <v>1297</v>
      </c>
    </row>
  </sheetData>
  <autoFilter ref="A1:I225" xr:uid="{F9178D97-480E-4A1C-A868-3FF779D47BC0}">
    <sortState xmlns:xlrd2="http://schemas.microsoft.com/office/spreadsheetml/2017/richdata2" ref="A2:I230">
      <sortCondition ref="B1:B22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E4C6-3F93-489F-ACED-C7B3A538ED98}">
  <dimension ref="A1:E41"/>
  <sheetViews>
    <sheetView workbookViewId="0">
      <selection activeCell="A33" sqref="A33"/>
    </sheetView>
  </sheetViews>
  <sheetFormatPr defaultRowHeight="16.899999999999999" customHeight="1" x14ac:dyDescent="0.25"/>
  <cols>
    <col min="1" max="1" width="33.28515625" bestFit="1" customWidth="1"/>
    <col min="2" max="2" width="96" bestFit="1" customWidth="1"/>
    <col min="3" max="3" width="61.7109375" bestFit="1" customWidth="1"/>
    <col min="4" max="4" width="140.7109375" bestFit="1" customWidth="1"/>
    <col min="5" max="5" width="134.42578125" bestFit="1" customWidth="1"/>
  </cols>
  <sheetData>
    <row r="1" spans="1:5" ht="16.899999999999999" customHeight="1" thickBot="1" x14ac:dyDescent="0.3">
      <c r="A1" s="20" t="s">
        <v>685</v>
      </c>
      <c r="B1" s="20" t="s">
        <v>686</v>
      </c>
      <c r="C1" s="20" t="s">
        <v>687</v>
      </c>
      <c r="D1" s="20" t="s">
        <v>688</v>
      </c>
      <c r="E1" s="20" t="s">
        <v>689</v>
      </c>
    </row>
    <row r="2" spans="1:5" ht="16.899999999999999" customHeight="1" thickBot="1" x14ac:dyDescent="0.3">
      <c r="A2" s="19" t="s">
        <v>300</v>
      </c>
      <c r="B2" s="19" t="s">
        <v>690</v>
      </c>
      <c r="C2" s="19" t="s">
        <v>691</v>
      </c>
      <c r="D2" s="21">
        <v>45526</v>
      </c>
      <c r="E2" s="19"/>
    </row>
    <row r="3" spans="1:5" ht="16.899999999999999" customHeight="1" thickBot="1" x14ac:dyDescent="0.3">
      <c r="A3" s="19" t="s">
        <v>1</v>
      </c>
      <c r="B3" s="19" t="s">
        <v>692</v>
      </c>
      <c r="C3" s="22" t="s">
        <v>693</v>
      </c>
      <c r="D3" s="19" t="s">
        <v>109</v>
      </c>
      <c r="E3" s="19" t="s">
        <v>694</v>
      </c>
    </row>
    <row r="4" spans="1:5" ht="16.899999999999999" customHeight="1" thickBot="1" x14ac:dyDescent="0.3">
      <c r="A4" s="19" t="s">
        <v>747</v>
      </c>
      <c r="B4" s="19" t="s">
        <v>774</v>
      </c>
      <c r="C4" s="22"/>
      <c r="D4" s="19"/>
      <c r="E4" s="19"/>
    </row>
    <row r="5" spans="1:5" ht="16.899999999999999" customHeight="1" thickBot="1" x14ac:dyDescent="0.3">
      <c r="A5" s="19" t="s">
        <v>0</v>
      </c>
      <c r="B5" s="19" t="s">
        <v>695</v>
      </c>
      <c r="C5" s="22" t="s">
        <v>693</v>
      </c>
      <c r="D5" s="19" t="s">
        <v>95</v>
      </c>
      <c r="E5" s="19" t="s">
        <v>696</v>
      </c>
    </row>
    <row r="6" spans="1:5" ht="16.899999999999999" customHeight="1" thickBot="1" x14ac:dyDescent="0.3">
      <c r="A6" s="19" t="s">
        <v>2</v>
      </c>
      <c r="B6" s="19" t="s">
        <v>697</v>
      </c>
      <c r="C6" s="19"/>
      <c r="D6" s="19">
        <v>1443</v>
      </c>
      <c r="E6" s="19"/>
    </row>
    <row r="7" spans="1:5" ht="16.899999999999999" customHeight="1" thickBot="1" x14ac:dyDescent="0.3">
      <c r="A7" s="19" t="s">
        <v>3</v>
      </c>
      <c r="B7" s="19" t="s">
        <v>698</v>
      </c>
      <c r="C7" s="19"/>
      <c r="D7" s="19" t="s">
        <v>34</v>
      </c>
      <c r="E7" s="19" t="s">
        <v>699</v>
      </c>
    </row>
    <row r="8" spans="1:5" ht="16.899999999999999" customHeight="1" thickBot="1" x14ac:dyDescent="0.3">
      <c r="A8" s="19" t="s">
        <v>4</v>
      </c>
      <c r="B8" s="19" t="s">
        <v>700</v>
      </c>
      <c r="C8" s="19" t="s">
        <v>691</v>
      </c>
      <c r="D8" s="21">
        <v>45404</v>
      </c>
      <c r="E8" s="19"/>
    </row>
    <row r="9" spans="1:5" ht="16.899999999999999" customHeight="1" thickBot="1" x14ac:dyDescent="0.3">
      <c r="A9" s="19" t="s">
        <v>5</v>
      </c>
      <c r="B9" s="19" t="s">
        <v>701</v>
      </c>
      <c r="C9" s="19" t="s">
        <v>702</v>
      </c>
      <c r="D9" s="23">
        <v>0.60624999999999996</v>
      </c>
      <c r="E9" s="19"/>
    </row>
    <row r="10" spans="1:5" ht="16.899999999999999" customHeight="1" thickBot="1" x14ac:dyDescent="0.3">
      <c r="A10" s="19" t="s">
        <v>6</v>
      </c>
      <c r="B10" s="19" t="s">
        <v>703</v>
      </c>
      <c r="C10" s="19" t="s">
        <v>691</v>
      </c>
      <c r="D10" s="21">
        <v>45384</v>
      </c>
      <c r="E10" s="19"/>
    </row>
    <row r="11" spans="1:5" ht="16.899999999999999" customHeight="1" thickBot="1" x14ac:dyDescent="0.3">
      <c r="A11" s="19" t="s">
        <v>7</v>
      </c>
      <c r="B11" s="19" t="s">
        <v>704</v>
      </c>
      <c r="C11" s="19" t="s">
        <v>702</v>
      </c>
      <c r="D11" s="23">
        <v>0.60624999999999996</v>
      </c>
      <c r="E11" s="19"/>
    </row>
    <row r="12" spans="1:5" ht="16.899999999999999" customHeight="1" thickBot="1" x14ac:dyDescent="0.3">
      <c r="A12" s="19" t="s">
        <v>8</v>
      </c>
      <c r="B12" s="19" t="s">
        <v>705</v>
      </c>
      <c r="C12" s="19" t="s">
        <v>706</v>
      </c>
      <c r="D12" s="19">
        <v>43.770429999999998</v>
      </c>
      <c r="E12" s="19"/>
    </row>
    <row r="13" spans="1:5" ht="16.899999999999999" customHeight="1" thickBot="1" x14ac:dyDescent="0.3">
      <c r="A13" s="19" t="s">
        <v>9</v>
      </c>
      <c r="B13" s="19" t="s">
        <v>707</v>
      </c>
      <c r="C13" s="19" t="s">
        <v>706</v>
      </c>
      <c r="D13" s="19">
        <v>-66.135149999999996</v>
      </c>
      <c r="E13" s="19"/>
    </row>
    <row r="14" spans="1:5" ht="16.899999999999999" customHeight="1" thickBot="1" x14ac:dyDescent="0.3">
      <c r="A14" s="19" t="s">
        <v>10</v>
      </c>
      <c r="B14" s="19" t="s">
        <v>708</v>
      </c>
      <c r="C14" s="19" t="s">
        <v>706</v>
      </c>
      <c r="D14" s="19">
        <v>44.570148000000003</v>
      </c>
      <c r="E14" s="19"/>
    </row>
    <row r="15" spans="1:5" ht="16.899999999999999" customHeight="1" thickBot="1" x14ac:dyDescent="0.3">
      <c r="A15" s="19" t="s">
        <v>11</v>
      </c>
      <c r="B15" s="19" t="s">
        <v>709</v>
      </c>
      <c r="C15" s="19" t="s">
        <v>706</v>
      </c>
      <c r="D15" s="19">
        <v>-64.034546000000006</v>
      </c>
      <c r="E15" s="19"/>
    </row>
    <row r="16" spans="1:5" ht="16.899999999999999" customHeight="1" thickBot="1" x14ac:dyDescent="0.3">
      <c r="A16" s="19" t="s">
        <v>297</v>
      </c>
      <c r="B16" s="19" t="s">
        <v>710</v>
      </c>
      <c r="C16" s="19" t="s">
        <v>711</v>
      </c>
      <c r="D16" s="19" t="s">
        <v>362</v>
      </c>
      <c r="E16" s="19"/>
    </row>
    <row r="17" spans="1:5" ht="16.899999999999999" customHeight="1" thickBot="1" x14ac:dyDescent="0.3">
      <c r="A17" s="19" t="s">
        <v>296</v>
      </c>
      <c r="B17" s="19" t="s">
        <v>712</v>
      </c>
      <c r="C17" s="19" t="s">
        <v>711</v>
      </c>
      <c r="D17" s="19" t="s">
        <v>363</v>
      </c>
      <c r="E17" s="19"/>
    </row>
    <row r="18" spans="1:5" ht="16.899999999999999" customHeight="1" thickBot="1" x14ac:dyDescent="0.3">
      <c r="A18" s="19" t="s">
        <v>298</v>
      </c>
      <c r="B18" s="19" t="s">
        <v>713</v>
      </c>
      <c r="C18" s="19" t="s">
        <v>711</v>
      </c>
      <c r="D18" s="19" t="s">
        <v>360</v>
      </c>
      <c r="E18" s="19"/>
    </row>
    <row r="19" spans="1:5" ht="16.899999999999999" customHeight="1" thickBot="1" x14ac:dyDescent="0.3">
      <c r="A19" s="19" t="s">
        <v>299</v>
      </c>
      <c r="B19" s="19" t="s">
        <v>714</v>
      </c>
      <c r="C19" s="19" t="s">
        <v>711</v>
      </c>
      <c r="D19" s="19" t="s">
        <v>361</v>
      </c>
      <c r="E19" s="19"/>
    </row>
    <row r="20" spans="1:5" ht="16.899999999999999" customHeight="1" thickBot="1" x14ac:dyDescent="0.3">
      <c r="A20" s="19" t="s">
        <v>12</v>
      </c>
      <c r="B20" s="19" t="s">
        <v>715</v>
      </c>
      <c r="C20" s="19"/>
      <c r="D20" s="19" t="s">
        <v>240</v>
      </c>
      <c r="E20" s="19" t="s">
        <v>716</v>
      </c>
    </row>
    <row r="21" spans="1:5" ht="16.899999999999999" customHeight="1" thickBot="1" x14ac:dyDescent="0.3">
      <c r="A21" s="19" t="s">
        <v>13</v>
      </c>
      <c r="B21" s="19" t="s">
        <v>717</v>
      </c>
      <c r="C21" s="19"/>
      <c r="D21" s="19">
        <v>680324</v>
      </c>
      <c r="E21" s="19"/>
    </row>
    <row r="22" spans="1:5" ht="16.899999999999999" customHeight="1" thickBot="1" x14ac:dyDescent="0.3">
      <c r="A22" s="19" t="s">
        <v>14</v>
      </c>
      <c r="B22" s="19" t="s">
        <v>718</v>
      </c>
      <c r="C22" s="19"/>
      <c r="D22" s="19">
        <v>1</v>
      </c>
      <c r="E22" s="19"/>
    </row>
    <row r="23" spans="1:5" ht="16.899999999999999" customHeight="1" thickBot="1" x14ac:dyDescent="0.3">
      <c r="A23" s="19" t="s">
        <v>16</v>
      </c>
      <c r="B23" s="19" t="s">
        <v>719</v>
      </c>
      <c r="C23" s="19"/>
      <c r="D23" s="19" t="s">
        <v>36</v>
      </c>
      <c r="E23" s="19" t="s">
        <v>720</v>
      </c>
    </row>
    <row r="24" spans="1:5" ht="16.899999999999999" customHeight="1" thickBot="1" x14ac:dyDescent="0.3">
      <c r="A24" s="19" t="s">
        <v>17</v>
      </c>
      <c r="B24" s="19" t="s">
        <v>721</v>
      </c>
      <c r="C24" s="19"/>
      <c r="D24" s="19">
        <v>13.1</v>
      </c>
      <c r="E24" s="19"/>
    </row>
    <row r="25" spans="1:5" ht="16.899999999999999" customHeight="1" thickBot="1" x14ac:dyDescent="0.3">
      <c r="A25" s="19" t="s">
        <v>15</v>
      </c>
      <c r="B25" s="19" t="s">
        <v>722</v>
      </c>
      <c r="C25" s="19"/>
      <c r="D25" s="19" t="s">
        <v>35</v>
      </c>
      <c r="E25" s="19" t="s">
        <v>723</v>
      </c>
    </row>
    <row r="26" spans="1:5" ht="16.899999999999999" customHeight="1" thickBot="1" x14ac:dyDescent="0.3">
      <c r="A26" s="19" t="s">
        <v>18</v>
      </c>
      <c r="B26" s="19" t="s">
        <v>724</v>
      </c>
      <c r="C26" s="22" t="s">
        <v>725</v>
      </c>
      <c r="D26" s="19">
        <v>0.3</v>
      </c>
      <c r="E26" s="19"/>
    </row>
    <row r="27" spans="1:5" ht="16.899999999999999" customHeight="1" thickBot="1" x14ac:dyDescent="0.3">
      <c r="A27" s="19" t="s">
        <v>20</v>
      </c>
      <c r="B27" s="19" t="s">
        <v>726</v>
      </c>
      <c r="C27" s="19"/>
      <c r="D27" s="19">
        <v>1</v>
      </c>
      <c r="E27" s="19"/>
    </row>
    <row r="28" spans="1:5" ht="16.899999999999999" customHeight="1" thickBot="1" x14ac:dyDescent="0.3">
      <c r="A28" s="19" t="s">
        <v>19</v>
      </c>
      <c r="B28" s="19" t="s">
        <v>727</v>
      </c>
      <c r="C28" s="19"/>
      <c r="D28" s="19" t="s">
        <v>243</v>
      </c>
      <c r="E28" s="19" t="s">
        <v>728</v>
      </c>
    </row>
    <row r="29" spans="1:5" ht="16.899999999999999" customHeight="1" thickBot="1" x14ac:dyDescent="0.3">
      <c r="A29" s="19" t="s">
        <v>23</v>
      </c>
      <c r="B29" s="19" t="s">
        <v>729</v>
      </c>
      <c r="C29" s="19"/>
      <c r="D29" s="19" t="s">
        <v>38</v>
      </c>
      <c r="E29" s="19" t="s">
        <v>730</v>
      </c>
    </row>
    <row r="30" spans="1:5" ht="16.899999999999999" customHeight="1" thickBot="1" x14ac:dyDescent="0.3">
      <c r="A30" s="19" t="s">
        <v>24</v>
      </c>
      <c r="B30" s="19" t="s">
        <v>731</v>
      </c>
      <c r="C30" s="19"/>
      <c r="D30" s="19" t="s">
        <v>39</v>
      </c>
      <c r="E30" s="19" t="s">
        <v>730</v>
      </c>
    </row>
    <row r="31" spans="1:5" ht="16.899999999999999" customHeight="1" thickBot="1" x14ac:dyDescent="0.3">
      <c r="A31" s="19" t="s">
        <v>25</v>
      </c>
      <c r="B31" s="19" t="s">
        <v>732</v>
      </c>
      <c r="C31" s="19"/>
      <c r="D31" s="19" t="s">
        <v>39</v>
      </c>
      <c r="E31" s="19" t="s">
        <v>730</v>
      </c>
    </row>
    <row r="32" spans="1:5" ht="16.899999999999999" customHeight="1" thickBot="1" x14ac:dyDescent="0.3">
      <c r="A32" s="19" t="s">
        <v>1234</v>
      </c>
      <c r="B32" s="19" t="s">
        <v>1241</v>
      </c>
      <c r="C32" s="19"/>
      <c r="D32" s="19" t="s">
        <v>1244</v>
      </c>
      <c r="E32" s="19" t="s">
        <v>1243</v>
      </c>
    </row>
    <row r="33" spans="1:5" ht="16.899999999999999" customHeight="1" thickBot="1" x14ac:dyDescent="0.3">
      <c r="A33" s="19" t="s">
        <v>1233</v>
      </c>
      <c r="B33" s="19" t="s">
        <v>1242</v>
      </c>
      <c r="C33" s="19"/>
      <c r="D33" s="19">
        <v>1</v>
      </c>
      <c r="E33" s="19"/>
    </row>
    <row r="34" spans="1:5" ht="16.899999999999999" customHeight="1" thickBot="1" x14ac:dyDescent="0.3">
      <c r="A34" s="19" t="s">
        <v>21</v>
      </c>
      <c r="B34" s="19" t="s">
        <v>733</v>
      </c>
      <c r="C34" s="19"/>
      <c r="D34" s="19" t="s">
        <v>37</v>
      </c>
      <c r="E34" s="19"/>
    </row>
    <row r="35" spans="1:5" ht="16.899999999999999" customHeight="1" thickBot="1" x14ac:dyDescent="0.3">
      <c r="A35" s="19" t="s">
        <v>22</v>
      </c>
      <c r="B35" s="19" t="s">
        <v>734</v>
      </c>
      <c r="C35" s="19"/>
      <c r="D35" s="19">
        <v>60</v>
      </c>
      <c r="E35" s="19"/>
    </row>
    <row r="36" spans="1:5" ht="16.899999999999999" customHeight="1" thickBot="1" x14ac:dyDescent="0.3">
      <c r="A36" s="19" t="s">
        <v>26</v>
      </c>
      <c r="B36" s="19" t="s">
        <v>735</v>
      </c>
      <c r="C36" s="19"/>
      <c r="D36" s="19" t="s">
        <v>40</v>
      </c>
      <c r="E36" s="19" t="s">
        <v>736</v>
      </c>
    </row>
    <row r="37" spans="1:5" ht="16.899999999999999" customHeight="1" thickBot="1" x14ac:dyDescent="0.3">
      <c r="A37" s="19" t="s">
        <v>29</v>
      </c>
      <c r="B37" s="19" t="s">
        <v>737</v>
      </c>
      <c r="C37" s="19"/>
      <c r="D37" s="19" t="s">
        <v>238</v>
      </c>
      <c r="E37" s="19"/>
    </row>
    <row r="38" spans="1:5" ht="16.899999999999999" customHeight="1" thickBot="1" x14ac:dyDescent="0.3">
      <c r="A38" s="19" t="s">
        <v>30</v>
      </c>
      <c r="B38" s="19" t="s">
        <v>738</v>
      </c>
      <c r="C38" s="19"/>
      <c r="D38" s="19" t="s">
        <v>35</v>
      </c>
      <c r="E38" s="19" t="s">
        <v>723</v>
      </c>
    </row>
    <row r="39" spans="1:5" ht="16.899999999999999" customHeight="1" thickBot="1" x14ac:dyDescent="0.3">
      <c r="A39" s="19" t="s">
        <v>27</v>
      </c>
      <c r="B39" s="19" t="s">
        <v>739</v>
      </c>
      <c r="C39" s="19"/>
      <c r="D39" s="19" t="s">
        <v>740</v>
      </c>
      <c r="E39" s="19"/>
    </row>
    <row r="40" spans="1:5" ht="16.899999999999999" customHeight="1" thickBot="1" x14ac:dyDescent="0.3">
      <c r="A40" s="19" t="s">
        <v>28</v>
      </c>
      <c r="B40" s="19" t="s">
        <v>741</v>
      </c>
      <c r="C40" s="19"/>
      <c r="D40" s="19" t="s">
        <v>740</v>
      </c>
      <c r="E40" s="19"/>
    </row>
    <row r="41" spans="1:5" ht="16.899999999999999" customHeight="1" thickBot="1" x14ac:dyDescent="0.3">
      <c r="A41" s="19" t="s">
        <v>31</v>
      </c>
      <c r="B41" s="19" t="s">
        <v>742</v>
      </c>
      <c r="C41" s="19"/>
      <c r="D41" s="24" t="s">
        <v>388</v>
      </c>
      <c r="E41" s="19"/>
    </row>
  </sheetData>
  <hyperlinks>
    <hyperlink ref="C3" r:id="rId1" display="https://geonames.nrcan.gc.ca/search-place-names/search?_gl=1*g1h5mk*_ga*NDY0MTMzMDUxLjE2ODkyNTM1ODg.*_ga_C2N57Y7DX5*MTcyNDM0MjgwMy4xLjAuMTcyNDM0MjgwMy4wLjAuMA.." xr:uid="{0F1FB8EF-4EC4-477C-B42D-14BF9EF74C97}"/>
    <hyperlink ref="C5" r:id="rId2" display="https://geonames.nrcan.gc.ca/search-place-names/search?_gl=1*g1h5mk*_ga*NDY0MTMzMDUxLjE2ODkyNTM1ODg.*_ga_C2N57Y7DX5*MTcyNDM0MjgwMy4xLjAuMTcyNDM0MjgwMy4wLjAuMA.." xr:uid="{8E017E88-48C3-43C6-AE93-DF22A5DC17DC}"/>
    <hyperlink ref="C26" r:id="rId3" display="https://tides.gc.ca/en/stations/00353/2024-08-22?tz=ADT&amp;unit=m" xr:uid="{74695836-CA10-4BB7-AFD2-703BBC9BE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tracker</vt:lpstr>
      <vt:lpstr>station_waterbody_county</vt:lpstr>
      <vt:lpstr>column_key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Torrie</dc:creator>
  <cp:lastModifiedBy>Rachel Woodside</cp:lastModifiedBy>
  <dcterms:created xsi:type="dcterms:W3CDTF">2015-06-05T18:17:20Z</dcterms:created>
  <dcterms:modified xsi:type="dcterms:W3CDTF">2025-10-22T16:54:19Z</dcterms:modified>
</cp:coreProperties>
</file>