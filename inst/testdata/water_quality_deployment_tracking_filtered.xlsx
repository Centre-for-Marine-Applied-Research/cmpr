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achel Woodside\GitHub Repos\cmpdb\inst\testdata\"/>
    </mc:Choice>
  </mc:AlternateContent>
  <xr:revisionPtr revIDLastSave="0" documentId="13_ncr:1_{11100228-438F-4D9C-AC64-F0D67580B280}" xr6:coauthVersionLast="47" xr6:coauthVersionMax="47" xr10:uidLastSave="{00000000-0000-0000-0000-000000000000}"/>
  <bookViews>
    <workbookView xWindow="-108" yWindow="12852" windowWidth="23256" windowHeight="13896" xr2:uid="{00000000-000D-0000-FFFF-FFFF00000000}"/>
  </bookViews>
  <sheets>
    <sheet name="tracker" sheetId="7" r:id="rId1"/>
    <sheet name="station_waterbody_county" sheetId="6" r:id="rId2"/>
    <sheet name="column_key" sheetId="4" r:id="rId3"/>
  </sheets>
  <externalReferences>
    <externalReference r:id="rId4"/>
  </externalReferences>
  <definedNames>
    <definedName name="_xlnm._FilterDatabase" localSheetId="1" hidden="1">station_waterbody_county!$A$1:$I$225</definedName>
    <definedName name="STATION_LIST">#REF!</definedName>
    <definedName name="WATERBODY_LI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1" i="7" l="1"/>
  <c r="C91" i="7"/>
  <c r="D90" i="7"/>
  <c r="C90" i="7"/>
  <c r="D89" i="7"/>
  <c r="C89" i="7"/>
  <c r="D88" i="7"/>
  <c r="C88" i="7"/>
  <c r="D87" i="7"/>
  <c r="C87" i="7"/>
  <c r="D86" i="7"/>
  <c r="C86" i="7"/>
  <c r="D85" i="7"/>
  <c r="C85" i="7"/>
  <c r="D84" i="7"/>
  <c r="C84" i="7"/>
  <c r="D83" i="7"/>
  <c r="C83" i="7"/>
  <c r="D82" i="7"/>
  <c r="C82" i="7"/>
  <c r="D81" i="7"/>
  <c r="C81" i="7"/>
  <c r="D80" i="7"/>
  <c r="C80" i="7"/>
  <c r="D79" i="7"/>
  <c r="C79" i="7"/>
  <c r="D78" i="7"/>
  <c r="C78" i="7"/>
  <c r="D77" i="7"/>
  <c r="C77" i="7"/>
  <c r="D76" i="7"/>
  <c r="C76" i="7"/>
  <c r="D75" i="7"/>
  <c r="C75" i="7"/>
  <c r="D74" i="7"/>
  <c r="C74" i="7"/>
  <c r="D73" i="7"/>
  <c r="C73" i="7"/>
  <c r="D72" i="7"/>
  <c r="C72" i="7"/>
  <c r="D71" i="7"/>
  <c r="C71" i="7"/>
  <c r="D70" i="7"/>
  <c r="C70" i="7"/>
  <c r="D69" i="7"/>
  <c r="C69" i="7"/>
  <c r="D68" i="7"/>
  <c r="C68" i="7"/>
  <c r="D67" i="7"/>
  <c r="C67" i="7"/>
  <c r="D66" i="7"/>
  <c r="C66" i="7"/>
  <c r="D65" i="7"/>
  <c r="C65" i="7"/>
  <c r="D64" i="7"/>
  <c r="C64" i="7"/>
  <c r="D63" i="7"/>
  <c r="C63" i="7"/>
  <c r="D62" i="7"/>
  <c r="C62" i="7"/>
  <c r="D61" i="7"/>
  <c r="C61" i="7"/>
  <c r="D60" i="7"/>
  <c r="C60" i="7"/>
  <c r="D59" i="7"/>
  <c r="C59" i="7"/>
  <c r="D58" i="7"/>
  <c r="C58" i="7"/>
  <c r="D57" i="7"/>
  <c r="C57" i="7"/>
  <c r="D56" i="7"/>
  <c r="C56" i="7"/>
  <c r="D55" i="7"/>
  <c r="C55" i="7"/>
  <c r="D54" i="7"/>
  <c r="C54" i="7"/>
  <c r="D53" i="7"/>
  <c r="C53" i="7"/>
  <c r="D52" i="7"/>
  <c r="C52" i="7"/>
  <c r="D51" i="7"/>
  <c r="C51" i="7"/>
  <c r="D50" i="7"/>
  <c r="C50" i="7"/>
  <c r="D49" i="7"/>
  <c r="C49" i="7"/>
  <c r="D48" i="7"/>
  <c r="C48" i="7"/>
  <c r="D47" i="7"/>
  <c r="C47" i="7"/>
  <c r="D46" i="7"/>
  <c r="C46" i="7"/>
  <c r="D45" i="7"/>
  <c r="C45" i="7"/>
  <c r="D44" i="7"/>
  <c r="C44" i="7"/>
  <c r="D43" i="7"/>
  <c r="C43" i="7"/>
  <c r="D42" i="7"/>
  <c r="C42" i="7"/>
  <c r="D41" i="7"/>
  <c r="C41" i="7"/>
  <c r="D40" i="7"/>
  <c r="C40" i="7"/>
  <c r="D39" i="7"/>
  <c r="C39" i="7"/>
  <c r="D38" i="7"/>
  <c r="C38" i="7"/>
  <c r="D37" i="7"/>
  <c r="C37" i="7"/>
  <c r="D36" i="7"/>
  <c r="C36" i="7"/>
  <c r="D35" i="7"/>
  <c r="C35" i="7"/>
  <c r="D34" i="7"/>
  <c r="C34" i="7"/>
  <c r="D33" i="7"/>
  <c r="C33" i="7"/>
  <c r="D32" i="7"/>
  <c r="C32" i="7"/>
  <c r="D31" i="7"/>
  <c r="C31" i="7"/>
  <c r="D30" i="7"/>
  <c r="C30" i="7"/>
  <c r="D29" i="7"/>
  <c r="C29" i="7"/>
  <c r="D28" i="7"/>
  <c r="C28" i="7"/>
  <c r="D27" i="7"/>
  <c r="C27" i="7"/>
  <c r="D26" i="7"/>
  <c r="C26" i="7"/>
  <c r="D25" i="7"/>
  <c r="C25" i="7"/>
  <c r="D24" i="7"/>
  <c r="C24" i="7"/>
  <c r="D23" i="7"/>
  <c r="C23" i="7"/>
  <c r="D22" i="7"/>
  <c r="C22" i="7"/>
  <c r="D21" i="7"/>
  <c r="C21" i="7"/>
  <c r="D20" i="7"/>
  <c r="C20" i="7"/>
  <c r="D19" i="7"/>
  <c r="C19" i="7"/>
  <c r="D18" i="7"/>
  <c r="C18" i="7"/>
  <c r="D17" i="7"/>
  <c r="C17" i="7"/>
  <c r="D16" i="7"/>
  <c r="C16" i="7"/>
  <c r="D15" i="7"/>
  <c r="C15" i="7"/>
  <c r="D14" i="7"/>
  <c r="C14" i="7"/>
  <c r="D13" i="7"/>
  <c r="C13" i="7"/>
  <c r="D12" i="7"/>
  <c r="C12" i="7"/>
  <c r="D11" i="7"/>
  <c r="C11" i="7"/>
  <c r="D10" i="7"/>
  <c r="C10" i="7"/>
  <c r="D9" i="7"/>
  <c r="C9" i="7"/>
  <c r="D8" i="7"/>
  <c r="C8" i="7"/>
  <c r="D7" i="7"/>
  <c r="C7" i="7"/>
  <c r="D6" i="7"/>
  <c r="C6" i="7"/>
  <c r="D5" i="7"/>
  <c r="C5" i="7"/>
  <c r="D4" i="7"/>
  <c r="C4" i="7"/>
  <c r="D3" i="7"/>
  <c r="C3" i="7"/>
  <c r="D2" i="7"/>
  <c r="C2" i="7"/>
</calcChain>
</file>

<file path=xl/sharedStrings.xml><?xml version="1.0" encoding="utf-8"?>
<sst xmlns="http://schemas.openxmlformats.org/spreadsheetml/2006/main" count="2998" uniqueCount="962">
  <si>
    <t>waterbody</t>
  </si>
  <si>
    <t>station</t>
  </si>
  <si>
    <t>lease</t>
  </si>
  <si>
    <t>status</t>
  </si>
  <si>
    <t>deployment_date</t>
  </si>
  <si>
    <t>deployment_time_utc</t>
  </si>
  <si>
    <t>retrieval_date</t>
  </si>
  <si>
    <t>retrieval_time_utc</t>
  </si>
  <si>
    <t>deployment_latitude</t>
  </si>
  <si>
    <t>deployment_longitude</t>
  </si>
  <si>
    <t>retrieval_latitude</t>
  </si>
  <si>
    <t>retrieval_longitude</t>
  </si>
  <si>
    <t>sensor_type</t>
  </si>
  <si>
    <t>sensor_serial_number</t>
  </si>
  <si>
    <t>sensor_depth_m</t>
  </si>
  <si>
    <t>acoustic_release</t>
  </si>
  <si>
    <t>string_configuration</t>
  </si>
  <si>
    <t>sounding_m</t>
  </si>
  <si>
    <t>tide_correction_m</t>
  </si>
  <si>
    <t>deployment_tide_direction</t>
  </si>
  <si>
    <t>vr2ar_lug_height_above_seafloor_m</t>
  </si>
  <si>
    <t>anchor_type</t>
  </si>
  <si>
    <t>anchor_weight_kg</t>
  </si>
  <si>
    <t>primary_buoy_type</t>
  </si>
  <si>
    <t>secondary_buoy_type</t>
  </si>
  <si>
    <t>bottom_buoy_type</t>
  </si>
  <si>
    <t>biofouling_prevention</t>
  </si>
  <si>
    <t>deployment_attendant</t>
  </si>
  <si>
    <t>retrieval_attendant</t>
  </si>
  <si>
    <t>datum</t>
  </si>
  <si>
    <t>photos_taken</t>
  </si>
  <si>
    <t>notes</t>
  </si>
  <si>
    <t>Medway River</t>
  </si>
  <si>
    <t>Fryingpan Island</t>
  </si>
  <si>
    <t>deployed</t>
  </si>
  <si>
    <t>y</t>
  </si>
  <si>
    <t>sub-surface buoy</t>
  </si>
  <si>
    <t>7 rotors</t>
  </si>
  <si>
    <t>14" hard vinyl</t>
  </si>
  <si>
    <t>8" hard vinyl</t>
  </si>
  <si>
    <t>none</t>
  </si>
  <si>
    <t>Anne, SOAR</t>
  </si>
  <si>
    <t>VR2AR</t>
  </si>
  <si>
    <t>Country Harbour</t>
  </si>
  <si>
    <t>Marie Joseph Harbour</t>
  </si>
  <si>
    <t>Denas Pond</t>
  </si>
  <si>
    <t>Arichat Harbour</t>
  </si>
  <si>
    <t>St. Marys Bay</t>
  </si>
  <si>
    <t>Annapolis Basin</t>
  </si>
  <si>
    <t>Whitehead Harbour</t>
  </si>
  <si>
    <t>Sober Island Pond</t>
  </si>
  <si>
    <t>Mabou Harbour</t>
  </si>
  <si>
    <t>Whycocomagh Basin</t>
  </si>
  <si>
    <t>Whycocomagh Bay</t>
  </si>
  <si>
    <t>Grahams Cove</t>
  </si>
  <si>
    <t>Merigomish Harbour</t>
  </si>
  <si>
    <t>Indian Harbour</t>
  </si>
  <si>
    <t>Bras d'Or Lakes</t>
  </si>
  <si>
    <t>Green Cove</t>
  </si>
  <si>
    <t>Beaver Harbour</t>
  </si>
  <si>
    <t>Chebogue Harbour</t>
  </si>
  <si>
    <t>Salt Bay</t>
  </si>
  <si>
    <t>St. Margarets Bay</t>
  </si>
  <si>
    <t>Green Harbour</t>
  </si>
  <si>
    <t>Shoal Bay</t>
  </si>
  <si>
    <t>Woods Harbour</t>
  </si>
  <si>
    <t>Strait of Canso</t>
  </si>
  <si>
    <t>Lennox Passage</t>
  </si>
  <si>
    <t>Tor Bay</t>
  </si>
  <si>
    <t>Chedabucto Bay</t>
  </si>
  <si>
    <t>Sheet Harbour</t>
  </si>
  <si>
    <t>Mahone Bay</t>
  </si>
  <si>
    <t>Havre Boucher</t>
  </si>
  <si>
    <t>Negro Harbour</t>
  </si>
  <si>
    <t>Chance Harbour</t>
  </si>
  <si>
    <t>Lawrencetown Beach</t>
  </si>
  <si>
    <t>Bay of Rocks</t>
  </si>
  <si>
    <t>Sandy Bay</t>
  </si>
  <si>
    <t>Little Harbour</t>
  </si>
  <si>
    <t>Little Narrows</t>
  </si>
  <si>
    <t>Lobster Bay</t>
  </si>
  <si>
    <t>St. Marys River</t>
  </si>
  <si>
    <t>Dover Bay</t>
  </si>
  <si>
    <t>Tatamagouche Bay</t>
  </si>
  <si>
    <t>McNabs Bay</t>
  </si>
  <si>
    <t>Shelburne Harbour</t>
  </si>
  <si>
    <t>Fishermans Harbour</t>
  </si>
  <si>
    <t>Liverpool Bay</t>
  </si>
  <si>
    <t>Monks Head Harbour</t>
  </si>
  <si>
    <t>Aspy Bay</t>
  </si>
  <si>
    <t>Owls Head Bay</t>
  </si>
  <si>
    <t>French Channel</t>
  </si>
  <si>
    <t>Aspotogan Harbour</t>
  </si>
  <si>
    <t>Shad Bay</t>
  </si>
  <si>
    <t>Lamonts Cove</t>
  </si>
  <si>
    <t>Antigonish Harbour</t>
  </si>
  <si>
    <t>Spry Bay</t>
  </si>
  <si>
    <t>Port La Tour</t>
  </si>
  <si>
    <t>New Harbour</t>
  </si>
  <si>
    <t>Tracadie Harbour</t>
  </si>
  <si>
    <t>Caribou Harbour</t>
  </si>
  <si>
    <t>Wine Harbour</t>
  </si>
  <si>
    <t>Careys Cove</t>
  </si>
  <si>
    <t>0716 Center</t>
  </si>
  <si>
    <t>Aberdeen</t>
  </si>
  <si>
    <t>Antigonish 1</t>
  </si>
  <si>
    <t>Antigonish 2</t>
  </si>
  <si>
    <t>Antigonish 3</t>
  </si>
  <si>
    <t>Back Harbour</t>
  </si>
  <si>
    <t>Bald Rock</t>
  </si>
  <si>
    <t>Barachois</t>
  </si>
  <si>
    <t>Barren Island</t>
  </si>
  <si>
    <t>Bartletts Beach</t>
  </si>
  <si>
    <t>Beaver Point</t>
  </si>
  <si>
    <t>Big Pond Point</t>
  </si>
  <si>
    <t>Big Sluice</t>
  </si>
  <si>
    <t>Birchy Head</t>
  </si>
  <si>
    <t>Blue Island</t>
  </si>
  <si>
    <t>Borgles Island</t>
  </si>
  <si>
    <t>Burnt Island</t>
  </si>
  <si>
    <t>Camerons Cove</t>
  </si>
  <si>
    <t>Canso Lock</t>
  </si>
  <si>
    <t>Cape Auguet</t>
  </si>
  <si>
    <t>Cape Auguet Bay</t>
  </si>
  <si>
    <t>Captains Pond</t>
  </si>
  <si>
    <t>Cascarette Island</t>
  </si>
  <si>
    <t>Center Bay</t>
  </si>
  <si>
    <t>Centreville</t>
  </si>
  <si>
    <t>Centreville 1</t>
  </si>
  <si>
    <t>Church Point 1</t>
  </si>
  <si>
    <t>Church Point 2</t>
  </si>
  <si>
    <t>Cornwallis</t>
  </si>
  <si>
    <t>Deep Basin</t>
  </si>
  <si>
    <t>Denys Basin E</t>
  </si>
  <si>
    <t>Denys Basin W</t>
  </si>
  <si>
    <t>Dorts Cove</t>
  </si>
  <si>
    <t>Dorts Cove 1</t>
  </si>
  <si>
    <t>East Gibbs Island</t>
  </si>
  <si>
    <t>Eastern Passage</t>
  </si>
  <si>
    <t>Eddy Cove</t>
  </si>
  <si>
    <t>English Harbour</t>
  </si>
  <si>
    <t>Fishermans Island</t>
  </si>
  <si>
    <t>Flat Island</t>
  </si>
  <si>
    <t>Gabion Shoal</t>
  </si>
  <si>
    <t>Great Bras d'Or Channel NE-E</t>
  </si>
  <si>
    <t>Great Bras d'Or Channel NE-W</t>
  </si>
  <si>
    <t>Great Bras d'Or Channel SW-E</t>
  </si>
  <si>
    <t>Great Bras d'Or Channel SW-W</t>
  </si>
  <si>
    <t>Harbour Island</t>
  </si>
  <si>
    <t>Ile du Havre</t>
  </si>
  <si>
    <t>Ingomar</t>
  </si>
  <si>
    <t>Inner Harbour</t>
  </si>
  <si>
    <t>Jerseyman Island</t>
  </si>
  <si>
    <t>Jewers Bay</t>
  </si>
  <si>
    <t>Kavanagh Point</t>
  </si>
  <si>
    <t>Larrys River</t>
  </si>
  <si>
    <t>Les Rochers</t>
  </si>
  <si>
    <t>Lesser Hope Rock</t>
  </si>
  <si>
    <t>Little Bras d'Or Channel</t>
  </si>
  <si>
    <t>Little Narrows N</t>
  </si>
  <si>
    <t>Little Narrows S</t>
  </si>
  <si>
    <t>Little Rafuse Island</t>
  </si>
  <si>
    <t>Lobster Ledge</t>
  </si>
  <si>
    <t>Logger 1</t>
  </si>
  <si>
    <t>Logger 2</t>
  </si>
  <si>
    <t>Logger 3</t>
  </si>
  <si>
    <t>Long Beach</t>
  </si>
  <si>
    <t>Long Beach 1</t>
  </si>
  <si>
    <t>Long Island 1</t>
  </si>
  <si>
    <t>Long Island 2</t>
  </si>
  <si>
    <t>Lower St. Marys River</t>
  </si>
  <si>
    <t>Madeline Point</t>
  </si>
  <si>
    <t>Madeline Point 1</t>
  </si>
  <si>
    <t>Malagash</t>
  </si>
  <si>
    <t>McNabs Point 1</t>
  </si>
  <si>
    <t>McNabs Point 2</t>
  </si>
  <si>
    <t>McNabs Point 3</t>
  </si>
  <si>
    <t>McNutts Island</t>
  </si>
  <si>
    <t>Meal Rock</t>
  </si>
  <si>
    <t>Melmerby Beach</t>
  </si>
  <si>
    <t>Mersey Point</t>
  </si>
  <si>
    <t>Mid Bay</t>
  </si>
  <si>
    <t>Monks Head</t>
  </si>
  <si>
    <t>Moose Point</t>
  </si>
  <si>
    <t>Moose Point 1</t>
  </si>
  <si>
    <t>Morris Island</t>
  </si>
  <si>
    <t>Mussel Run</t>
  </si>
  <si>
    <t>North Harbour</t>
  </si>
  <si>
    <t>Northeast Branch</t>
  </si>
  <si>
    <t>Northwest Branch</t>
  </si>
  <si>
    <t>Nyanza Bay E</t>
  </si>
  <si>
    <t>Nyanza Bay W</t>
  </si>
  <si>
    <t>Old Point Channel</t>
  </si>
  <si>
    <t>Olding Island</t>
  </si>
  <si>
    <t>Owls Head</t>
  </si>
  <si>
    <t>Pirate Harbour</t>
  </si>
  <si>
    <t>Pulp Mill</t>
  </si>
  <si>
    <t>Ram Island</t>
  </si>
  <si>
    <t>Red Point</t>
  </si>
  <si>
    <t>Robinson Cove</t>
  </si>
  <si>
    <t>Rook Island</t>
  </si>
  <si>
    <t>Rook Island 1</t>
  </si>
  <si>
    <t>Roy Island 1</t>
  </si>
  <si>
    <t>Roy Island 2</t>
  </si>
  <si>
    <t>Roy Island 3</t>
  </si>
  <si>
    <t>Saddle Island</t>
  </si>
  <si>
    <t>Sandy Cove</t>
  </si>
  <si>
    <t>Seal Cove</t>
  </si>
  <si>
    <t>Seal Cove 1</t>
  </si>
  <si>
    <t>Short Beach</t>
  </si>
  <si>
    <t>Shut-In Island</t>
  </si>
  <si>
    <t>Snake Island</t>
  </si>
  <si>
    <t>Sober Island</t>
  </si>
  <si>
    <t>Southside</t>
  </si>
  <si>
    <t>Spry Harbour</t>
  </si>
  <si>
    <t>St. Andrews Channel E</t>
  </si>
  <si>
    <t>St. Peters Canal N</t>
  </si>
  <si>
    <t>St. Peters Canal S</t>
  </si>
  <si>
    <t>Tanner Island</t>
  </si>
  <si>
    <t>Taylors Rock</t>
  </si>
  <si>
    <t>Taylors Rock 1</t>
  </si>
  <si>
    <t>The Basin</t>
  </si>
  <si>
    <t>The Bull</t>
  </si>
  <si>
    <t>The Channel</t>
  </si>
  <si>
    <t>Tickle Island</t>
  </si>
  <si>
    <t>Tickle Island 1</t>
  </si>
  <si>
    <t>Tilley Point</t>
  </si>
  <si>
    <t>Tracadie 1</t>
  </si>
  <si>
    <t>Tracadie 2</t>
  </si>
  <si>
    <t>Tracadie 3</t>
  </si>
  <si>
    <t>Tucker Island</t>
  </si>
  <si>
    <t>Upper Blandford</t>
  </si>
  <si>
    <t>Waterside</t>
  </si>
  <si>
    <t>Wedgeport</t>
  </si>
  <si>
    <t>West Ferry Ramp</t>
  </si>
  <si>
    <t>White Island</t>
  </si>
  <si>
    <t>Yankee Cove</t>
  </si>
  <si>
    <t>Yarmouth Bar</t>
  </si>
  <si>
    <t>WGS84</t>
  </si>
  <si>
    <t>HOBO Pro V2</t>
  </si>
  <si>
    <t>aquaMeasure DOT</t>
  </si>
  <si>
    <t>n</t>
  </si>
  <si>
    <t>rising</t>
  </si>
  <si>
    <t>attached to gear</t>
  </si>
  <si>
    <t>falling</t>
  </si>
  <si>
    <t>aquaMeasure SAL</t>
  </si>
  <si>
    <t>8 rotors</t>
  </si>
  <si>
    <t>1113</t>
  </si>
  <si>
    <t>1198</t>
  </si>
  <si>
    <t>1114</t>
  </si>
  <si>
    <t>deployment_longitude_w_ddm</t>
  </si>
  <si>
    <t>deployment_latitude_n_ddm</t>
  </si>
  <si>
    <t>retrieval_latitude_n_ddm</t>
  </si>
  <si>
    <t>retrieval_longitude_w_ddm</t>
  </si>
  <si>
    <t>last_updated_date</t>
  </si>
  <si>
    <t>retrieved</t>
  </si>
  <si>
    <t>slack low</t>
  </si>
  <si>
    <t>St. Georges Bay</t>
  </si>
  <si>
    <t>11" hard vinyl</t>
  </si>
  <si>
    <t>St. Georges Bay N</t>
  </si>
  <si>
    <t>St. Georges Bay S</t>
  </si>
  <si>
    <t>St. Georges Bay W</t>
  </si>
  <si>
    <t>44 34.208</t>
  </si>
  <si>
    <t>64 2.07276</t>
  </si>
  <si>
    <t>44 34.206</t>
  </si>
  <si>
    <t>64 2.063</t>
  </si>
  <si>
    <t>slack high</t>
  </si>
  <si>
    <t>Bull Rock</t>
  </si>
  <si>
    <t>Black Rocks</t>
  </si>
  <si>
    <t>Attempted retrieval 2023 with no luck. Found by local kayaking near Halls Harbour in June 2024. Retrieval coordinates approximate. VR2 and one hobo missing.</t>
  </si>
  <si>
    <t>44 49.082</t>
  </si>
  <si>
    <t>62 37.131</t>
  </si>
  <si>
    <t>44 57.017</t>
  </si>
  <si>
    <t>62 0.681</t>
  </si>
  <si>
    <t>45 6.126</t>
  </si>
  <si>
    <t>61 37.794</t>
  </si>
  <si>
    <t>Careys Point</t>
  </si>
  <si>
    <t>Snows Cove</t>
  </si>
  <si>
    <t>45 17.219</t>
  </si>
  <si>
    <t>61 10.110</t>
  </si>
  <si>
    <t>Kiersten, Bill &amp; Stanley</t>
  </si>
  <si>
    <t>45 15.328</t>
  </si>
  <si>
    <t>61 8.760</t>
  </si>
  <si>
    <t>61 8.853</t>
  </si>
  <si>
    <t>45 14.961</t>
  </si>
  <si>
    <t>Block 1, Line 2, east end</t>
  </si>
  <si>
    <t>45 9.289</t>
  </si>
  <si>
    <t>61 23.893</t>
  </si>
  <si>
    <t>61 17.738</t>
  </si>
  <si>
    <t>45 13.543</t>
  </si>
  <si>
    <t>61 17.772</t>
  </si>
  <si>
    <t>Used launch on western shore across from Fisheries, not a great option; for retrieval, try the one on the northern shore just to the west of Seawind Landing Country Inn</t>
  </si>
  <si>
    <t>45 15.173</t>
  </si>
  <si>
    <t>61 1.077</t>
  </si>
  <si>
    <t>60 57.652</t>
  </si>
  <si>
    <t>45 15.936</t>
  </si>
  <si>
    <t>Bring a spare 14" buoy on retrieval to replace the emergency 11" buoy currently attached</t>
  </si>
  <si>
    <t>The Basin N</t>
  </si>
  <si>
    <t>Timmonds Cove</t>
  </si>
  <si>
    <t>Halifax Harbour</t>
  </si>
  <si>
    <t>East Bay</t>
  </si>
  <si>
    <t>Benacadie Pond</t>
  </si>
  <si>
    <t>Soldiers Cove</t>
  </si>
  <si>
    <t>Lochmore Harbour</t>
  </si>
  <si>
    <t>McKinnons Harbour</t>
  </si>
  <si>
    <t>Nyanza Bay</t>
  </si>
  <si>
    <t>Blues Cove</t>
  </si>
  <si>
    <t>MacKillops Pond</t>
  </si>
  <si>
    <t>MacDonalds Pond</t>
  </si>
  <si>
    <t>MacIvers Cove</t>
  </si>
  <si>
    <t>Campbells Cove</t>
  </si>
  <si>
    <t>Little Boom</t>
  </si>
  <si>
    <t>Ross Pond</t>
  </si>
  <si>
    <t>MacKinnons Cove</t>
  </si>
  <si>
    <t>MacRaes Cove</t>
  </si>
  <si>
    <t>MacLeans Cove</t>
  </si>
  <si>
    <t>Morrison Cove</t>
  </si>
  <si>
    <t>BDLS-EBS</t>
  </si>
  <si>
    <t>BDLS-BP</t>
  </si>
  <si>
    <t>BDLS-838</t>
  </si>
  <si>
    <t>BDLS-1108</t>
  </si>
  <si>
    <t>BDLS-1225</t>
  </si>
  <si>
    <t>BDLS-NW</t>
  </si>
  <si>
    <t>BDLS-OD</t>
  </si>
  <si>
    <t>BDLS-193</t>
  </si>
  <si>
    <t>BDLS-BSA</t>
  </si>
  <si>
    <t>BDLS-1430</t>
  </si>
  <si>
    <t>BDLS-MDP</t>
  </si>
  <si>
    <t>BDLS-1246</t>
  </si>
  <si>
    <t>BDLS-WBR</t>
  </si>
  <si>
    <t>BDLS-BMB</t>
  </si>
  <si>
    <t>BDLS-RPWB</t>
  </si>
  <si>
    <t>BDLS-JLM</t>
  </si>
  <si>
    <t>BDLS-MFH</t>
  </si>
  <si>
    <t>BDLS-496</t>
  </si>
  <si>
    <t>BDLS-MC</t>
  </si>
  <si>
    <t>BDLS-AD</t>
  </si>
  <si>
    <t>Boat Harbour</t>
  </si>
  <si>
    <t>Pictou Landing</t>
  </si>
  <si>
    <t>Point Michaud</t>
  </si>
  <si>
    <t>Michaud Cove</t>
  </si>
  <si>
    <t>Middle Head</t>
  </si>
  <si>
    <t>North Bay Ingonish</t>
  </si>
  <si>
    <t>Bay St. Lawrence</t>
  </si>
  <si>
    <t>Sand Dunes</t>
  </si>
  <si>
    <t>Northumberland Strait</t>
  </si>
  <si>
    <t>Nicole, Paul Keith</t>
  </si>
  <si>
    <t>column</t>
  </si>
  <si>
    <t>description</t>
  </si>
  <si>
    <t>format</t>
  </si>
  <si>
    <t>example</t>
  </si>
  <si>
    <t>dropdown_options</t>
  </si>
  <si>
    <t>most recent date any information in this row was updated</t>
  </si>
  <si>
    <t>yyyy-mm-dd</t>
  </si>
  <si>
    <t>unique station name</t>
  </si>
  <si>
    <t>follow spelling format in the Canadian Geographical Names database</t>
  </si>
  <si>
    <t>see station_list tab</t>
  </si>
  <si>
    <t>station waterbody</t>
  </si>
  <si>
    <t>see waterbody_list tab</t>
  </si>
  <si>
    <t>aquaculture lease # station is deployed on (if applicable)</t>
  </si>
  <si>
    <t>status of sensor</t>
  </si>
  <si>
    <t>deployed, retrieved, lost</t>
  </si>
  <si>
    <t>date of sensor deployment</t>
  </si>
  <si>
    <t>time of sensor deployment in UTC</t>
  </si>
  <si>
    <t>hh:mm:ss, 24 hour format, UTC</t>
  </si>
  <si>
    <t>date of sensor retrieval</t>
  </si>
  <si>
    <t>time of sensor retrieval in UTC</t>
  </si>
  <si>
    <t>deployment latitude in decimal degrees</t>
  </si>
  <si>
    <t>decimal degrees</t>
  </si>
  <si>
    <t>deployment longitude in decimal degrees</t>
  </si>
  <si>
    <t>retrieval latitude in decimal degrees</t>
  </si>
  <si>
    <t>retrieval longitude in decimal degrees</t>
  </si>
  <si>
    <t>deployment latitude in degree decimal minutes</t>
  </si>
  <si>
    <t>degree decimal minutes</t>
  </si>
  <si>
    <t>deployment longitude in degree decimal minutes</t>
  </si>
  <si>
    <t>retrieval latitude in degree decimal minutes</t>
  </si>
  <si>
    <t>retrieval longitude in degree decimal minutes</t>
  </si>
  <si>
    <t>sensor type</t>
  </si>
  <si>
    <t>aquaMeasure DOT, aquaMeasure SAL, aquaMeasure CHL, Hobo DO, Hobo Pro V2, Hobo Level Logger, Hobo PH, Tidbit MX2203, miniDOT, VR2AR, VR2ARX</t>
  </si>
  <si>
    <t>sensor serial number</t>
  </si>
  <si>
    <t>sensor depth below surface at low tide in meters, rounded to the nearest 0.5m</t>
  </si>
  <si>
    <t>configuration of deployed equipment</t>
  </si>
  <si>
    <t>sub-surface buoy, surface buoy, attached to fixed structure, attached to gear, floating dock, unknown</t>
  </si>
  <si>
    <t>chart sounding of deployment location in meters</t>
  </si>
  <si>
    <t>is there an acoustic release sensor on this string?</t>
  </si>
  <si>
    <t>y, n</t>
  </si>
  <si>
    <t>difference between the chart depth and the actual depth (sounding) at time of deployment due to the tide.</t>
  </si>
  <si>
    <t>tide at deployment time can be viewed on the federal tides website</t>
  </si>
  <si>
    <t>deployed height of VR2AR lug above anchor in meters</t>
  </si>
  <si>
    <t>direction of tide at time of deployment</t>
  </si>
  <si>
    <t>rising, falling, slack high, slack low</t>
  </si>
  <si>
    <t>type of subsurface buoy</t>
  </si>
  <si>
    <t>11" hard vinyl, 14" hard vinyl, 8" hard vinyl, n/a</t>
  </si>
  <si>
    <t>type of second subsurface buoy, if applicable (if two buoys are used at the top of the string)</t>
  </si>
  <si>
    <t>type of buoy above VR2AR</t>
  </si>
  <si>
    <t>description of anchor</t>
  </si>
  <si>
    <t>weight of anchor in kilograms</t>
  </si>
  <si>
    <t>type of biofouling prevention applied</t>
  </si>
  <si>
    <t>none, copper tape, copper cage, PME miniWIPER, pvc pipe, uv light, Hobo DO antifouling protective guard</t>
  </si>
  <si>
    <t>datum of coordinate reference system</t>
  </si>
  <si>
    <t>were photos taken of this string upon deployment or retrieval?</t>
  </si>
  <si>
    <t>names of field staff involved in deployment of equipment</t>
  </si>
  <si>
    <t>Anne McKee, Greg Trowse</t>
  </si>
  <si>
    <t>names of field staff involved in retrieval of euquipment</t>
  </si>
  <si>
    <t>any additional notes about the sensor or sensor string</t>
  </si>
  <si>
    <t>county</t>
  </si>
  <si>
    <t>Antigonish</t>
  </si>
  <si>
    <t>Annapolis</t>
  </si>
  <si>
    <t>Richmond</t>
  </si>
  <si>
    <t>Lunenburg</t>
  </si>
  <si>
    <t>Victoria</t>
  </si>
  <si>
    <t>Halifax</t>
  </si>
  <si>
    <t>Cape Breton</t>
  </si>
  <si>
    <t>Inverness</t>
  </si>
  <si>
    <t>Pictou</t>
  </si>
  <si>
    <t>Queens</t>
  </si>
  <si>
    <t>Yarmouth</t>
  </si>
  <si>
    <t>Guysborough</t>
  </si>
  <si>
    <t>Fourchu Bay</t>
  </si>
  <si>
    <t>Digby</t>
  </si>
  <si>
    <t>Shelburne</t>
  </si>
  <si>
    <t>Colchester</t>
  </si>
  <si>
    <t>Outer Cheticamp Harbour</t>
  </si>
  <si>
    <t>Outer Margaree Harbour</t>
  </si>
  <si>
    <t>Pennant Bay</t>
  </si>
  <si>
    <t>Pomquet Harbour</t>
  </si>
  <si>
    <t>Port Mouton</t>
  </si>
  <si>
    <t>Ram Island Passage</t>
  </si>
  <si>
    <t>Shag Harbour</t>
  </si>
  <si>
    <t>Ships Channel</t>
  </si>
  <si>
    <t>St. Anns Harbour</t>
  </si>
  <si>
    <t>St. Peters Inlet</t>
  </si>
  <si>
    <t>station county</t>
  </si>
  <si>
    <t>NOTE: Right on county boundary line. Double check county after deployment</t>
  </si>
  <si>
    <t>latitude</t>
  </si>
  <si>
    <t>longitude</t>
  </si>
  <si>
    <t>latitude_ddm</t>
  </si>
  <si>
    <t>longitude_ddm</t>
  </si>
  <si>
    <t>44 39.1716 N</t>
  </si>
  <si>
    <t>65 40.4718 W</t>
  </si>
  <si>
    <t>44 40.5942 N</t>
  </si>
  <si>
    <t>65 41.4708 W</t>
  </si>
  <si>
    <t>44 38.0502 N</t>
  </si>
  <si>
    <t>65 42.7158 W</t>
  </si>
  <si>
    <t>44 40.1748 N</t>
  </si>
  <si>
    <t>65 38.8638 W</t>
  </si>
  <si>
    <t>44 40.164 N</t>
  </si>
  <si>
    <t>65 38.6868 W</t>
  </si>
  <si>
    <t>44 40.6926 N</t>
  </si>
  <si>
    <t>65 41.001 W</t>
  </si>
  <si>
    <t>45 40.297 N</t>
  </si>
  <si>
    <t>61 53.557 W</t>
  </si>
  <si>
    <t>45 40.741 N</t>
  </si>
  <si>
    <t>61 53.735 W</t>
  </si>
  <si>
    <t>45 39.5862 N</t>
  </si>
  <si>
    <t>61 54.2556 W</t>
  </si>
  <si>
    <t>45 29.6046 N</t>
  </si>
  <si>
    <t>61 1.1682 W</t>
  </si>
  <si>
    <t>45 30.081 N</t>
  </si>
  <si>
    <t>61 2.5182 W</t>
  </si>
  <si>
    <t>45 29.892 N</t>
  </si>
  <si>
    <t>61 1.1502 W</t>
  </si>
  <si>
    <t>45 30.0216 N</t>
  </si>
  <si>
    <t>61 1.122 W</t>
  </si>
  <si>
    <t>45 29.4168 N</t>
  </si>
  <si>
    <t>61 2.2986 W</t>
  </si>
  <si>
    <t>45 29.8902 N</t>
  </si>
  <si>
    <t>61 2.679 W</t>
  </si>
  <si>
    <t>45 29.8944 N</t>
  </si>
  <si>
    <t>61 1.1586 W</t>
  </si>
  <si>
    <t>44 30.201 N</t>
  </si>
  <si>
    <t>64 2.994 W</t>
  </si>
  <si>
    <t>46 54.6738 N</t>
  </si>
  <si>
    <t>60 28.4868 W</t>
  </si>
  <si>
    <t>North Harbour Beach</t>
  </si>
  <si>
    <t>46 55.57734 N</t>
  </si>
  <si>
    <t>60 26.92254 W</t>
  </si>
  <si>
    <t>45 31.7424 N</t>
  </si>
  <si>
    <t>60 55.5606 W</t>
  </si>
  <si>
    <t>47 0.838 N</t>
  </si>
  <si>
    <t>60 29.313 W</t>
  </si>
  <si>
    <t>44 52.611 N</t>
  </si>
  <si>
    <t>62 23.991 W</t>
  </si>
  <si>
    <t>MSX Surveillance (Bras d'Or Lakes Surveillance)</t>
  </si>
  <si>
    <t>45 40.41936 N</t>
  </si>
  <si>
    <t>62 38.23452</t>
  </si>
  <si>
    <t>Deployed by Ramon Filguiera for Boat Harbour Monitoring</t>
  </si>
  <si>
    <t>Barra Strait N</t>
  </si>
  <si>
    <t>45 57.927 N</t>
  </si>
  <si>
    <t>60 47.9616 W</t>
  </si>
  <si>
    <t>Barra Strait S</t>
  </si>
  <si>
    <t>45 56.8188 N</t>
  </si>
  <si>
    <t>60 48.5514 W</t>
  </si>
  <si>
    <t>45 54.2394 N</t>
  </si>
  <si>
    <t>60 59.6916 W</t>
  </si>
  <si>
    <t>45 54.0618 N</t>
  </si>
  <si>
    <t>61 1.7196 W</t>
  </si>
  <si>
    <t>45 58.4052 N</t>
  </si>
  <si>
    <t>60 28.212 W</t>
  </si>
  <si>
    <t>46 15.0822 N</t>
  </si>
  <si>
    <t>60 27.8712 W</t>
  </si>
  <si>
    <t>46 15.3288 N</t>
  </si>
  <si>
    <t>60 28.2714 W</t>
  </si>
  <si>
    <t>46 7.1046 N</t>
  </si>
  <si>
    <t>60 37.5954 W</t>
  </si>
  <si>
    <t>46 7.2354 N</t>
  </si>
  <si>
    <t>60 38.0376 W</t>
  </si>
  <si>
    <t>46 17.7756 N</t>
  </si>
  <si>
    <t>60 17.2614 W</t>
  </si>
  <si>
    <t>45 59.9388 N</t>
  </si>
  <si>
    <t>60 58.4604 W</t>
  </si>
  <si>
    <t>45 59.1846 N</t>
  </si>
  <si>
    <t>60 59.4168 W</t>
  </si>
  <si>
    <t>46 3.9144 N</t>
  </si>
  <si>
    <t>60 53.6898 W</t>
  </si>
  <si>
    <t>46 3.8868 N</t>
  </si>
  <si>
    <t>60 54.1416 W</t>
  </si>
  <si>
    <t>46 14.5974 N</t>
  </si>
  <si>
    <t>60 18.1866 W</t>
  </si>
  <si>
    <t>45 39.573 N</t>
  </si>
  <si>
    <t>60 51.8706 W</t>
  </si>
  <si>
    <t>45 39.0474 N</t>
  </si>
  <si>
    <t>60 52.4448 W</t>
  </si>
  <si>
    <t>Wadden Cove W</t>
  </si>
  <si>
    <t>46 4.7226 N</t>
  </si>
  <si>
    <t>60 53.3358 W</t>
  </si>
  <si>
    <t>Called "CMAR_NY" by OTN</t>
  </si>
  <si>
    <t>West Bay</t>
  </si>
  <si>
    <t>45 42.6438 N</t>
  </si>
  <si>
    <t>61 8.3772 W</t>
  </si>
  <si>
    <t>43 49.8918 N</t>
  </si>
  <si>
    <t>66 10.3926 W</t>
  </si>
  <si>
    <t>45 45.375 N</t>
  </si>
  <si>
    <t>62 46.2186 W</t>
  </si>
  <si>
    <t>45 40.1442 N</t>
  </si>
  <si>
    <t>62 34.314 W</t>
  </si>
  <si>
    <t>45 40.1472 N</t>
  </si>
  <si>
    <t>62 34.35 W</t>
  </si>
  <si>
    <t>43 46.2234 N</t>
  </si>
  <si>
    <t>66 8.1108 W</t>
  </si>
  <si>
    <t>45 21.543 N</t>
  </si>
  <si>
    <t>61 25.1796 W</t>
  </si>
  <si>
    <t>45 21.651 N</t>
  </si>
  <si>
    <t>61 24.4218 W</t>
  </si>
  <si>
    <t>Some deployments formerly Sandy Cove Chedabucto, renamed to avoid confusion with Sandy Cove St. Marys deployments</t>
  </si>
  <si>
    <t>45 23.988 N</t>
  </si>
  <si>
    <t>61 25.2432 W</t>
  </si>
  <si>
    <t>45 23.7 N</t>
  </si>
  <si>
    <t>61 24.5706 W</t>
  </si>
  <si>
    <t>Some deployments formerly Moose Point, renamed due to distance from other deployments at Moose Point station</t>
  </si>
  <si>
    <t>45 21.0528 N</t>
  </si>
  <si>
    <t>61 16.0866 W</t>
  </si>
  <si>
    <t>45 21.1392 N</t>
  </si>
  <si>
    <t>61 17.2122 W</t>
  </si>
  <si>
    <t>Some deployments formerly Rook Island, renamed due to distance from other deployments at Rook Island station</t>
  </si>
  <si>
    <t>45 21.2958 N</t>
  </si>
  <si>
    <t>61 2.2758 W</t>
  </si>
  <si>
    <t>45 21.708 N</t>
  </si>
  <si>
    <t>61 2.64 W</t>
  </si>
  <si>
    <t>Some deployments formerly Tickle Island, renamed due to distance from other deployments at Tickle Island station</t>
  </si>
  <si>
    <t>45 11.1366 N</t>
  </si>
  <si>
    <t>61 43.0056 W</t>
  </si>
  <si>
    <t>45 13.9164 N</t>
  </si>
  <si>
    <t>61 45.6 W</t>
  </si>
  <si>
    <t>45 9.6042 N</t>
  </si>
  <si>
    <t>61 40.8036 W</t>
  </si>
  <si>
    <t>45 10.434 N</t>
  </si>
  <si>
    <t>61 42.4524 W</t>
  </si>
  <si>
    <t>46 0.4308 N</t>
  </si>
  <si>
    <t>60 59.3124 W</t>
  </si>
  <si>
    <t>45 16.0602 N</t>
  </si>
  <si>
    <t>60 58.7634 W</t>
  </si>
  <si>
    <t>45 15.948 N</t>
  </si>
  <si>
    <t>60 57.651 W</t>
  </si>
  <si>
    <t>Some deployments formerly Madeline Point, renamed due to distance from other deployments at Madeline Point station</t>
  </si>
  <si>
    <t>45 15.5154 N</t>
  </si>
  <si>
    <t>60 59.9682 W</t>
  </si>
  <si>
    <t>45 15.1482 N</t>
  </si>
  <si>
    <t>61 1.0722 W</t>
  </si>
  <si>
    <t>Some deployments formerly Seal Cove, renamed due to distance from other deployments at Seal Cove station</t>
  </si>
  <si>
    <t>45 5.026 N</t>
  </si>
  <si>
    <t>61 38.7919 W</t>
  </si>
  <si>
    <t>45 6.1194 N</t>
  </si>
  <si>
    <t>61 37.797 W</t>
  </si>
  <si>
    <t>Fourchu Rock</t>
  </si>
  <si>
    <t>45 43.88976 N</t>
  </si>
  <si>
    <t>60 12.54936 W</t>
  </si>
  <si>
    <t>45 39.6 N</t>
  </si>
  <si>
    <t>62 24.7002 W</t>
  </si>
  <si>
    <t>45 40.6608 N</t>
  </si>
  <si>
    <t>61 54.7488 W</t>
  </si>
  <si>
    <t>45 40.6572 N</t>
  </si>
  <si>
    <t>61 54.759 W</t>
  </si>
  <si>
    <t>45 40.6536 N</t>
  </si>
  <si>
    <t>61 54.7692 W</t>
  </si>
  <si>
    <t>45 40.488 N</t>
  </si>
  <si>
    <t>61 54.4716 W</t>
  </si>
  <si>
    <t>44 0.6114 N</t>
  </si>
  <si>
    <t>66 11.1708 W</t>
  </si>
  <si>
    <t>43 41.1768 N</t>
  </si>
  <si>
    <t>65 10.0686 W</t>
  </si>
  <si>
    <t>44 37.40166 N</t>
  </si>
  <si>
    <t>63 31.263 W</t>
  </si>
  <si>
    <t>45 41.4186 N</t>
  </si>
  <si>
    <t>61 31.0386 W</t>
  </si>
  <si>
    <t>45 5.0886 N</t>
  </si>
  <si>
    <t>61 49.4184 W</t>
  </si>
  <si>
    <t>43 55.8558 N</t>
  </si>
  <si>
    <t>66 10.0788 W</t>
  </si>
  <si>
    <t>44 38.0592 N</t>
  </si>
  <si>
    <t>63 20.2326 W</t>
  </si>
  <si>
    <t>45 36.6774 N</t>
  </si>
  <si>
    <t>60 59.0646 W</t>
  </si>
  <si>
    <t>45 36.156 N</t>
  </si>
  <si>
    <t>60 54.1464 W</t>
  </si>
  <si>
    <t>43 42.9432 N</t>
  </si>
  <si>
    <t>65 0.504 W</t>
  </si>
  <si>
    <t>45 39.006 N</t>
  </si>
  <si>
    <t>62 31.5054 W</t>
  </si>
  <si>
    <t>2021-12-09: DD changed Waterbody to Little Harbour (from Pictou Harbour)</t>
  </si>
  <si>
    <t>45 33.6516 N</t>
  </si>
  <si>
    <t>60 45.6756 W</t>
  </si>
  <si>
    <t>45 39.624 N</t>
  </si>
  <si>
    <t>62 30.8892 W</t>
  </si>
  <si>
    <t>45 39.6258 N</t>
  </si>
  <si>
    <t>62 30.8922 W</t>
  </si>
  <si>
    <t>45 39.6276 N</t>
  </si>
  <si>
    <t>62 30.8952 W</t>
  </si>
  <si>
    <t>Gypsum Wharf</t>
  </si>
  <si>
    <t>46 0.1656 N</t>
  </si>
  <si>
    <t>60 57.6066 W</t>
  </si>
  <si>
    <t>44 1.5672 N</t>
  </si>
  <si>
    <t>64 39.9456 W</t>
  </si>
  <si>
    <t>43 40.7412 N</t>
  </si>
  <si>
    <t>65 53.868 W</t>
  </si>
  <si>
    <t>43 47.4498 N</t>
  </si>
  <si>
    <t>65 54.684 W</t>
  </si>
  <si>
    <t>43 43.2606 N</t>
  </si>
  <si>
    <t>65 50.7438 W</t>
  </si>
  <si>
    <t>Peases Island</t>
  </si>
  <si>
    <t>43 38.0136 N</t>
  </si>
  <si>
    <t>66 1.8198 W</t>
  </si>
  <si>
    <t>43 40.9692 N</t>
  </si>
  <si>
    <t>65 50.1486 W</t>
  </si>
  <si>
    <t>The Brothers</t>
  </si>
  <si>
    <t>43 38.2398 N</t>
  </si>
  <si>
    <t>65 49.3116 W</t>
  </si>
  <si>
    <t>43 42.9648 N</t>
  </si>
  <si>
    <t>65 56.5614 W</t>
  </si>
  <si>
    <t>43 41.6412 N</t>
  </si>
  <si>
    <t>65 57.5652 W</t>
  </si>
  <si>
    <t>46 5.0502 N</t>
  </si>
  <si>
    <t>61 27.4332 W</t>
  </si>
  <si>
    <t>46 4.5282 N</t>
  </si>
  <si>
    <t>61 26.8416 W</t>
  </si>
  <si>
    <t>44 26.0064 N</t>
  </si>
  <si>
    <t>64 7.8966 W</t>
  </si>
  <si>
    <t>44 26.232 N</t>
  </si>
  <si>
    <t>64 15.0348 W</t>
  </si>
  <si>
    <t>44 32.6142 N</t>
  </si>
  <si>
    <t>64 10.4052 W</t>
  </si>
  <si>
    <t>44 30.5322 N</t>
  </si>
  <si>
    <t>64 7.9782 W</t>
  </si>
  <si>
    <t>44 57.75 N</t>
  </si>
  <si>
    <t>62 3.6498 W</t>
  </si>
  <si>
    <t>44 57.012 N</t>
  </si>
  <si>
    <t>62 0.6642 W</t>
  </si>
  <si>
    <t>44 57.7626 N</t>
  </si>
  <si>
    <t>62 5.2746 W</t>
  </si>
  <si>
    <t>45 45.7686 N</t>
  </si>
  <si>
    <t>63 21.0822 W</t>
  </si>
  <si>
    <t>45 45.7692 N</t>
  </si>
  <si>
    <t>63 21.0936 W</t>
  </si>
  <si>
    <t>45 45.7704 N</t>
  </si>
  <si>
    <t>63 21.105 W</t>
  </si>
  <si>
    <t>44 6.0078 N</t>
  </si>
  <si>
    <t>64 31.6698 W</t>
  </si>
  <si>
    <t>45 39.2819 N</t>
  </si>
  <si>
    <t>62 25.7706 W</t>
  </si>
  <si>
    <t>Ramon Deployment</t>
  </si>
  <si>
    <t>45 37.9278 N</t>
  </si>
  <si>
    <t>62 30.3378 W</t>
  </si>
  <si>
    <t>45 38.6358 N</t>
  </si>
  <si>
    <t>62 28.0872 W</t>
  </si>
  <si>
    <t>45 33.971 N</t>
  </si>
  <si>
    <t>60 40.038 W</t>
  </si>
  <si>
    <t>45 39.2934 N</t>
  </si>
  <si>
    <t>61 49.7238 W</t>
  </si>
  <si>
    <t>2021-12-09: DD removed apostrophe from Station and changed Waterbody to Monks Head Harbour (from Antigonish Harbour/Malagash)</t>
  </si>
  <si>
    <t>43 31.461 N</t>
  </si>
  <si>
    <t>65 21.33 W</t>
  </si>
  <si>
    <t>45 9.582 N</t>
  </si>
  <si>
    <t>61 24.1908 W</t>
  </si>
  <si>
    <t>45 9.303 N</t>
  </si>
  <si>
    <t>61 23.9112 W</t>
  </si>
  <si>
    <t>46 39.891 N</t>
  </si>
  <si>
    <t>60 22.599 W</t>
  </si>
  <si>
    <t>46 5.549 N</t>
  </si>
  <si>
    <t>61 30.317 W</t>
  </si>
  <si>
    <t>46 5.124 N</t>
  </si>
  <si>
    <t>60 53.5704 W</t>
  </si>
  <si>
    <t>Cheticamp River</t>
  </si>
  <si>
    <t>46 40.594 N</t>
  </si>
  <si>
    <t>60 58.073 W</t>
  </si>
  <si>
    <t>Margaree River</t>
  </si>
  <si>
    <t>46 26.988 N</t>
  </si>
  <si>
    <t>61 7.026 W</t>
  </si>
  <si>
    <t>44 44.0472 N</t>
  </si>
  <si>
    <t>62 48.6072 W</t>
  </si>
  <si>
    <t>2021-12-09: DD removed apostrophe from Station and changed Waterbody to Owls Head Bay (from Owls Head Harbour)</t>
  </si>
  <si>
    <t>Mackerel Island</t>
  </si>
  <si>
    <t>44 27.7842 N</t>
  </si>
  <si>
    <t>63 40.644 W</t>
  </si>
  <si>
    <t>Summerside</t>
  </si>
  <si>
    <t>45 36.7158 N</t>
  </si>
  <si>
    <t>61 47.2062 W</t>
  </si>
  <si>
    <t>43 28.098 N</t>
  </si>
  <si>
    <t>65 25.9824 W</t>
  </si>
  <si>
    <t>2021-12-09: DD changed Waterbody to Port La Tour (from Port Latour)</t>
  </si>
  <si>
    <t>43 28.0458 N</t>
  </si>
  <si>
    <t>65 25.3698 W</t>
  </si>
  <si>
    <t>White Point Rock</t>
  </si>
  <si>
    <t>43 56.57154 N</t>
  </si>
  <si>
    <t>64 43.40022 W</t>
  </si>
  <si>
    <t>The Jolt</t>
  </si>
  <si>
    <t>43 41.14482 N</t>
  </si>
  <si>
    <t>65 1.0914 W</t>
  </si>
  <si>
    <t>43 48.8064 N</t>
  </si>
  <si>
    <t>65 54.7284 W</t>
  </si>
  <si>
    <t>43 47.9622 N</t>
  </si>
  <si>
    <t>64 52.7412 W</t>
  </si>
  <si>
    <t>44 30.0702 N</t>
  </si>
  <si>
    <t>63 48.849 W</t>
  </si>
  <si>
    <t>Outer Island</t>
  </si>
  <si>
    <t>43 28.143 N</t>
  </si>
  <si>
    <t>65 44.4132 W</t>
  </si>
  <si>
    <t>44 50.3154 N</t>
  </si>
  <si>
    <t>62 30.702 W</t>
  </si>
  <si>
    <t>43 37.845 N</t>
  </si>
  <si>
    <t>65 15.6456 W</t>
  </si>
  <si>
    <t>Moshers Island</t>
  </si>
  <si>
    <t>44 13.22148 N</t>
  </si>
  <si>
    <t>64 18.51114 W</t>
  </si>
  <si>
    <t>44 46.3866 N</t>
  </si>
  <si>
    <t>62 43.551 W</t>
  </si>
  <si>
    <t>44 54.632 N</t>
  </si>
  <si>
    <t>62 19.199 W</t>
  </si>
  <si>
    <t>44 50.7114 N</t>
  </si>
  <si>
    <t>62 27.9774 W</t>
  </si>
  <si>
    <t>44 50.3304 N</t>
  </si>
  <si>
    <t>62 28.2642 W</t>
  </si>
  <si>
    <t>44 49.0758 N</t>
  </si>
  <si>
    <t>62 37.1394 W</t>
  </si>
  <si>
    <t>Englishtown</t>
  </si>
  <si>
    <t>46 15.8244 N</t>
  </si>
  <si>
    <t>60 33.2958 W</t>
  </si>
  <si>
    <t>45 42.482 N</t>
  </si>
  <si>
    <t>61 51.392 W</t>
  </si>
  <si>
    <t>45 41.682 N</t>
  </si>
  <si>
    <t>61 51.004 W</t>
  </si>
  <si>
    <t>45 41.921 N</t>
  </si>
  <si>
    <t>61 51.840 W</t>
  </si>
  <si>
    <t>44 34.2006 N</t>
  </si>
  <si>
    <t>64 2.0676 W</t>
  </si>
  <si>
    <t>Charley Rock</t>
  </si>
  <si>
    <t>44 30.87828 N</t>
  </si>
  <si>
    <t>63 58.66698 W</t>
  </si>
  <si>
    <t>44 33.4374 N</t>
  </si>
  <si>
    <t>63 57.2538 W</t>
  </si>
  <si>
    <t>44 32.8974 N</t>
  </si>
  <si>
    <t>64 1.0452 W</t>
  </si>
  <si>
    <t>44 24.426 N</t>
  </si>
  <si>
    <t>66 9.6318 W</t>
  </si>
  <si>
    <t>44 32.3472 N</t>
  </si>
  <si>
    <t>65 57.4788 W</t>
  </si>
  <si>
    <t>44 30.2304 N</t>
  </si>
  <si>
    <t>65 55.938 W</t>
  </si>
  <si>
    <t>44 32.1744 N</t>
  </si>
  <si>
    <t>66 0.1032 W</t>
  </si>
  <si>
    <t>44 31.968 N</t>
  </si>
  <si>
    <t>65 59.0424 W</t>
  </si>
  <si>
    <t>Formerly Centreville, renamed due to distance from other deployments at Centreville station</t>
  </si>
  <si>
    <t>44 19.4412 N</t>
  </si>
  <si>
    <t>66 8.1408 W</t>
  </si>
  <si>
    <t>44 19.209 N</t>
  </si>
  <si>
    <t>66 8.1042 W</t>
  </si>
  <si>
    <t>East Ferry</t>
  </si>
  <si>
    <t>44 23.3664 N</t>
  </si>
  <si>
    <t>66 10.5826 W</t>
  </si>
  <si>
    <t>44 24.0912 N</t>
  </si>
  <si>
    <t>66 9.6762 W</t>
  </si>
  <si>
    <t>44 22.9104 N</t>
  </si>
  <si>
    <t>66 10.6434 W</t>
  </si>
  <si>
    <t>44 21.0234 N</t>
  </si>
  <si>
    <t>66 13.4802 W</t>
  </si>
  <si>
    <t>Includes one former station called "Long Island"</t>
  </si>
  <si>
    <t>44 20.01 N</t>
  </si>
  <si>
    <t>66 12.1128 W</t>
  </si>
  <si>
    <t>Long Island 3</t>
  </si>
  <si>
    <t>44 19.992 N</t>
  </si>
  <si>
    <t>66 14.6106 W</t>
  </si>
  <si>
    <t>44 23.2104 N</t>
  </si>
  <si>
    <t>66 8.6544 W</t>
  </si>
  <si>
    <t>44 29.142 N</t>
  </si>
  <si>
    <t>66 3.5676 W</t>
  </si>
  <si>
    <t>2021-12-13: DD changed station to Sandy Cove St. Mary's (from Sandy Cove St Marys). Changed back to Sandy Cove 2023-03-16</t>
  </si>
  <si>
    <t>45 4.6866 N</t>
  </si>
  <si>
    <t>61 56.3064 W</t>
  </si>
  <si>
    <t>45 4.2714 N</t>
  </si>
  <si>
    <t>61 55.6032 W</t>
  </si>
  <si>
    <t>45 4.0734 N</t>
  </si>
  <si>
    <t>61 54.8436 W</t>
  </si>
  <si>
    <t>Previously 1435, deployed by producer</t>
  </si>
  <si>
    <t>45 39.7098 N</t>
  </si>
  <si>
    <t>60 50.8566 W</t>
  </si>
  <si>
    <t>45 39.3198 N</t>
  </si>
  <si>
    <t>60 50.7486 W</t>
  </si>
  <si>
    <t>45 38.8128 N</t>
  </si>
  <si>
    <t>61 24.6882 W</t>
  </si>
  <si>
    <t>45 31.5102 N</t>
  </si>
  <si>
    <t>61 15.321 W</t>
  </si>
  <si>
    <t>45 35.358 N</t>
  </si>
  <si>
    <t>61 22.7664 W</t>
  </si>
  <si>
    <t>45 35.7516 N</t>
  </si>
  <si>
    <t>61 21.8292 W</t>
  </si>
  <si>
    <t>Pulp Mill Site 2</t>
  </si>
  <si>
    <t>45 35.67 N</t>
  </si>
  <si>
    <t>45 46.9896 N</t>
  </si>
  <si>
    <t>63 13.5102 W</t>
  </si>
  <si>
    <t>45 13.539 N</t>
  </si>
  <si>
    <t>61 17.7696 W</t>
  </si>
  <si>
    <t>**Called Tor Bay Center in NSDFA tracking</t>
  </si>
  <si>
    <t>45 15.0042 N</t>
  </si>
  <si>
    <t>61 17.9196 W</t>
  </si>
  <si>
    <t>45 12.4608 N</t>
  </si>
  <si>
    <t>61 21.1914 W</t>
  </si>
  <si>
    <t>45 13.8108 N</t>
  </si>
  <si>
    <t>61 15.2034 W</t>
  </si>
  <si>
    <t>45 38.6346 N</t>
  </si>
  <si>
    <t>61 38.8554 W</t>
  </si>
  <si>
    <t>45 38.6424 N</t>
  </si>
  <si>
    <t>61 38.8656 W</t>
  </si>
  <si>
    <t>45 38.6502 N</t>
  </si>
  <si>
    <t>61 38.8734 W</t>
  </si>
  <si>
    <t>45 16.4574 N</t>
  </si>
  <si>
    <t>61 7.7064 W</t>
  </si>
  <si>
    <t>May be distinct from Northeast Branch</t>
  </si>
  <si>
    <t>45 11.9208 N</t>
  </si>
  <si>
    <t>61 11.3178 W</t>
  </si>
  <si>
    <t>45 15.3426 N</t>
  </si>
  <si>
    <t>61 8.8008 W</t>
  </si>
  <si>
    <t>45 14.3982 N</t>
  </si>
  <si>
    <t>61 10.1028 W</t>
  </si>
  <si>
    <t>45 14.3016 N</t>
  </si>
  <si>
    <t>61 9.0306 W</t>
  </si>
  <si>
    <t>45 14.394 N</t>
  </si>
  <si>
    <t>61 9.162 W</t>
  </si>
  <si>
    <t>45 16.2372 N</t>
  </si>
  <si>
    <t>61 8.1 W</t>
  </si>
  <si>
    <t>45 17.2044 N</t>
  </si>
  <si>
    <t>61 10.101 W</t>
  </si>
  <si>
    <t>45 14.2554 N</t>
  </si>
  <si>
    <t>61 8.9682 W</t>
  </si>
  <si>
    <t>45 14.3436 N</t>
  </si>
  <si>
    <t>61 8.9772 W</t>
  </si>
  <si>
    <t>45 14.9574 N</t>
  </si>
  <si>
    <t>61 8.8062 W</t>
  </si>
  <si>
    <t>45 14.7894 N</t>
  </si>
  <si>
    <t>61 9.372 W</t>
  </si>
  <si>
    <t>45 14.0166 N</t>
  </si>
  <si>
    <t>61 9.5088 W</t>
  </si>
  <si>
    <t>0814x E</t>
  </si>
  <si>
    <t>45 57.0756 N</t>
  </si>
  <si>
    <t>61 7.2426 W</t>
  </si>
  <si>
    <t>0814x W</t>
  </si>
  <si>
    <t>45 56.7282 N</t>
  </si>
  <si>
    <t>61 7.7502 W</t>
  </si>
  <si>
    <t>45 56.9106 N</t>
  </si>
  <si>
    <t>61 7.4796 W</t>
  </si>
  <si>
    <t>45 58.5648 N</t>
  </si>
  <si>
    <t>61 1.3608 W</t>
  </si>
  <si>
    <t>45 4.3374 N</t>
  </si>
  <si>
    <t>61 51.6552 W</t>
  </si>
  <si>
    <t>43 29.8284 N</t>
  </si>
  <si>
    <t>65 44.2704 W</t>
  </si>
  <si>
    <t>whale_safe_link_number</t>
  </si>
  <si>
    <t>whale_safe_link_type</t>
  </si>
  <si>
    <t>type of whale safe linkage used</t>
  </si>
  <si>
    <t>number of whale safe linkages used</t>
  </si>
  <si>
    <t>none, SSL link, Fundy loop</t>
  </si>
  <si>
    <t>SSL link</t>
  </si>
  <si>
    <t>Troy Harbour</t>
  </si>
  <si>
    <t>45 40.908 N</t>
  </si>
  <si>
    <t>61 26.706 W</t>
  </si>
  <si>
    <t>retired</t>
  </si>
  <si>
    <t>active</t>
  </si>
  <si>
    <t>wishlist</t>
  </si>
  <si>
    <t>MacRaes Island</t>
  </si>
  <si>
    <t>Cameron Island</t>
  </si>
  <si>
    <t>Otter Island</t>
  </si>
  <si>
    <t>Mouse Island</t>
  </si>
  <si>
    <t>46 12.490</t>
  </si>
  <si>
    <t>60 31.261</t>
  </si>
  <si>
    <t>Head of West Bay Cove</t>
  </si>
  <si>
    <t>45 47.364 N</t>
  </si>
  <si>
    <t>61 4.500 W</t>
  </si>
  <si>
    <t>45 48.697 N</t>
  </si>
  <si>
    <t>61 1.593 W</t>
  </si>
  <si>
    <t>Cossitt Point</t>
  </si>
  <si>
    <t>46 12.311 N</t>
  </si>
  <si>
    <t>60 23.712 W</t>
  </si>
  <si>
    <t>St. Andrews Channel</t>
  </si>
  <si>
    <t>Great Bras d'Or Channel</t>
  </si>
  <si>
    <t>East River Marina</t>
  </si>
  <si>
    <t>East River Bay</t>
  </si>
  <si>
    <t>44 34.65768 N</t>
  </si>
  <si>
    <t>64 10.2672 W</t>
  </si>
  <si>
    <t>45 5.090</t>
  </si>
  <si>
    <t>61 49.415</t>
  </si>
  <si>
    <t>Tiddville</t>
  </si>
  <si>
    <t>44 24.331</t>
  </si>
  <si>
    <t>66 9.379</t>
  </si>
  <si>
    <t>16" hard vinyl</t>
  </si>
  <si>
    <t>Anne, Bill &amp; Stanley</t>
  </si>
  <si>
    <t>Block 1, Line 2, East end</t>
  </si>
  <si>
    <t>Block 1, Line 5, South end</t>
  </si>
  <si>
    <t>Block 7, Line 2, North end</t>
  </si>
  <si>
    <t>Battery dead on retrieval, no data recovered</t>
  </si>
  <si>
    <t>45 14.964</t>
  </si>
  <si>
    <t>61 8.785</t>
  </si>
  <si>
    <t>45 15.330</t>
  </si>
  <si>
    <t>61 8.761</t>
  </si>
  <si>
    <t>45 17.222</t>
  </si>
  <si>
    <t>61 10.114</t>
  </si>
  <si>
    <t>45 15.937</t>
  </si>
  <si>
    <t>60 57.653</t>
  </si>
  <si>
    <t>61 37.793</t>
  </si>
  <si>
    <t>45 9.295</t>
  </si>
  <si>
    <t>61 23.892</t>
  </si>
  <si>
    <t>45 9.300</t>
  </si>
  <si>
    <t>61 23.861</t>
  </si>
  <si>
    <t>44 49.068</t>
  </si>
  <si>
    <t>44 49.079</t>
  </si>
  <si>
    <t>62 37.140</t>
  </si>
  <si>
    <t>44 57.003</t>
  </si>
  <si>
    <t>62 0.679</t>
  </si>
  <si>
    <t>44 57.005</t>
  </si>
  <si>
    <t>62 0.695</t>
  </si>
  <si>
    <t>45 5.085</t>
  </si>
  <si>
    <t>61 49.417</t>
  </si>
  <si>
    <t>45 5.087</t>
  </si>
  <si>
    <t>61 49.407</t>
  </si>
  <si>
    <t>14" hard vinyl (white)</t>
  </si>
  <si>
    <t>45 6.122</t>
  </si>
  <si>
    <t>45 6.130</t>
  </si>
  <si>
    <t>61 37.8817</t>
  </si>
  <si>
    <t>45 13.551</t>
  </si>
  <si>
    <t>45 13.644</t>
  </si>
  <si>
    <t>45 15.139</t>
  </si>
  <si>
    <t>45 15.147</t>
  </si>
  <si>
    <t>61 1.031</t>
  </si>
  <si>
    <t>2025-10-16: DD changed deployment date to match data and Gantt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</si>
</sst>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1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14" fontId="0" fillId="0" borderId="1" xfId="0" applyNumberFormat="1" applyBorder="1" applyAlignment="1">
      <alignment wrapText="1"/>
    </xf>
    <xf numFmtId="0" fontId="4" fillId="0" borderId="1" xfId="2" applyBorder="1" applyAlignment="1">
      <alignment wrapText="1"/>
    </xf>
    <xf numFmtId="21" fontId="0" fillId="0" borderId="1" xfId="0" applyNumberFormat="1" applyBorder="1" applyAlignment="1">
      <alignment wrapText="1"/>
    </xf>
    <xf numFmtId="0" fontId="0" fillId="0" borderId="1" xfId="0" applyBorder="1" applyAlignment="1">
      <alignment vertical="center"/>
    </xf>
    <xf numFmtId="49" fontId="1" fillId="0" borderId="0" xfId="0" applyNumberFormat="1" applyFont="1"/>
    <xf numFmtId="49" fontId="0" fillId="0" borderId="0" xfId="0" applyNumberFormat="1"/>
  </cellXfs>
  <cellStyles count="3">
    <cellStyle name="Hyperlink" xfId="2" builtinId="8"/>
    <cellStyle name="Normal" xfId="0" builtinId="0"/>
    <cellStyle name="Normal 2" xfId="1" xr:uid="{FC084B48-051C-4EEC-B742-6CBE5E54868C}"/>
  </cellStyles>
  <dxfs count="4">
    <dxf>
      <fill>
        <patternFill>
          <bgColor rgb="FFFFCCCC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chel%20Woodside\GitHub%20Repos\cmpdb\inst\testdata\water_quality_deployment_tracking.xlsx" TargetMode="External"/><Relationship Id="rId1" Type="http://schemas.openxmlformats.org/officeDocument/2006/relationships/externalLinkPath" Target="water_quality_deployment_trac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cker"/>
      <sheetName val="station_waterbody_county"/>
      <sheetName val="column_key"/>
    </sheetNames>
    <sheetDataSet>
      <sheetData sheetId="0"/>
      <sheetData sheetId="1">
        <row r="1">
          <cell r="A1" t="str">
            <v>station</v>
          </cell>
          <cell r="B1" t="str">
            <v>waterbody</v>
          </cell>
          <cell r="C1" t="str">
            <v>county</v>
          </cell>
        </row>
        <row r="2">
          <cell r="A2">
            <v>1042</v>
          </cell>
          <cell r="B2" t="str">
            <v>Annapolis Basin</v>
          </cell>
          <cell r="C2" t="str">
            <v>Annapolis</v>
          </cell>
        </row>
        <row r="3">
          <cell r="A3">
            <v>5004</v>
          </cell>
          <cell r="B3" t="str">
            <v>Annapolis Basin</v>
          </cell>
          <cell r="C3" t="str">
            <v>Annapolis</v>
          </cell>
        </row>
        <row r="4">
          <cell r="A4">
            <v>5005</v>
          </cell>
          <cell r="B4" t="str">
            <v>Annapolis Basin</v>
          </cell>
          <cell r="C4" t="str">
            <v>Annapolis</v>
          </cell>
        </row>
        <row r="5">
          <cell r="A5">
            <v>5006</v>
          </cell>
          <cell r="B5" t="str">
            <v>Annapolis Basin</v>
          </cell>
          <cell r="C5" t="str">
            <v>Annapolis</v>
          </cell>
        </row>
        <row r="6">
          <cell r="A6" t="str">
            <v>Cornwallis</v>
          </cell>
          <cell r="B6" t="str">
            <v>Annapolis Basin</v>
          </cell>
          <cell r="C6" t="str">
            <v>Annapolis</v>
          </cell>
        </row>
        <row r="7">
          <cell r="A7" t="str">
            <v>Lobster Ledge</v>
          </cell>
          <cell r="B7" t="str">
            <v>Annapolis Basin</v>
          </cell>
          <cell r="C7" t="str">
            <v>Annapolis</v>
          </cell>
        </row>
        <row r="8">
          <cell r="A8">
            <v>1442</v>
          </cell>
          <cell r="B8" t="str">
            <v>Antigonish Harbour</v>
          </cell>
          <cell r="C8" t="str">
            <v>Antigonish</v>
          </cell>
        </row>
        <row r="9">
          <cell r="A9">
            <v>1443</v>
          </cell>
          <cell r="B9" t="str">
            <v>Antigonish Harbour</v>
          </cell>
          <cell r="C9" t="str">
            <v>Antigonish</v>
          </cell>
        </row>
        <row r="10">
          <cell r="A10" t="str">
            <v>Southside</v>
          </cell>
          <cell r="B10" t="str">
            <v>Antigonish Harbour</v>
          </cell>
          <cell r="C10" t="str">
            <v>Antigonish</v>
          </cell>
        </row>
        <row r="11">
          <cell r="A11">
            <v>667</v>
          </cell>
          <cell r="B11" t="str">
            <v>Arichat Harbour</v>
          </cell>
          <cell r="C11" t="str">
            <v>Richmond</v>
          </cell>
        </row>
        <row r="12">
          <cell r="A12" t="str">
            <v>0716 Center</v>
          </cell>
          <cell r="B12" t="str">
            <v>Arichat Harbour</v>
          </cell>
          <cell r="C12" t="str">
            <v>Richmond</v>
          </cell>
        </row>
        <row r="13">
          <cell r="A13" t="str">
            <v>Cape Auguet</v>
          </cell>
          <cell r="B13" t="str">
            <v>Arichat Harbour</v>
          </cell>
          <cell r="C13" t="str">
            <v>Richmond</v>
          </cell>
        </row>
        <row r="14">
          <cell r="A14" t="str">
            <v>Cape Auguet Bay</v>
          </cell>
          <cell r="B14" t="str">
            <v>Arichat Harbour</v>
          </cell>
          <cell r="C14" t="str">
            <v>Richmond</v>
          </cell>
        </row>
        <row r="15">
          <cell r="A15" t="str">
            <v>Eastern Passage</v>
          </cell>
          <cell r="B15" t="str">
            <v>Arichat Harbour</v>
          </cell>
          <cell r="C15" t="str">
            <v>Richmond</v>
          </cell>
        </row>
        <row r="16">
          <cell r="A16" t="str">
            <v>Jerseyman Island</v>
          </cell>
          <cell r="B16" t="str">
            <v>Arichat Harbour</v>
          </cell>
          <cell r="C16" t="str">
            <v>Richmond</v>
          </cell>
        </row>
        <row r="17">
          <cell r="A17" t="str">
            <v>Kavanagh Point</v>
          </cell>
          <cell r="B17" t="str">
            <v>Arichat Harbour</v>
          </cell>
          <cell r="C17" t="str">
            <v>Richmond</v>
          </cell>
        </row>
        <row r="18">
          <cell r="A18" t="str">
            <v>Saddle Island</v>
          </cell>
          <cell r="B18" t="str">
            <v>Aspotogan Harbour</v>
          </cell>
          <cell r="C18" t="str">
            <v>Lunenburg</v>
          </cell>
        </row>
        <row r="19">
          <cell r="A19" t="str">
            <v>North Harbour</v>
          </cell>
          <cell r="B19" t="str">
            <v>Aspy Bay</v>
          </cell>
          <cell r="C19" t="str">
            <v>Victoria</v>
          </cell>
        </row>
        <row r="20">
          <cell r="A20" t="str">
            <v>North Harbour Beach</v>
          </cell>
          <cell r="B20" t="str">
            <v>Aspy Bay</v>
          </cell>
          <cell r="C20" t="str">
            <v>Victoria</v>
          </cell>
        </row>
        <row r="21">
          <cell r="A21" t="str">
            <v>Les Rochers</v>
          </cell>
          <cell r="B21" t="str">
            <v>Bay of Rocks</v>
          </cell>
          <cell r="C21" t="str">
            <v>Richmond</v>
          </cell>
        </row>
        <row r="22">
          <cell r="A22" t="str">
            <v>Bay St. Lawrence</v>
          </cell>
          <cell r="B22" t="str">
            <v>Bay St. Lawrence</v>
          </cell>
          <cell r="C22" t="str">
            <v>Victoria</v>
          </cell>
        </row>
        <row r="23">
          <cell r="A23" t="str">
            <v>Beaver Point</v>
          </cell>
          <cell r="B23" t="str">
            <v>Beaver Harbour</v>
          </cell>
          <cell r="C23" t="str">
            <v>Halifax</v>
          </cell>
        </row>
        <row r="24">
          <cell r="A24" t="str">
            <v>BDLS-BP</v>
          </cell>
          <cell r="B24" t="str">
            <v>Benacadie Pond</v>
          </cell>
          <cell r="C24" t="str">
            <v>Cape Breton</v>
          </cell>
        </row>
        <row r="25">
          <cell r="A25" t="str">
            <v>BDLS-OD</v>
          </cell>
          <cell r="B25" t="str">
            <v>Blues Cove</v>
          </cell>
          <cell r="C25" t="str">
            <v>Inverness</v>
          </cell>
        </row>
        <row r="26">
          <cell r="A26" t="str">
            <v>Pictou Landing</v>
          </cell>
          <cell r="B26" t="str">
            <v>Boat Harbour</v>
          </cell>
          <cell r="C26" t="str">
            <v>Pictou</v>
          </cell>
        </row>
        <row r="27">
          <cell r="A27" t="str">
            <v>Barra Strait N</v>
          </cell>
          <cell r="B27" t="str">
            <v>Bras d'Or Lakes</v>
          </cell>
          <cell r="C27" t="str">
            <v>Victoria</v>
          </cell>
        </row>
        <row r="28">
          <cell r="A28" t="str">
            <v>Barra Strait S</v>
          </cell>
          <cell r="B28" t="str">
            <v>Bras d'Or Lakes</v>
          </cell>
          <cell r="C28" t="str">
            <v>Victoria</v>
          </cell>
        </row>
        <row r="29">
          <cell r="A29" t="str">
            <v>Cameron Island</v>
          </cell>
          <cell r="B29" t="str">
            <v>West Bay</v>
          </cell>
          <cell r="C29" t="str">
            <v>Inverness</v>
          </cell>
        </row>
        <row r="30">
          <cell r="A30" t="str">
            <v>Denys Basin E</v>
          </cell>
          <cell r="B30" t="str">
            <v>Bras d'Or Lakes</v>
          </cell>
          <cell r="C30" t="str">
            <v>Inverness</v>
          </cell>
        </row>
        <row r="31">
          <cell r="A31" t="str">
            <v>Denys Basin W</v>
          </cell>
          <cell r="B31" t="str">
            <v>Bras d'Or Lakes</v>
          </cell>
          <cell r="C31" t="str">
            <v>Inverness</v>
          </cell>
        </row>
        <row r="32">
          <cell r="A32" t="str">
            <v>Cossitt Point</v>
          </cell>
          <cell r="B32" t="str">
            <v>East Bay</v>
          </cell>
          <cell r="C32" t="str">
            <v>Cape Breton</v>
          </cell>
        </row>
        <row r="33">
          <cell r="A33" t="str">
            <v>East River Marina</v>
          </cell>
          <cell r="B33" t="str">
            <v>East River Bay</v>
          </cell>
          <cell r="C33" t="str">
            <v>Lunenburg</v>
          </cell>
        </row>
        <row r="34">
          <cell r="A34" t="str">
            <v>Great Bras d'Or Channel NE-E</v>
          </cell>
          <cell r="B34" t="str">
            <v>Bras d'Or Lakes</v>
          </cell>
          <cell r="C34" t="str">
            <v>Victoria</v>
          </cell>
        </row>
        <row r="35">
          <cell r="A35" t="str">
            <v>Great Bras d'Or Channel NE-W</v>
          </cell>
          <cell r="B35" t="str">
            <v>Bras d'Or Lakes</v>
          </cell>
          <cell r="C35" t="str">
            <v>Victoria</v>
          </cell>
        </row>
        <row r="36">
          <cell r="A36" t="str">
            <v>Great Bras d'Or Channel SW-E</v>
          </cell>
          <cell r="B36" t="str">
            <v>Bras d'Or Lakes</v>
          </cell>
          <cell r="C36" t="str">
            <v>Victoria</v>
          </cell>
        </row>
        <row r="37">
          <cell r="A37" t="str">
            <v>Great Bras d'Or Channel SW-W</v>
          </cell>
          <cell r="B37" t="str">
            <v>Bras d'Or Lakes</v>
          </cell>
          <cell r="C37" t="str">
            <v>Victoria</v>
          </cell>
        </row>
        <row r="38">
          <cell r="A38" t="str">
            <v>Little Bras d'Or Channel</v>
          </cell>
          <cell r="B38" t="str">
            <v>Bras d'Or Lakes</v>
          </cell>
          <cell r="C38" t="str">
            <v>Cape Breton</v>
          </cell>
        </row>
        <row r="39">
          <cell r="A39" t="str">
            <v>Little Narrows N</v>
          </cell>
          <cell r="B39" t="str">
            <v>Bras d'Or Lakes</v>
          </cell>
          <cell r="C39" t="str">
            <v>Victoria</v>
          </cell>
        </row>
        <row r="40">
          <cell r="A40" t="str">
            <v>Little Narrows S</v>
          </cell>
          <cell r="B40" t="str">
            <v>Bras d'Or Lakes</v>
          </cell>
          <cell r="C40" t="str">
            <v>Victoria</v>
          </cell>
        </row>
        <row r="41">
          <cell r="A41" t="str">
            <v>MacRaes Island</v>
          </cell>
          <cell r="B41" t="str">
            <v>West Bay</v>
          </cell>
          <cell r="C41" t="str">
            <v>Inverness</v>
          </cell>
        </row>
        <row r="42">
          <cell r="A42" t="str">
            <v>Mouse Island</v>
          </cell>
          <cell r="B42" t="str">
            <v>St. Andrews Channel</v>
          </cell>
          <cell r="C42" t="str">
            <v>Cape Breton</v>
          </cell>
        </row>
        <row r="43">
          <cell r="A43" t="str">
            <v>Nyanza Bay E</v>
          </cell>
          <cell r="B43" t="str">
            <v>Bras d'Or Lakes</v>
          </cell>
          <cell r="C43" t="str">
            <v>Victoria</v>
          </cell>
        </row>
        <row r="44">
          <cell r="A44" t="str">
            <v>Nyanza Bay W</v>
          </cell>
          <cell r="B44" t="str">
            <v>Bras d'Or Lakes</v>
          </cell>
          <cell r="C44" t="str">
            <v>Victoria</v>
          </cell>
        </row>
        <row r="45">
          <cell r="A45" t="str">
            <v>Otter Island</v>
          </cell>
          <cell r="B45" t="str">
            <v>Great Bras d'Or Channel</v>
          </cell>
          <cell r="C45" t="str">
            <v>Victoria</v>
          </cell>
        </row>
        <row r="46">
          <cell r="A46" t="str">
            <v>St. Andrews Channel E</v>
          </cell>
          <cell r="B46" t="str">
            <v>Bras d'Or Lakes</v>
          </cell>
          <cell r="C46" t="str">
            <v>Cape Breton</v>
          </cell>
        </row>
        <row r="47">
          <cell r="A47" t="str">
            <v>St. Peters Canal N</v>
          </cell>
          <cell r="B47" t="str">
            <v>Bras d'Or Lakes</v>
          </cell>
          <cell r="C47" t="str">
            <v>Richmond</v>
          </cell>
        </row>
        <row r="48">
          <cell r="A48" t="str">
            <v>St. Peters Canal S</v>
          </cell>
          <cell r="B48" t="str">
            <v>Bras d'Or Lakes</v>
          </cell>
          <cell r="C48" t="str">
            <v>Richmond</v>
          </cell>
        </row>
        <row r="49">
          <cell r="A49" t="str">
            <v>West Bay</v>
          </cell>
          <cell r="B49" t="str">
            <v>Head of West Bay Cove</v>
          </cell>
          <cell r="C49" t="str">
            <v>Richmond</v>
          </cell>
        </row>
        <row r="50">
          <cell r="A50" t="str">
            <v>BDLS-WBR</v>
          </cell>
          <cell r="B50" t="str">
            <v>Campbells Cove</v>
          </cell>
          <cell r="C50" t="str">
            <v>Victoria</v>
          </cell>
        </row>
        <row r="51">
          <cell r="A51" t="str">
            <v>Yarmouth Bar</v>
          </cell>
          <cell r="B51" t="str">
            <v>Careys Cove</v>
          </cell>
          <cell r="C51" t="str">
            <v>Yarmouth</v>
          </cell>
        </row>
        <row r="52">
          <cell r="A52" t="str">
            <v>Waterside</v>
          </cell>
          <cell r="B52" t="str">
            <v>Caribou Harbour</v>
          </cell>
          <cell r="C52" t="str">
            <v>Pictou</v>
          </cell>
        </row>
        <row r="53">
          <cell r="A53" t="str">
            <v>Chance Harbour</v>
          </cell>
          <cell r="B53" t="str">
            <v>Chance Harbour</v>
          </cell>
          <cell r="C53" t="str">
            <v>Pictou</v>
          </cell>
        </row>
        <row r="54">
          <cell r="A54" t="str">
            <v>Inner Harbour</v>
          </cell>
          <cell r="B54" t="str">
            <v>Chance Harbour</v>
          </cell>
          <cell r="C54" t="str">
            <v>Pictou</v>
          </cell>
        </row>
        <row r="55">
          <cell r="A55" t="str">
            <v>Big Pond Point</v>
          </cell>
          <cell r="B55" t="str">
            <v>Chebogue Harbour</v>
          </cell>
          <cell r="C55" t="str">
            <v>Yarmouth</v>
          </cell>
        </row>
        <row r="56">
          <cell r="A56" t="str">
            <v>Dorts Cove</v>
          </cell>
          <cell r="B56" t="str">
            <v>Chedabucto Bay</v>
          </cell>
          <cell r="C56" t="str">
            <v>Guysborough</v>
          </cell>
        </row>
        <row r="57">
          <cell r="A57" t="str">
            <v>Dorts Cove 1</v>
          </cell>
          <cell r="B57" t="str">
            <v>Chedabucto Bay</v>
          </cell>
          <cell r="C57" t="str">
            <v>Guysborough</v>
          </cell>
        </row>
        <row r="58">
          <cell r="A58" t="str">
            <v>Moose Point</v>
          </cell>
          <cell r="B58" t="str">
            <v>Chedabucto Bay</v>
          </cell>
          <cell r="C58" t="str">
            <v>Guysborough</v>
          </cell>
        </row>
        <row r="59">
          <cell r="A59" t="str">
            <v>Moose Point 1</v>
          </cell>
          <cell r="B59" t="str">
            <v>Chedabucto Bay</v>
          </cell>
          <cell r="C59" t="str">
            <v>Guysborough</v>
          </cell>
        </row>
        <row r="60">
          <cell r="A60" t="str">
            <v>Rook Island</v>
          </cell>
          <cell r="B60" t="str">
            <v>Chedabucto Bay</v>
          </cell>
          <cell r="C60" t="str">
            <v>Guysborough</v>
          </cell>
        </row>
        <row r="61">
          <cell r="A61" t="str">
            <v>Rook Island 1</v>
          </cell>
          <cell r="B61" t="str">
            <v>Chedabucto Bay</v>
          </cell>
          <cell r="C61" t="str">
            <v>Guysborough</v>
          </cell>
        </row>
        <row r="62">
          <cell r="A62" t="str">
            <v>Tickle Island</v>
          </cell>
          <cell r="B62" t="str">
            <v>Chedabucto Bay</v>
          </cell>
          <cell r="C62" t="str">
            <v>Guysborough</v>
          </cell>
        </row>
        <row r="63">
          <cell r="A63" t="str">
            <v>Tickle Island 1</v>
          </cell>
          <cell r="B63" t="str">
            <v>Chedabucto Bay</v>
          </cell>
          <cell r="C63" t="str">
            <v>Guysborough</v>
          </cell>
        </row>
        <row r="64">
          <cell r="A64">
            <v>1</v>
          </cell>
          <cell r="B64" t="str">
            <v>Country Harbour</v>
          </cell>
          <cell r="C64" t="str">
            <v>Guysborough</v>
          </cell>
        </row>
        <row r="65">
          <cell r="A65">
            <v>622</v>
          </cell>
          <cell r="B65" t="str">
            <v>Country Harbour</v>
          </cell>
          <cell r="C65" t="str">
            <v>Guysborough</v>
          </cell>
        </row>
        <row r="66">
          <cell r="A66">
            <v>1307</v>
          </cell>
          <cell r="B66" t="str">
            <v>Country Harbour</v>
          </cell>
          <cell r="C66" t="str">
            <v>Guysborough</v>
          </cell>
        </row>
        <row r="67">
          <cell r="A67" t="str">
            <v>West Ferry Ramp</v>
          </cell>
          <cell r="B67" t="str">
            <v>Country Harbour</v>
          </cell>
          <cell r="C67" t="str">
            <v>Guysborough</v>
          </cell>
        </row>
        <row r="68">
          <cell r="A68">
            <v>193</v>
          </cell>
          <cell r="B68" t="str">
            <v>Denas Pond</v>
          </cell>
          <cell r="C68" t="str">
            <v>Inverness</v>
          </cell>
        </row>
        <row r="69">
          <cell r="A69" t="str">
            <v>BDLS-193</v>
          </cell>
          <cell r="B69" t="str">
            <v>Denas Pond</v>
          </cell>
          <cell r="C69" t="str">
            <v>Inverness</v>
          </cell>
        </row>
        <row r="70">
          <cell r="A70" t="str">
            <v>Madeline Point</v>
          </cell>
          <cell r="B70" t="str">
            <v>Dover Bay</v>
          </cell>
          <cell r="C70" t="str">
            <v>Guysborough</v>
          </cell>
        </row>
        <row r="71">
          <cell r="A71" t="str">
            <v>Madeline Point 1</v>
          </cell>
          <cell r="B71" t="str">
            <v>Dover Bay</v>
          </cell>
          <cell r="C71" t="str">
            <v>Guysborough</v>
          </cell>
        </row>
        <row r="72">
          <cell r="A72" t="str">
            <v>Seal Cove</v>
          </cell>
          <cell r="B72" t="str">
            <v>Dover Bay</v>
          </cell>
          <cell r="C72" t="str">
            <v>Guysborough</v>
          </cell>
        </row>
        <row r="73">
          <cell r="A73" t="str">
            <v>Seal Cove 1</v>
          </cell>
          <cell r="B73" t="str">
            <v>Dover Bay</v>
          </cell>
          <cell r="C73" t="str">
            <v>Guysborough</v>
          </cell>
        </row>
        <row r="74">
          <cell r="A74" t="str">
            <v>BDLS-EBS</v>
          </cell>
          <cell r="B74" t="str">
            <v>East Bay</v>
          </cell>
          <cell r="C74" t="str">
            <v>Cape Breton</v>
          </cell>
        </row>
        <row r="75">
          <cell r="A75" t="str">
            <v>Bull Rock</v>
          </cell>
          <cell r="B75" t="str">
            <v>Fishermans Harbour</v>
          </cell>
          <cell r="C75" t="str">
            <v>Guysborough</v>
          </cell>
        </row>
        <row r="76">
          <cell r="A76" t="str">
            <v>Meal Rock</v>
          </cell>
          <cell r="B76" t="str">
            <v>Fishermans Harbour</v>
          </cell>
          <cell r="C76" t="str">
            <v>Guysborough</v>
          </cell>
        </row>
        <row r="77">
          <cell r="A77" t="str">
            <v>Fourchu Rock</v>
          </cell>
          <cell r="B77" t="str">
            <v>Fourchu Bay</v>
          </cell>
          <cell r="C77" t="str">
            <v>Cape Breton</v>
          </cell>
        </row>
        <row r="78">
          <cell r="A78" t="str">
            <v>Robinson Cove</v>
          </cell>
          <cell r="B78" t="str">
            <v>French Channel</v>
          </cell>
          <cell r="C78" t="str">
            <v>Pictou</v>
          </cell>
        </row>
        <row r="79">
          <cell r="A79" t="str">
            <v>Antigonish 1</v>
          </cell>
          <cell r="B79" t="str">
            <v>Grahams Cove</v>
          </cell>
          <cell r="C79" t="str">
            <v>Antigonish</v>
          </cell>
        </row>
        <row r="80">
          <cell r="A80" t="str">
            <v>Antigonish 2</v>
          </cell>
          <cell r="B80" t="str">
            <v>Grahams Cove</v>
          </cell>
          <cell r="C80" t="str">
            <v>Antigonish</v>
          </cell>
        </row>
        <row r="81">
          <cell r="A81" t="str">
            <v>Antigonish 3</v>
          </cell>
          <cell r="B81" t="str">
            <v>Grahams Cove</v>
          </cell>
          <cell r="C81" t="str">
            <v>Antigonish</v>
          </cell>
        </row>
        <row r="82">
          <cell r="A82" t="str">
            <v>Captains Pond</v>
          </cell>
          <cell r="B82" t="str">
            <v>Grahams Cove</v>
          </cell>
          <cell r="C82" t="str">
            <v>Antigonish</v>
          </cell>
        </row>
        <row r="83">
          <cell r="A83" t="str">
            <v>Bartletts Beach</v>
          </cell>
          <cell r="B83" t="str">
            <v>Green Cove</v>
          </cell>
          <cell r="C83" t="str">
            <v>Digby</v>
          </cell>
        </row>
        <row r="84">
          <cell r="A84" t="str">
            <v>Blue Island</v>
          </cell>
          <cell r="B84" t="str">
            <v>Green Harbour</v>
          </cell>
          <cell r="C84" t="str">
            <v>Shelburne</v>
          </cell>
        </row>
        <row r="85">
          <cell r="A85" t="str">
            <v>Timmonds Cove</v>
          </cell>
          <cell r="B85" t="str">
            <v>Halifax Harbour</v>
          </cell>
          <cell r="C85" t="str">
            <v>Halifax</v>
          </cell>
        </row>
        <row r="86">
          <cell r="A86" t="str">
            <v>Ile du Havre</v>
          </cell>
          <cell r="B86" t="str">
            <v>Havre Boucher</v>
          </cell>
          <cell r="C86" t="str">
            <v>Antigonish</v>
          </cell>
        </row>
        <row r="87">
          <cell r="A87" t="str">
            <v>Barachois</v>
          </cell>
          <cell r="B87" t="str">
            <v>Indian Harbour</v>
          </cell>
          <cell r="C87" t="str">
            <v>Guysborough</v>
          </cell>
        </row>
        <row r="88">
          <cell r="A88" t="str">
            <v>Short Beach</v>
          </cell>
          <cell r="B88" t="str">
            <v>Lamonts Cove</v>
          </cell>
          <cell r="C88" t="str">
            <v>Yarmouth</v>
          </cell>
        </row>
        <row r="89">
          <cell r="A89" t="str">
            <v>Lawrencetown Beach</v>
          </cell>
          <cell r="B89" t="str">
            <v>Lawrencetown Beach</v>
          </cell>
          <cell r="C89" t="str">
            <v>Halifax</v>
          </cell>
        </row>
        <row r="90">
          <cell r="A90" t="str">
            <v>Cascarette Island</v>
          </cell>
          <cell r="B90" t="str">
            <v>Lennox Passage</v>
          </cell>
          <cell r="C90" t="str">
            <v>Richmond</v>
          </cell>
        </row>
        <row r="91">
          <cell r="A91" t="str">
            <v>Gabion Shoal</v>
          </cell>
          <cell r="B91" t="str">
            <v>Lennox Passage</v>
          </cell>
          <cell r="C91" t="str">
            <v>Richmond</v>
          </cell>
        </row>
        <row r="92">
          <cell r="A92" t="str">
            <v>BDLS-BMB</v>
          </cell>
          <cell r="B92" t="str">
            <v>Little Boom</v>
          </cell>
          <cell r="C92" t="str">
            <v>Inverness</v>
          </cell>
        </row>
        <row r="93">
          <cell r="A93" t="str">
            <v>Little Harbour</v>
          </cell>
          <cell r="B93" t="str">
            <v>Little Harbour</v>
          </cell>
          <cell r="C93" t="str">
            <v>Shelburne</v>
          </cell>
        </row>
        <row r="94">
          <cell r="A94" t="str">
            <v>Melmerby Beach</v>
          </cell>
          <cell r="B94" t="str">
            <v>Little Harbour</v>
          </cell>
          <cell r="C94" t="str">
            <v>Pictou</v>
          </cell>
        </row>
        <row r="95">
          <cell r="A95" t="str">
            <v>Red Point</v>
          </cell>
          <cell r="B95" t="str">
            <v>Little Harbour</v>
          </cell>
          <cell r="C95" t="str">
            <v>Richmond</v>
          </cell>
        </row>
        <row r="96">
          <cell r="A96" t="str">
            <v>Roy Island 1</v>
          </cell>
          <cell r="B96" t="str">
            <v>Little Harbour</v>
          </cell>
          <cell r="C96" t="str">
            <v>Pictou</v>
          </cell>
        </row>
        <row r="97">
          <cell r="A97" t="str">
            <v>Roy Island 2</v>
          </cell>
          <cell r="B97" t="str">
            <v>Little Harbour</v>
          </cell>
          <cell r="C97" t="str">
            <v>Pictou</v>
          </cell>
        </row>
        <row r="98">
          <cell r="A98" t="str">
            <v>Roy Island 3</v>
          </cell>
          <cell r="B98" t="str">
            <v>Little Harbour</v>
          </cell>
          <cell r="C98" t="str">
            <v>Pictou</v>
          </cell>
        </row>
        <row r="99">
          <cell r="A99" t="str">
            <v>Gypsum Wharf</v>
          </cell>
          <cell r="B99" t="str">
            <v>Little Narrows</v>
          </cell>
          <cell r="C99" t="str">
            <v>Victoria</v>
          </cell>
        </row>
        <row r="100">
          <cell r="A100" t="str">
            <v>Mersey Point</v>
          </cell>
          <cell r="B100" t="str">
            <v>Liverpool Bay</v>
          </cell>
          <cell r="C100" t="str">
            <v>Queens</v>
          </cell>
        </row>
        <row r="101">
          <cell r="A101" t="str">
            <v>Lobster Bay</v>
          </cell>
          <cell r="B101" t="str">
            <v>Lobster Bay</v>
          </cell>
          <cell r="C101" t="str">
            <v>Yarmouth</v>
          </cell>
        </row>
        <row r="102">
          <cell r="A102" t="str">
            <v>Morris Island</v>
          </cell>
          <cell r="B102" t="str">
            <v>Lobster Bay</v>
          </cell>
          <cell r="C102" t="str">
            <v>Yarmouth</v>
          </cell>
        </row>
        <row r="103">
          <cell r="A103" t="str">
            <v>Old Point Channel</v>
          </cell>
          <cell r="B103" t="str">
            <v>Lobster Bay</v>
          </cell>
          <cell r="C103" t="str">
            <v>Yarmouth</v>
          </cell>
        </row>
        <row r="104">
          <cell r="A104" t="str">
            <v>Peases Island</v>
          </cell>
          <cell r="B104" t="str">
            <v>Lobster Bay</v>
          </cell>
          <cell r="C104" t="str">
            <v>Yarmouth</v>
          </cell>
        </row>
        <row r="105">
          <cell r="A105" t="str">
            <v>Ram Island</v>
          </cell>
          <cell r="B105" t="str">
            <v>Lobster Bay</v>
          </cell>
          <cell r="C105" t="str">
            <v>Yarmouth</v>
          </cell>
        </row>
        <row r="106">
          <cell r="A106" t="str">
            <v>The Brothers</v>
          </cell>
          <cell r="B106" t="str">
            <v>Lobster Bay</v>
          </cell>
          <cell r="C106" t="str">
            <v>Yarmouth</v>
          </cell>
        </row>
        <row r="107">
          <cell r="A107" t="str">
            <v>Tucker Island</v>
          </cell>
          <cell r="B107" t="str">
            <v>Lobster Bay</v>
          </cell>
          <cell r="C107" t="str">
            <v>Yarmouth</v>
          </cell>
        </row>
        <row r="108">
          <cell r="A108" t="str">
            <v>Wedgeport</v>
          </cell>
          <cell r="B108" t="str">
            <v>Lobster Bay</v>
          </cell>
          <cell r="C108" t="str">
            <v>Yarmouth</v>
          </cell>
        </row>
        <row r="109">
          <cell r="A109" t="str">
            <v>BDLS-1108</v>
          </cell>
          <cell r="B109" t="str">
            <v>Lochmore Harbour</v>
          </cell>
          <cell r="C109" t="str">
            <v>Cape Breton</v>
          </cell>
        </row>
        <row r="110">
          <cell r="A110">
            <v>1330</v>
          </cell>
          <cell r="B110" t="str">
            <v>Mabou Harbour</v>
          </cell>
          <cell r="C110" t="str">
            <v>Inverness</v>
          </cell>
        </row>
        <row r="111">
          <cell r="A111">
            <v>1331</v>
          </cell>
          <cell r="B111" t="str">
            <v>Mabou Harbour</v>
          </cell>
          <cell r="C111" t="str">
            <v>Inverness</v>
          </cell>
        </row>
        <row r="112">
          <cell r="A112" t="str">
            <v>BDLS-MDP</v>
          </cell>
          <cell r="B112" t="str">
            <v>MacDonalds Pond</v>
          </cell>
          <cell r="C112" t="str">
            <v>Inverness</v>
          </cell>
        </row>
        <row r="113">
          <cell r="A113" t="str">
            <v>BDLS-1246</v>
          </cell>
          <cell r="B113" t="str">
            <v>MacIvers Cove</v>
          </cell>
          <cell r="C113" t="str">
            <v>Victoria</v>
          </cell>
        </row>
        <row r="114">
          <cell r="A114" t="str">
            <v>BDLS-BSA</v>
          </cell>
          <cell r="B114" t="str">
            <v>MacKillops Pond</v>
          </cell>
          <cell r="C114" t="str">
            <v>Victoria</v>
          </cell>
        </row>
        <row r="115">
          <cell r="A115" t="str">
            <v>BDLS-JLM</v>
          </cell>
          <cell r="B115" t="str">
            <v>MacKinnons Cove</v>
          </cell>
          <cell r="C115" t="str">
            <v>Inverness</v>
          </cell>
        </row>
        <row r="116">
          <cell r="A116" t="str">
            <v>BDLS-496</v>
          </cell>
          <cell r="B116" t="str">
            <v>MacLeans Cove</v>
          </cell>
          <cell r="C116" t="str">
            <v>Inverness</v>
          </cell>
        </row>
        <row r="117">
          <cell r="A117" t="str">
            <v>BDLS-MFH</v>
          </cell>
          <cell r="B117" t="str">
            <v>MacRaes Cove</v>
          </cell>
          <cell r="C117" t="str">
            <v>Inverness</v>
          </cell>
        </row>
        <row r="118">
          <cell r="A118" t="str">
            <v>Flat Island</v>
          </cell>
          <cell r="B118" t="str">
            <v>Mahone Bay</v>
          </cell>
          <cell r="C118" t="str">
            <v>Lunenburg</v>
          </cell>
        </row>
        <row r="119">
          <cell r="A119" t="str">
            <v>Little Rafuse Island</v>
          </cell>
          <cell r="B119" t="str">
            <v>Mahone Bay</v>
          </cell>
          <cell r="C119" t="str">
            <v>Lunenburg</v>
          </cell>
        </row>
        <row r="120">
          <cell r="A120" t="str">
            <v>Snake Island</v>
          </cell>
          <cell r="B120" t="str">
            <v>Mahone Bay</v>
          </cell>
          <cell r="C120" t="str">
            <v>Lunenburg</v>
          </cell>
        </row>
        <row r="121">
          <cell r="A121" t="str">
            <v>Upper Blandford</v>
          </cell>
          <cell r="B121" t="str">
            <v>Mahone Bay</v>
          </cell>
          <cell r="C121" t="str">
            <v>Lunenburg</v>
          </cell>
        </row>
        <row r="122">
          <cell r="A122">
            <v>28</v>
          </cell>
          <cell r="B122" t="str">
            <v>Marie Joseph Harbour</v>
          </cell>
          <cell r="C122" t="str">
            <v>Guysborough</v>
          </cell>
        </row>
        <row r="123">
          <cell r="A123" t="str">
            <v>Barren Island</v>
          </cell>
          <cell r="B123" t="str">
            <v>Marie Joseph Harbour</v>
          </cell>
          <cell r="C123" t="str">
            <v>Guysborough</v>
          </cell>
        </row>
        <row r="124">
          <cell r="A124" t="str">
            <v>Jewers Bay</v>
          </cell>
          <cell r="B124" t="str">
            <v>Marie Joseph Harbour</v>
          </cell>
          <cell r="C124" t="str">
            <v>Guysborough</v>
          </cell>
        </row>
        <row r="125">
          <cell r="A125" t="str">
            <v>BDLS-1225</v>
          </cell>
          <cell r="B125" t="str">
            <v>McKinnons Harbour</v>
          </cell>
          <cell r="C125" t="str">
            <v>Victoria</v>
          </cell>
        </row>
        <row r="126">
          <cell r="A126" t="str">
            <v>McNabs Point 1</v>
          </cell>
          <cell r="B126" t="str">
            <v>McNabs Bay</v>
          </cell>
          <cell r="C126" t="str">
            <v>Colchester</v>
          </cell>
        </row>
        <row r="127">
          <cell r="A127" t="str">
            <v>McNabs Point 2</v>
          </cell>
          <cell r="B127" t="str">
            <v>McNabs Bay</v>
          </cell>
          <cell r="C127" t="str">
            <v>Colchester</v>
          </cell>
        </row>
        <row r="128">
          <cell r="A128" t="str">
            <v>McNabs Point 3</v>
          </cell>
          <cell r="B128" t="str">
            <v>McNabs Bay</v>
          </cell>
          <cell r="C128" t="str">
            <v>Colchester</v>
          </cell>
        </row>
        <row r="129">
          <cell r="A129" t="str">
            <v>Fryingpan Island</v>
          </cell>
          <cell r="B129" t="str">
            <v>Medway River</v>
          </cell>
          <cell r="C129" t="str">
            <v>Queens</v>
          </cell>
        </row>
        <row r="130">
          <cell r="A130">
            <v>1369</v>
          </cell>
          <cell r="B130" t="str">
            <v>Merigomish Harbour</v>
          </cell>
          <cell r="C130" t="str">
            <v>Pictou</v>
          </cell>
        </row>
        <row r="131">
          <cell r="A131" t="str">
            <v>Back Harbour</v>
          </cell>
          <cell r="B131" t="str">
            <v>Merigomish Harbour</v>
          </cell>
          <cell r="C131" t="str">
            <v>Pictou</v>
          </cell>
        </row>
        <row r="132">
          <cell r="A132" t="str">
            <v>Olding Island</v>
          </cell>
          <cell r="B132" t="str">
            <v>Merigomish Harbour</v>
          </cell>
          <cell r="C132" t="str">
            <v>Pictou</v>
          </cell>
        </row>
        <row r="133">
          <cell r="A133" t="str">
            <v>Point Michaud</v>
          </cell>
          <cell r="B133" t="str">
            <v>Michaud Cove</v>
          </cell>
          <cell r="C133" t="str">
            <v>Richmond</v>
          </cell>
        </row>
        <row r="134">
          <cell r="A134" t="str">
            <v>Monks Head</v>
          </cell>
          <cell r="B134" t="str">
            <v>Monks Head Harbour</v>
          </cell>
          <cell r="C134" t="str">
            <v>Antigonish</v>
          </cell>
        </row>
        <row r="135">
          <cell r="A135" t="str">
            <v>BDLS-MC</v>
          </cell>
          <cell r="B135" t="str">
            <v>Morrison Cove</v>
          </cell>
          <cell r="C135" t="str">
            <v>Inverness</v>
          </cell>
        </row>
        <row r="136">
          <cell r="A136" t="str">
            <v>Ingomar</v>
          </cell>
          <cell r="B136" t="str">
            <v>Negro Harbour</v>
          </cell>
          <cell r="C136" t="str">
            <v>Shelburne</v>
          </cell>
        </row>
        <row r="137">
          <cell r="A137" t="str">
            <v>Black Rocks</v>
          </cell>
          <cell r="B137" t="str">
            <v>New Harbour</v>
          </cell>
          <cell r="C137" t="str">
            <v>Guysborough</v>
          </cell>
        </row>
        <row r="138">
          <cell r="A138" t="str">
            <v>The Bull</v>
          </cell>
          <cell r="B138" t="str">
            <v>New Harbour</v>
          </cell>
          <cell r="C138" t="str">
            <v>Guysborough</v>
          </cell>
        </row>
        <row r="139">
          <cell r="A139" t="str">
            <v>Middle Head</v>
          </cell>
          <cell r="B139" t="str">
            <v>North Bay Ingonish</v>
          </cell>
          <cell r="C139" t="str">
            <v>Victoria</v>
          </cell>
        </row>
        <row r="140">
          <cell r="A140" t="str">
            <v>Sand Dunes</v>
          </cell>
          <cell r="B140" t="str">
            <v>Northumberland Strait</v>
          </cell>
          <cell r="C140" t="str">
            <v>Inverness</v>
          </cell>
        </row>
        <row r="141">
          <cell r="A141">
            <v>745</v>
          </cell>
          <cell r="B141" t="str">
            <v>Nyanza Bay</v>
          </cell>
          <cell r="C141" t="str">
            <v>Victoria</v>
          </cell>
        </row>
        <row r="142">
          <cell r="A142" t="str">
            <v>BDLS-NW</v>
          </cell>
          <cell r="B142" t="str">
            <v>Nyanza Bay</v>
          </cell>
          <cell r="C142" t="str">
            <v>Victoria</v>
          </cell>
        </row>
        <row r="143">
          <cell r="A143" t="str">
            <v>Wadden Cove W</v>
          </cell>
          <cell r="B143" t="str">
            <v>Nyanza Bay</v>
          </cell>
          <cell r="C143" t="str">
            <v>Victoria</v>
          </cell>
        </row>
        <row r="144">
          <cell r="A144" t="str">
            <v>Cheticamp River</v>
          </cell>
          <cell r="B144" t="str">
            <v>Outer Cheticamp Harbour</v>
          </cell>
          <cell r="C144" t="str">
            <v>Inverness</v>
          </cell>
        </row>
        <row r="145">
          <cell r="A145" t="str">
            <v>Margaree River</v>
          </cell>
          <cell r="B145" t="str">
            <v>Outer Margaree Harbour</v>
          </cell>
          <cell r="C145" t="str">
            <v>Inverness</v>
          </cell>
        </row>
        <row r="146">
          <cell r="A146" t="str">
            <v>Owls Head</v>
          </cell>
          <cell r="B146" t="str">
            <v>Owls Head Bay</v>
          </cell>
          <cell r="C146" t="str">
            <v>Halifax</v>
          </cell>
        </row>
        <row r="147">
          <cell r="A147" t="str">
            <v>Mackerel Island</v>
          </cell>
          <cell r="B147" t="str">
            <v>Pennant Bay</v>
          </cell>
          <cell r="C147" t="str">
            <v>Halifax</v>
          </cell>
        </row>
        <row r="148">
          <cell r="A148" t="str">
            <v>Summerside</v>
          </cell>
          <cell r="B148" t="str">
            <v>Pomquet Harbour</v>
          </cell>
          <cell r="C148" t="str">
            <v>Antigonish</v>
          </cell>
        </row>
        <row r="149">
          <cell r="A149" t="str">
            <v>Taylors Rock</v>
          </cell>
          <cell r="B149" t="str">
            <v>Port La Tour</v>
          </cell>
          <cell r="C149" t="str">
            <v>Shelburne</v>
          </cell>
        </row>
        <row r="150">
          <cell r="A150" t="str">
            <v>Taylors Rock 1</v>
          </cell>
          <cell r="B150" t="str">
            <v>Port La Tour</v>
          </cell>
          <cell r="C150" t="str">
            <v>Shelburne</v>
          </cell>
        </row>
        <row r="151">
          <cell r="A151" t="str">
            <v>White Point Rock</v>
          </cell>
          <cell r="B151" t="str">
            <v>Port Mouton</v>
          </cell>
          <cell r="C151" t="str">
            <v>Queens</v>
          </cell>
        </row>
        <row r="152">
          <cell r="A152" t="str">
            <v>The Jolt</v>
          </cell>
          <cell r="B152" t="str">
            <v>Ram Island Passage</v>
          </cell>
          <cell r="C152" t="str">
            <v>Shelburne</v>
          </cell>
        </row>
        <row r="153">
          <cell r="A153" t="str">
            <v>BDLS-RPWB</v>
          </cell>
          <cell r="B153" t="str">
            <v>Ross Pond</v>
          </cell>
          <cell r="C153" t="str">
            <v>Inverness</v>
          </cell>
        </row>
        <row r="154">
          <cell r="A154" t="str">
            <v>Big Sluice</v>
          </cell>
          <cell r="B154" t="str">
            <v>Salt Bay</v>
          </cell>
          <cell r="C154" t="str">
            <v>Yarmouth</v>
          </cell>
        </row>
        <row r="155">
          <cell r="A155" t="str">
            <v>Lesser Hope Rock</v>
          </cell>
          <cell r="B155" t="str">
            <v>Sandy Bay</v>
          </cell>
          <cell r="C155" t="str">
            <v>Queens</v>
          </cell>
        </row>
        <row r="156">
          <cell r="A156" t="str">
            <v>Shad Bay</v>
          </cell>
          <cell r="B156" t="str">
            <v>Shad Bay</v>
          </cell>
          <cell r="C156" t="str">
            <v>Halifax</v>
          </cell>
        </row>
        <row r="157">
          <cell r="A157" t="str">
            <v>Outer Island</v>
          </cell>
          <cell r="B157" t="str">
            <v>Shag Harbour</v>
          </cell>
          <cell r="C157" t="str">
            <v>Shelburne</v>
          </cell>
        </row>
        <row r="158">
          <cell r="A158" t="str">
            <v>East Gibbs Island</v>
          </cell>
          <cell r="B158" t="str">
            <v>Sheet Harbour</v>
          </cell>
          <cell r="C158" t="str">
            <v>Halifax</v>
          </cell>
        </row>
        <row r="159">
          <cell r="A159" t="str">
            <v>McNutts Island</v>
          </cell>
          <cell r="B159" t="str">
            <v>Shelburne Harbour</v>
          </cell>
          <cell r="C159" t="str">
            <v>Shelburne</v>
          </cell>
        </row>
        <row r="160">
          <cell r="A160" t="str">
            <v>Moshers Island</v>
          </cell>
          <cell r="B160" t="str">
            <v>Ships Channel</v>
          </cell>
          <cell r="C160" t="str">
            <v>Lunenburg</v>
          </cell>
        </row>
        <row r="161">
          <cell r="A161" t="str">
            <v>Borgles Island</v>
          </cell>
          <cell r="B161" t="str">
            <v>Shoal Bay</v>
          </cell>
          <cell r="C161" t="str">
            <v>Halifax</v>
          </cell>
        </row>
        <row r="162">
          <cell r="A162" t="str">
            <v>Careys Point</v>
          </cell>
          <cell r="B162" t="str">
            <v>Snows Cove</v>
          </cell>
          <cell r="C162" t="str">
            <v>Halifax</v>
          </cell>
        </row>
        <row r="163">
          <cell r="A163">
            <v>1323</v>
          </cell>
          <cell r="B163" t="str">
            <v>Sober Island Pond</v>
          </cell>
          <cell r="C163" t="str">
            <v>Halifax</v>
          </cell>
        </row>
        <row r="164">
          <cell r="A164" t="str">
            <v>Sober Island</v>
          </cell>
          <cell r="B164" t="str">
            <v>Sober Island Pond</v>
          </cell>
          <cell r="C164" t="str">
            <v>Halifax</v>
          </cell>
        </row>
        <row r="165">
          <cell r="A165" t="str">
            <v>BDLS-838</v>
          </cell>
          <cell r="B165" t="str">
            <v>Soldiers Cove</v>
          </cell>
          <cell r="C165" t="str">
            <v>Richmond</v>
          </cell>
        </row>
        <row r="166">
          <cell r="A166" t="str">
            <v>Spry Harbour</v>
          </cell>
          <cell r="B166" t="str">
            <v>Spry Bay</v>
          </cell>
          <cell r="C166" t="str">
            <v>Halifax</v>
          </cell>
        </row>
        <row r="167">
          <cell r="A167" t="str">
            <v>Englishtown</v>
          </cell>
          <cell r="B167" t="str">
            <v>St. Anns Harbour</v>
          </cell>
          <cell r="C167" t="str">
            <v>Victoria</v>
          </cell>
        </row>
        <row r="168">
          <cell r="A168" t="str">
            <v>St. Georges Bay N</v>
          </cell>
          <cell r="B168" t="str">
            <v>St. Georges Bay</v>
          </cell>
          <cell r="C168" t="str">
            <v>Antigonish</v>
          </cell>
        </row>
        <row r="169">
          <cell r="A169" t="str">
            <v>St. Georges Bay S</v>
          </cell>
          <cell r="B169" t="str">
            <v>St. Georges Bay</v>
          </cell>
          <cell r="C169" t="str">
            <v>Antigonish</v>
          </cell>
        </row>
        <row r="170">
          <cell r="A170" t="str">
            <v>St. Georges Bay W</v>
          </cell>
          <cell r="B170" t="str">
            <v>St. Georges Bay</v>
          </cell>
          <cell r="C170" t="str">
            <v>Antigonish</v>
          </cell>
        </row>
        <row r="171">
          <cell r="A171" t="str">
            <v>Birchy Head</v>
          </cell>
          <cell r="B171" t="str">
            <v>St. Margarets Bay</v>
          </cell>
          <cell r="C171" t="str">
            <v>Lunenburg</v>
          </cell>
        </row>
        <row r="172">
          <cell r="A172" t="str">
            <v>Charley Rock</v>
          </cell>
          <cell r="B172" t="str">
            <v>St. Margarets Bay</v>
          </cell>
          <cell r="C172" t="str">
            <v>Lunenburg</v>
          </cell>
        </row>
        <row r="173">
          <cell r="A173" t="str">
            <v>Shut-In Island</v>
          </cell>
          <cell r="B173" t="str">
            <v>St. Margarets Bay</v>
          </cell>
          <cell r="C173" t="str">
            <v>Halifax</v>
          </cell>
        </row>
        <row r="174">
          <cell r="A174" t="str">
            <v>Tilley Point</v>
          </cell>
          <cell r="B174" t="str">
            <v>St. Margarets Bay</v>
          </cell>
          <cell r="C174" t="str">
            <v>Lunenburg</v>
          </cell>
        </row>
        <row r="175">
          <cell r="A175">
            <v>1012</v>
          </cell>
          <cell r="B175" t="str">
            <v>St. Marys Bay</v>
          </cell>
          <cell r="C175" t="str">
            <v>Digby</v>
          </cell>
        </row>
        <row r="176">
          <cell r="A176">
            <v>5007</v>
          </cell>
          <cell r="B176" t="str">
            <v>St. Marys Bay</v>
          </cell>
          <cell r="C176" t="str">
            <v>Digby</v>
          </cell>
        </row>
        <row r="177">
          <cell r="A177">
            <v>5008</v>
          </cell>
          <cell r="B177" t="str">
            <v>St. Marys Bay</v>
          </cell>
          <cell r="C177" t="str">
            <v>Digby</v>
          </cell>
        </row>
        <row r="178">
          <cell r="A178" t="str">
            <v>Centreville</v>
          </cell>
          <cell r="B178" t="str">
            <v>St. Marys Bay</v>
          </cell>
          <cell r="C178" t="str">
            <v>Digby</v>
          </cell>
        </row>
        <row r="179">
          <cell r="A179" t="str">
            <v>Centreville 1</v>
          </cell>
          <cell r="B179" t="str">
            <v>St. Marys Bay</v>
          </cell>
          <cell r="C179" t="str">
            <v>Digby</v>
          </cell>
        </row>
        <row r="180">
          <cell r="A180" t="str">
            <v>Church Point 1</v>
          </cell>
          <cell r="B180" t="str">
            <v>St. Marys Bay</v>
          </cell>
          <cell r="C180" t="str">
            <v>Digby</v>
          </cell>
        </row>
        <row r="181">
          <cell r="A181" t="str">
            <v>Church Point 2</v>
          </cell>
          <cell r="B181" t="str">
            <v>St. Marys Bay</v>
          </cell>
          <cell r="C181" t="str">
            <v>Digby</v>
          </cell>
        </row>
        <row r="182">
          <cell r="A182" t="str">
            <v>East Ferry</v>
          </cell>
          <cell r="B182" t="str">
            <v>St. Marys Bay</v>
          </cell>
          <cell r="C182" t="str">
            <v>Digby</v>
          </cell>
        </row>
        <row r="183">
          <cell r="A183" t="str">
            <v>Long Beach</v>
          </cell>
          <cell r="B183" t="str">
            <v>St. Marys Bay</v>
          </cell>
          <cell r="C183" t="str">
            <v>Digby</v>
          </cell>
        </row>
        <row r="184">
          <cell r="A184" t="str">
            <v>Long Beach 1</v>
          </cell>
          <cell r="B184" t="str">
            <v>St. Marys Bay</v>
          </cell>
          <cell r="C184" t="str">
            <v>Digby</v>
          </cell>
        </row>
        <row r="185">
          <cell r="A185" t="str">
            <v>Long Island 1</v>
          </cell>
          <cell r="B185" t="str">
            <v>St. Marys Bay</v>
          </cell>
          <cell r="C185" t="str">
            <v>Digby</v>
          </cell>
        </row>
        <row r="186">
          <cell r="A186" t="str">
            <v>Long Island 2</v>
          </cell>
          <cell r="B186" t="str">
            <v>St. Marys Bay</v>
          </cell>
          <cell r="C186" t="str">
            <v>Digby</v>
          </cell>
        </row>
        <row r="187">
          <cell r="A187" t="str">
            <v>Long Island 3</v>
          </cell>
          <cell r="B187" t="str">
            <v>St. Marys Bay</v>
          </cell>
          <cell r="C187" t="str">
            <v>Digby</v>
          </cell>
        </row>
        <row r="188">
          <cell r="A188" t="str">
            <v>Mid Bay</v>
          </cell>
          <cell r="B188" t="str">
            <v>St. Marys Bay</v>
          </cell>
          <cell r="C188" t="str">
            <v>Digby</v>
          </cell>
        </row>
        <row r="189">
          <cell r="A189" t="str">
            <v>Sandy Cove</v>
          </cell>
          <cell r="B189" t="str">
            <v>St. Marys Bay</v>
          </cell>
          <cell r="C189" t="str">
            <v>Digby</v>
          </cell>
        </row>
        <row r="190">
          <cell r="A190" t="str">
            <v>Logger 1</v>
          </cell>
          <cell r="B190" t="str">
            <v>St. Marys River</v>
          </cell>
          <cell r="C190" t="str">
            <v>Guysborough</v>
          </cell>
        </row>
        <row r="191">
          <cell r="A191" t="str">
            <v>Logger 2</v>
          </cell>
          <cell r="B191" t="str">
            <v>St. Marys River</v>
          </cell>
          <cell r="C191" t="str">
            <v>Guysborough</v>
          </cell>
        </row>
        <row r="192">
          <cell r="A192" t="str">
            <v>Logger 3</v>
          </cell>
          <cell r="B192" t="str">
            <v>St. Marys River</v>
          </cell>
          <cell r="C192" t="str">
            <v>Guysborough</v>
          </cell>
        </row>
        <row r="193">
          <cell r="A193" t="str">
            <v>Lower St. Marys River</v>
          </cell>
          <cell r="B193" t="str">
            <v>St. Marys River</v>
          </cell>
          <cell r="C193" t="str">
            <v>Guysborough</v>
          </cell>
        </row>
        <row r="194">
          <cell r="A194">
            <v>778</v>
          </cell>
          <cell r="B194" t="str">
            <v>St. Peters Inlet</v>
          </cell>
          <cell r="C194" t="str">
            <v>Richmond</v>
          </cell>
        </row>
        <row r="195">
          <cell r="A195">
            <v>994</v>
          </cell>
          <cell r="B195" t="str">
            <v>St. Peters Inlet</v>
          </cell>
          <cell r="C195" t="str">
            <v>Richmond</v>
          </cell>
        </row>
        <row r="196">
          <cell r="A196" t="str">
            <v>Canso Lock</v>
          </cell>
          <cell r="B196" t="str">
            <v>Strait of Canso</v>
          </cell>
          <cell r="C196" t="str">
            <v>Inverness</v>
          </cell>
        </row>
        <row r="197">
          <cell r="A197" t="str">
            <v>Eddy Cove</v>
          </cell>
          <cell r="B197" t="str">
            <v>Strait of Canso</v>
          </cell>
          <cell r="C197" t="str">
            <v>Guysborough</v>
          </cell>
        </row>
        <row r="198">
          <cell r="A198" t="str">
            <v>Pirate Harbour</v>
          </cell>
          <cell r="B198" t="str">
            <v>Strait of Canso</v>
          </cell>
          <cell r="C198" t="str">
            <v>Guysborough</v>
          </cell>
        </row>
        <row r="199">
          <cell r="A199" t="str">
            <v>Pulp Mill</v>
          </cell>
          <cell r="B199" t="str">
            <v>Strait of Canso</v>
          </cell>
          <cell r="C199" t="str">
            <v>Inverness</v>
          </cell>
        </row>
        <row r="200">
          <cell r="A200" t="str">
            <v>Pulp Mill Site 2</v>
          </cell>
          <cell r="B200" t="str">
            <v>Strait of Canso</v>
          </cell>
          <cell r="C200" t="str">
            <v>Inverness</v>
          </cell>
        </row>
        <row r="201">
          <cell r="A201" t="str">
            <v>Troy Harbour</v>
          </cell>
          <cell r="B201" t="str">
            <v>Strait of Canso</v>
          </cell>
          <cell r="C201" t="str">
            <v>Inverness</v>
          </cell>
        </row>
        <row r="202">
          <cell r="A202" t="str">
            <v>Malagash</v>
          </cell>
          <cell r="B202" t="str">
            <v>Tatamagouche Bay</v>
          </cell>
          <cell r="C202" t="str">
            <v>Colchester</v>
          </cell>
        </row>
        <row r="203">
          <cell r="A203" t="str">
            <v>Center Bay</v>
          </cell>
          <cell r="B203" t="str">
            <v>Tor Bay</v>
          </cell>
          <cell r="C203" t="str">
            <v>Guysborough</v>
          </cell>
        </row>
        <row r="204">
          <cell r="A204" t="str">
            <v>English Harbour</v>
          </cell>
          <cell r="B204" t="str">
            <v>Tor Bay</v>
          </cell>
          <cell r="C204" t="str">
            <v>Guysborough</v>
          </cell>
        </row>
        <row r="205">
          <cell r="A205" t="str">
            <v>Larrys River</v>
          </cell>
          <cell r="B205" t="str">
            <v>Tor Bay</v>
          </cell>
          <cell r="C205" t="str">
            <v>Guysborough</v>
          </cell>
        </row>
        <row r="206">
          <cell r="A206" t="str">
            <v>Tanner Island</v>
          </cell>
          <cell r="B206" t="str">
            <v>Tor Bay</v>
          </cell>
          <cell r="C206" t="str">
            <v>Guysborough</v>
          </cell>
        </row>
        <row r="207">
          <cell r="A207" t="str">
            <v>Tracadie 1</v>
          </cell>
          <cell r="B207" t="str">
            <v>Tracadie Harbour</v>
          </cell>
          <cell r="C207" t="str">
            <v>Antigonish</v>
          </cell>
        </row>
        <row r="208">
          <cell r="A208" t="str">
            <v>Tracadie 2</v>
          </cell>
          <cell r="B208" t="str">
            <v>Tracadie Harbour</v>
          </cell>
          <cell r="C208" t="str">
            <v>Antigonish</v>
          </cell>
        </row>
        <row r="209">
          <cell r="A209" t="str">
            <v>Tracadie 3</v>
          </cell>
          <cell r="B209" t="str">
            <v>Tracadie Harbour</v>
          </cell>
          <cell r="C209" t="str">
            <v>Antigonish</v>
          </cell>
        </row>
        <row r="210">
          <cell r="A210">
            <v>1199</v>
          </cell>
          <cell r="B210" t="str">
            <v>Whitehead Harbour</v>
          </cell>
          <cell r="C210" t="str">
            <v>Guysborough</v>
          </cell>
        </row>
        <row r="211">
          <cell r="A211" t="str">
            <v>Bald Rock</v>
          </cell>
          <cell r="B211" t="str">
            <v>Whitehead Harbour</v>
          </cell>
          <cell r="C211" t="str">
            <v>Guysborough</v>
          </cell>
        </row>
        <row r="212">
          <cell r="A212" t="str">
            <v>Burnt Island</v>
          </cell>
          <cell r="B212" t="str">
            <v>Whitehead Harbour</v>
          </cell>
          <cell r="C212" t="str">
            <v>Guysborough</v>
          </cell>
        </row>
        <row r="213">
          <cell r="A213" t="str">
            <v>Fishermans Island</v>
          </cell>
          <cell r="B213" t="str">
            <v>Whitehead Harbour</v>
          </cell>
          <cell r="C213" t="str">
            <v>Guysborough</v>
          </cell>
        </row>
        <row r="214">
          <cell r="A214" t="str">
            <v>Harbour Island</v>
          </cell>
          <cell r="B214" t="str">
            <v>Whitehead Harbour</v>
          </cell>
          <cell r="C214" t="str">
            <v>Guysborough</v>
          </cell>
        </row>
        <row r="215">
          <cell r="A215" t="str">
            <v>Mussel Run</v>
          </cell>
          <cell r="B215" t="str">
            <v>Whitehead Harbour</v>
          </cell>
          <cell r="C215" t="str">
            <v>Guysborough</v>
          </cell>
        </row>
        <row r="216">
          <cell r="A216" t="str">
            <v>Northeast Branch</v>
          </cell>
          <cell r="B216" t="str">
            <v>Whitehead Harbour</v>
          </cell>
          <cell r="C216" t="str">
            <v>Guysborough</v>
          </cell>
        </row>
        <row r="217">
          <cell r="A217" t="str">
            <v>Northwest Branch</v>
          </cell>
          <cell r="B217" t="str">
            <v>Whitehead Harbour</v>
          </cell>
          <cell r="C217" t="str">
            <v>Guysborough</v>
          </cell>
        </row>
        <row r="218">
          <cell r="A218" t="str">
            <v>The Basin</v>
          </cell>
          <cell r="B218" t="str">
            <v>Whitehead Harbour</v>
          </cell>
          <cell r="C218" t="str">
            <v>Guysborough</v>
          </cell>
        </row>
        <row r="219">
          <cell r="A219" t="str">
            <v>The Basin N</v>
          </cell>
          <cell r="B219" t="str">
            <v>Whitehead Harbour</v>
          </cell>
          <cell r="C219" t="str">
            <v>Guysborough</v>
          </cell>
        </row>
        <row r="220">
          <cell r="A220" t="str">
            <v>The Channel</v>
          </cell>
          <cell r="B220" t="str">
            <v>Whitehead Harbour</v>
          </cell>
          <cell r="C220" t="str">
            <v>Guysborough</v>
          </cell>
        </row>
        <row r="221">
          <cell r="A221" t="str">
            <v>White Island</v>
          </cell>
          <cell r="B221" t="str">
            <v>Whitehead Harbour</v>
          </cell>
          <cell r="C221" t="str">
            <v>Guysborough</v>
          </cell>
        </row>
        <row r="222">
          <cell r="A222" t="str">
            <v>Yankee Cove</v>
          </cell>
          <cell r="B222" t="str">
            <v>Whitehead Harbour</v>
          </cell>
          <cell r="C222" t="str">
            <v>Guysborough</v>
          </cell>
        </row>
        <row r="223">
          <cell r="A223" t="str">
            <v>0814x E</v>
          </cell>
          <cell r="B223" t="str">
            <v>Whycocomagh Basin</v>
          </cell>
          <cell r="C223" t="str">
            <v>Inverness</v>
          </cell>
        </row>
        <row r="224">
          <cell r="A224" t="str">
            <v>0814x W</v>
          </cell>
          <cell r="B224" t="str">
            <v>Whycocomagh Basin</v>
          </cell>
          <cell r="C224" t="str">
            <v>Inverness</v>
          </cell>
        </row>
        <row r="225">
          <cell r="A225" t="str">
            <v>Deep Basin</v>
          </cell>
          <cell r="B225" t="str">
            <v>Whycocomagh Basin</v>
          </cell>
          <cell r="C225" t="str">
            <v>Inverness</v>
          </cell>
        </row>
        <row r="226">
          <cell r="A226" t="str">
            <v>Aberdeen</v>
          </cell>
          <cell r="B226" t="str">
            <v>Whycocomagh Bay</v>
          </cell>
          <cell r="C226" t="str">
            <v>Inverness</v>
          </cell>
        </row>
        <row r="227">
          <cell r="A227" t="str">
            <v>BDLS-1430</v>
          </cell>
          <cell r="B227" t="str">
            <v>Whycocomagh Bay</v>
          </cell>
          <cell r="C227" t="str">
            <v>Inverness</v>
          </cell>
        </row>
        <row r="228">
          <cell r="A228" t="str">
            <v>BDLS-AD</v>
          </cell>
          <cell r="B228" t="str">
            <v>Whycocomagh Bay</v>
          </cell>
          <cell r="C228" t="str">
            <v>Inverness</v>
          </cell>
        </row>
        <row r="229">
          <cell r="A229" t="str">
            <v>Wine Harbour</v>
          </cell>
          <cell r="B229" t="str">
            <v>Wine Harbour</v>
          </cell>
          <cell r="C229" t="str">
            <v>Guysborough</v>
          </cell>
        </row>
        <row r="230">
          <cell r="A230" t="str">
            <v>Camerons Cove</v>
          </cell>
          <cell r="B230" t="str">
            <v>Woods Harbour</v>
          </cell>
          <cell r="C230" t="str">
            <v>Shelburne</v>
          </cell>
        </row>
        <row r="231">
          <cell r="A231" t="str">
            <v>Tiddville</v>
          </cell>
          <cell r="B231" t="str">
            <v>St. Marys Bay</v>
          </cell>
          <cell r="C231" t="str">
            <v>Digby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tides.gc.ca/en/stations/00353/2024-08-22?tz=ADT&amp;unit=m" TargetMode="External"/><Relationship Id="rId2" Type="http://schemas.openxmlformats.org/officeDocument/2006/relationships/hyperlink" Target="https://geonames.nrcan.gc.ca/search-place-names/search?_gl=1*g1h5mk*_ga*NDY0MTMzMDUxLjE2ODkyNTM1ODg.*_ga_C2N57Y7DX5*MTcyNDM0MjgwMy4xLjAuMTcyNDM0MjgwMy4wLjAuMA.." TargetMode="External"/><Relationship Id="rId1" Type="http://schemas.openxmlformats.org/officeDocument/2006/relationships/hyperlink" Target="https://geonames.nrcan.gc.ca/search-place-names/search?_gl=1*g1h5mk*_ga*NDY0MTMzMDUxLjE2ODkyNTM1ODg.*_ga_C2N57Y7DX5*MTcyNDM0MjgwMy4xLjAuMTcyNDM0MjgwMy4wLjAuMA.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3CC64-7BCE-472D-A7C8-0B1372DACC96}">
  <dimension ref="A1:AN91"/>
  <sheetViews>
    <sheetView tabSelected="1" topLeftCell="A64" workbookViewId="0">
      <selection activeCell="D7" sqref="D7"/>
    </sheetView>
  </sheetViews>
  <sheetFormatPr defaultRowHeight="15" x14ac:dyDescent="0.25"/>
  <cols>
    <col min="1" max="1" width="17.85546875" bestFit="1" customWidth="1"/>
    <col min="11" max="11" width="20.140625" bestFit="1" customWidth="1"/>
    <col min="12" max="12" width="21.85546875" bestFit="1" customWidth="1"/>
  </cols>
  <sheetData>
    <row r="1" spans="1:40" s="1" customFormat="1" x14ac:dyDescent="0.25">
      <c r="A1" s="1" t="s">
        <v>254</v>
      </c>
      <c r="B1" s="1" t="s">
        <v>1</v>
      </c>
      <c r="C1" s="1" t="s">
        <v>0</v>
      </c>
      <c r="D1" t="s">
        <v>405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251</v>
      </c>
      <c r="P1" s="1" t="s">
        <v>250</v>
      </c>
      <c r="Q1" s="1" t="s">
        <v>252</v>
      </c>
      <c r="R1" s="1" t="s">
        <v>253</v>
      </c>
      <c r="S1" s="1" t="s">
        <v>12</v>
      </c>
      <c r="T1" s="1" t="s">
        <v>13</v>
      </c>
      <c r="U1" s="1" t="s">
        <v>14</v>
      </c>
      <c r="V1" s="1" t="s">
        <v>16</v>
      </c>
      <c r="W1" s="1" t="s">
        <v>17</v>
      </c>
      <c r="X1" s="1" t="s">
        <v>15</v>
      </c>
      <c r="Y1" s="1" t="s">
        <v>18</v>
      </c>
      <c r="Z1" s="1" t="s">
        <v>20</v>
      </c>
      <c r="AA1" s="1" t="s">
        <v>19</v>
      </c>
      <c r="AB1" s="1" t="s">
        <v>23</v>
      </c>
      <c r="AC1" s="1" t="s">
        <v>24</v>
      </c>
      <c r="AD1" s="1" t="s">
        <v>25</v>
      </c>
      <c r="AE1" s="1" t="s">
        <v>886</v>
      </c>
      <c r="AF1" s="1" t="s">
        <v>885</v>
      </c>
      <c r="AG1" s="1" t="s">
        <v>21</v>
      </c>
      <c r="AH1" s="1" t="s">
        <v>22</v>
      </c>
      <c r="AI1" s="1" t="s">
        <v>26</v>
      </c>
      <c r="AJ1" s="1" t="s">
        <v>29</v>
      </c>
      <c r="AK1" s="1" t="s">
        <v>30</v>
      </c>
      <c r="AL1" s="1" t="s">
        <v>27</v>
      </c>
      <c r="AM1" s="1" t="s">
        <v>28</v>
      </c>
      <c r="AN1" s="1" t="s">
        <v>31</v>
      </c>
    </row>
    <row r="2" spans="1:40" s="1" customFormat="1" x14ac:dyDescent="0.25">
      <c r="A2" s="4">
        <v>45946</v>
      </c>
      <c r="B2" s="6" t="s">
        <v>110</v>
      </c>
      <c r="C2" t="str">
        <f>_xlfn.XLOOKUP([1]!Table3[[#This Row],[station]],[1]station_waterbody_county!A:A, [1]station_waterbody_county!B:B)</f>
        <v>Indian Harbour</v>
      </c>
      <c r="D2" t="str">
        <f>_xlfn.XLOOKUP([1]!Table3[[#This Row],[station]],[1]station_waterbody_county!A:A, [1]station_waterbody_county!C:C)</f>
        <v>Guysborough</v>
      </c>
      <c r="E2" s="6"/>
      <c r="F2" s="6" t="s">
        <v>255</v>
      </c>
      <c r="G2" s="4">
        <v>45623</v>
      </c>
      <c r="H2" s="5">
        <v>0.59097222222222223</v>
      </c>
      <c r="I2" s="4">
        <v>45924</v>
      </c>
      <c r="J2" s="5">
        <v>0.8041666666666667</v>
      </c>
      <c r="K2" s="8">
        <v>45.084833000000003</v>
      </c>
      <c r="L2" s="8">
        <v>-61.823582999999999</v>
      </c>
      <c r="M2" s="8"/>
      <c r="N2" s="8"/>
      <c r="O2" s="6" t="s">
        <v>917</v>
      </c>
      <c r="P2" s="6" t="s">
        <v>918</v>
      </c>
      <c r="Q2" s="6" t="s">
        <v>948</v>
      </c>
      <c r="R2" s="6" t="s">
        <v>949</v>
      </c>
      <c r="S2" s="6" t="s">
        <v>239</v>
      </c>
      <c r="T2" s="9">
        <v>22048584</v>
      </c>
      <c r="U2" s="7">
        <v>2</v>
      </c>
      <c r="V2" s="6" t="s">
        <v>36</v>
      </c>
      <c r="W2" s="7">
        <v>12.5</v>
      </c>
      <c r="X2" s="6" t="s">
        <v>35</v>
      </c>
      <c r="Y2" s="7">
        <v>0.7</v>
      </c>
      <c r="Z2" s="7">
        <v>1.6</v>
      </c>
      <c r="AA2" s="6" t="s">
        <v>244</v>
      </c>
      <c r="AB2" s="6" t="s">
        <v>38</v>
      </c>
      <c r="AC2" s="6"/>
      <c r="AD2" s="6" t="s">
        <v>39</v>
      </c>
      <c r="AE2" s="6"/>
      <c r="AF2" s="9"/>
      <c r="AG2" s="6" t="s">
        <v>37</v>
      </c>
      <c r="AH2" s="7">
        <v>60</v>
      </c>
      <c r="AI2" s="6" t="s">
        <v>40</v>
      </c>
      <c r="AJ2" s="6" t="s">
        <v>238</v>
      </c>
      <c r="AK2" s="6" t="s">
        <v>35</v>
      </c>
      <c r="AL2" s="6" t="s">
        <v>346</v>
      </c>
      <c r="AM2" s="6" t="s">
        <v>41</v>
      </c>
      <c r="AN2" s="6" t="s">
        <v>961</v>
      </c>
    </row>
    <row r="3" spans="1:40" s="1" customFormat="1" x14ac:dyDescent="0.25">
      <c r="A3" s="4">
        <v>45946</v>
      </c>
      <c r="B3" s="6" t="s">
        <v>110</v>
      </c>
      <c r="C3" t="str">
        <f>_xlfn.XLOOKUP([1]!Table3[[#This Row],[station]],[1]station_waterbody_county!A:A, [1]station_waterbody_county!B:B)</f>
        <v>Indian Harbour</v>
      </c>
      <c r="D3" t="str">
        <f>_xlfn.XLOOKUP([1]!Table3[[#This Row],[station]],[1]station_waterbody_county!A:A, [1]station_waterbody_county!C:C)</f>
        <v>Guysborough</v>
      </c>
      <c r="E3" s="6"/>
      <c r="F3" s="6" t="s">
        <v>255</v>
      </c>
      <c r="G3" s="4">
        <v>45623</v>
      </c>
      <c r="H3" s="5">
        <v>0.59097222222222223</v>
      </c>
      <c r="I3" s="4">
        <v>45924</v>
      </c>
      <c r="J3" s="5">
        <v>0.8041666666666667</v>
      </c>
      <c r="K3" s="8">
        <v>45.084833000000003</v>
      </c>
      <c r="L3" s="8">
        <v>-61.823582999999999</v>
      </c>
      <c r="M3" s="8"/>
      <c r="N3" s="8"/>
      <c r="O3" s="6" t="s">
        <v>917</v>
      </c>
      <c r="P3" s="6" t="s">
        <v>918</v>
      </c>
      <c r="Q3" s="6" t="s">
        <v>948</v>
      </c>
      <c r="R3" s="6" t="s">
        <v>949</v>
      </c>
      <c r="S3" s="6" t="s">
        <v>240</v>
      </c>
      <c r="T3" s="9">
        <v>671428</v>
      </c>
      <c r="U3" s="7">
        <v>5</v>
      </c>
      <c r="V3" s="6" t="s">
        <v>36</v>
      </c>
      <c r="W3" s="7">
        <v>12.5</v>
      </c>
      <c r="X3" s="6" t="s">
        <v>35</v>
      </c>
      <c r="Y3" s="7">
        <v>0.7</v>
      </c>
      <c r="Z3" s="7">
        <v>1.6</v>
      </c>
      <c r="AA3" s="6" t="s">
        <v>244</v>
      </c>
      <c r="AB3" s="6" t="s">
        <v>38</v>
      </c>
      <c r="AC3" s="6"/>
      <c r="AD3" s="6" t="s">
        <v>39</v>
      </c>
      <c r="AE3" s="6"/>
      <c r="AF3" s="9"/>
      <c r="AG3" s="6" t="s">
        <v>37</v>
      </c>
      <c r="AH3" s="7">
        <v>60</v>
      </c>
      <c r="AI3" s="6" t="s">
        <v>40</v>
      </c>
      <c r="AJ3" s="6" t="s">
        <v>238</v>
      </c>
      <c r="AK3" s="6" t="s">
        <v>35</v>
      </c>
      <c r="AL3" s="6" t="s">
        <v>346</v>
      </c>
      <c r="AM3" s="6" t="s">
        <v>41</v>
      </c>
      <c r="AN3" s="6" t="s">
        <v>961</v>
      </c>
    </row>
    <row r="4" spans="1:40" s="1" customFormat="1" x14ac:dyDescent="0.25">
      <c r="A4" s="4">
        <v>45946</v>
      </c>
      <c r="B4" s="6" t="s">
        <v>110</v>
      </c>
      <c r="C4" t="str">
        <f>_xlfn.XLOOKUP([1]!Table3[[#This Row],[station]],[1]station_waterbody_county!A:A, [1]station_waterbody_county!B:B)</f>
        <v>Indian Harbour</v>
      </c>
      <c r="D4" t="str">
        <f>_xlfn.XLOOKUP([1]!Table3[[#This Row],[station]],[1]station_waterbody_county!A:A, [1]station_waterbody_county!C:C)</f>
        <v>Guysborough</v>
      </c>
      <c r="E4" s="6"/>
      <c r="F4" s="6" t="s">
        <v>255</v>
      </c>
      <c r="G4" s="4">
        <v>45623</v>
      </c>
      <c r="H4" s="5">
        <v>0.59097222222222223</v>
      </c>
      <c r="I4" s="4">
        <v>45924</v>
      </c>
      <c r="J4" s="5">
        <v>0.8041666666666667</v>
      </c>
      <c r="K4" s="8">
        <v>45.084833000000003</v>
      </c>
      <c r="L4" s="8">
        <v>-61.823582999999999</v>
      </c>
      <c r="M4" s="8"/>
      <c r="N4" s="8"/>
      <c r="O4" s="6" t="s">
        <v>917</v>
      </c>
      <c r="P4" s="6" t="s">
        <v>918</v>
      </c>
      <c r="Q4" s="6" t="s">
        <v>948</v>
      </c>
      <c r="R4" s="6" t="s">
        <v>949</v>
      </c>
      <c r="S4" s="6" t="s">
        <v>245</v>
      </c>
      <c r="T4" s="9">
        <v>686011</v>
      </c>
      <c r="U4" s="7">
        <v>5</v>
      </c>
      <c r="V4" s="6" t="s">
        <v>36</v>
      </c>
      <c r="W4" s="7">
        <v>12.5</v>
      </c>
      <c r="X4" s="6" t="s">
        <v>35</v>
      </c>
      <c r="Y4" s="7">
        <v>0.7</v>
      </c>
      <c r="Z4" s="7">
        <v>1.6</v>
      </c>
      <c r="AA4" s="6" t="s">
        <v>244</v>
      </c>
      <c r="AB4" s="6" t="s">
        <v>38</v>
      </c>
      <c r="AC4" s="6"/>
      <c r="AD4" s="6" t="s">
        <v>39</v>
      </c>
      <c r="AE4" s="6"/>
      <c r="AF4" s="9"/>
      <c r="AG4" s="6" t="s">
        <v>37</v>
      </c>
      <c r="AH4" s="7">
        <v>60</v>
      </c>
      <c r="AI4" s="6" t="s">
        <v>40</v>
      </c>
      <c r="AJ4" s="6" t="s">
        <v>238</v>
      </c>
      <c r="AK4" s="6" t="s">
        <v>35</v>
      </c>
      <c r="AL4" s="6" t="s">
        <v>346</v>
      </c>
      <c r="AM4" s="6" t="s">
        <v>41</v>
      </c>
      <c r="AN4" s="6" t="s">
        <v>961</v>
      </c>
    </row>
    <row r="5" spans="1:40" s="1" customFormat="1" x14ac:dyDescent="0.25">
      <c r="A5" s="4">
        <v>45946</v>
      </c>
      <c r="B5" s="6" t="s">
        <v>110</v>
      </c>
      <c r="C5" t="str">
        <f>_xlfn.XLOOKUP([1]!Table3[[#This Row],[station]],[1]station_waterbody_county!A:A, [1]station_waterbody_county!B:B)</f>
        <v>Indian Harbour</v>
      </c>
      <c r="D5" t="str">
        <f>_xlfn.XLOOKUP([1]!Table3[[#This Row],[station]],[1]station_waterbody_county!A:A, [1]station_waterbody_county!C:C)</f>
        <v>Guysborough</v>
      </c>
      <c r="E5" s="6"/>
      <c r="F5" s="6" t="s">
        <v>255</v>
      </c>
      <c r="G5" s="4">
        <v>45623</v>
      </c>
      <c r="H5" s="5">
        <v>0.59097222222222223</v>
      </c>
      <c r="I5" s="4">
        <v>45924</v>
      </c>
      <c r="J5" s="5">
        <v>0.8041666666666667</v>
      </c>
      <c r="K5" s="8">
        <v>45.084833000000003</v>
      </c>
      <c r="L5" s="8">
        <v>-61.823582999999999</v>
      </c>
      <c r="M5" s="8"/>
      <c r="N5" s="8"/>
      <c r="O5" s="6" t="s">
        <v>917</v>
      </c>
      <c r="P5" s="6" t="s">
        <v>918</v>
      </c>
      <c r="Q5" s="6" t="s">
        <v>948</v>
      </c>
      <c r="R5" s="6" t="s">
        <v>949</v>
      </c>
      <c r="S5" s="6" t="s">
        <v>239</v>
      </c>
      <c r="T5" s="9">
        <v>22055913</v>
      </c>
      <c r="U5" s="7">
        <v>10</v>
      </c>
      <c r="V5" s="6" t="s">
        <v>36</v>
      </c>
      <c r="W5" s="7">
        <v>12.5</v>
      </c>
      <c r="X5" s="6" t="s">
        <v>35</v>
      </c>
      <c r="Y5" s="7">
        <v>0.7</v>
      </c>
      <c r="Z5" s="7">
        <v>1.6</v>
      </c>
      <c r="AA5" s="6" t="s">
        <v>244</v>
      </c>
      <c r="AB5" s="6" t="s">
        <v>38</v>
      </c>
      <c r="AC5" s="6"/>
      <c r="AD5" s="6" t="s">
        <v>39</v>
      </c>
      <c r="AE5" s="6"/>
      <c r="AF5" s="9"/>
      <c r="AG5" s="6" t="s">
        <v>37</v>
      </c>
      <c r="AH5" s="7">
        <v>60</v>
      </c>
      <c r="AI5" s="6" t="s">
        <v>40</v>
      </c>
      <c r="AJ5" s="6" t="s">
        <v>238</v>
      </c>
      <c r="AK5" s="6" t="s">
        <v>35</v>
      </c>
      <c r="AL5" s="6" t="s">
        <v>346</v>
      </c>
      <c r="AM5" s="6" t="s">
        <v>41</v>
      </c>
      <c r="AN5" s="6" t="s">
        <v>961</v>
      </c>
    </row>
    <row r="6" spans="1:40" s="3" customFormat="1" x14ac:dyDescent="0.25">
      <c r="A6" s="4">
        <v>45946</v>
      </c>
      <c r="B6" s="6" t="s">
        <v>110</v>
      </c>
      <c r="C6" t="str">
        <f>_xlfn.XLOOKUP([1]!Table3[[#This Row],[station]],[1]station_waterbody_county!A:A, [1]station_waterbody_county!B:B)</f>
        <v>Indian Harbour</v>
      </c>
      <c r="D6" t="str">
        <f>_xlfn.XLOOKUP([1]!Table3[[#This Row],[station]],[1]station_waterbody_county!A:A, [1]station_waterbody_county!C:C)</f>
        <v>Guysborough</v>
      </c>
      <c r="E6" s="6"/>
      <c r="F6" s="6" t="s">
        <v>255</v>
      </c>
      <c r="G6" s="4">
        <v>45623</v>
      </c>
      <c r="H6" s="5">
        <v>0.59097222222222223</v>
      </c>
      <c r="I6" s="4">
        <v>45924</v>
      </c>
      <c r="J6" s="5">
        <v>0.8041666666666667</v>
      </c>
      <c r="K6" s="8">
        <v>45.084833000000003</v>
      </c>
      <c r="L6" s="8">
        <v>-61.823582999999999</v>
      </c>
      <c r="M6" s="8"/>
      <c r="N6" s="8"/>
      <c r="O6" s="6" t="s">
        <v>917</v>
      </c>
      <c r="P6" s="6" t="s">
        <v>918</v>
      </c>
      <c r="Q6" s="6" t="s">
        <v>948</v>
      </c>
      <c r="R6" s="6" t="s">
        <v>949</v>
      </c>
      <c r="S6" s="6" t="s">
        <v>42</v>
      </c>
      <c r="T6" s="9">
        <v>548040</v>
      </c>
      <c r="U6" s="7">
        <v>10</v>
      </c>
      <c r="V6" s="6" t="s">
        <v>36</v>
      </c>
      <c r="W6" s="7">
        <v>12.5</v>
      </c>
      <c r="X6" s="6" t="s">
        <v>35</v>
      </c>
      <c r="Y6" s="7">
        <v>0.7</v>
      </c>
      <c r="Z6" s="7">
        <v>1.6</v>
      </c>
      <c r="AA6" s="6" t="s">
        <v>244</v>
      </c>
      <c r="AB6" s="6" t="s">
        <v>38</v>
      </c>
      <c r="AC6" s="6"/>
      <c r="AD6" s="6" t="s">
        <v>39</v>
      </c>
      <c r="AE6" s="6"/>
      <c r="AF6" s="9"/>
      <c r="AG6" s="6" t="s">
        <v>37</v>
      </c>
      <c r="AH6" s="7">
        <v>60</v>
      </c>
      <c r="AI6" s="6" t="s">
        <v>40</v>
      </c>
      <c r="AJ6" s="6" t="s">
        <v>238</v>
      </c>
      <c r="AK6" s="6" t="s">
        <v>35</v>
      </c>
      <c r="AL6" s="6" t="s">
        <v>346</v>
      </c>
      <c r="AM6" s="6" t="s">
        <v>41</v>
      </c>
      <c r="AN6" s="6" t="s">
        <v>961</v>
      </c>
    </row>
    <row r="7" spans="1:40" s="3" customFormat="1" x14ac:dyDescent="0.25">
      <c r="A7" s="4">
        <v>45944</v>
      </c>
      <c r="B7" s="6" t="s">
        <v>111</v>
      </c>
      <c r="C7" t="str">
        <f>_xlfn.XLOOKUP([1]!Table3[[#This Row],[station]],[1]station_waterbody_county!A:A, [1]station_waterbody_county!B:B)</f>
        <v>Marie Joseph Harbour</v>
      </c>
      <c r="D7" t="str">
        <f>_xlfn.XLOOKUP([1]!Table3[[#This Row],[station]],[1]station_waterbody_county!A:A, [1]station_waterbody_county!C:C)</f>
        <v>Guysborough</v>
      </c>
      <c r="E7" s="6"/>
      <c r="F7" s="6" t="s">
        <v>255</v>
      </c>
      <c r="G7" s="4">
        <v>45547</v>
      </c>
      <c r="H7" s="5">
        <v>0.69930555555555551</v>
      </c>
      <c r="I7" s="4">
        <v>45925</v>
      </c>
      <c r="J7" s="5">
        <v>0.69444444444444442</v>
      </c>
      <c r="K7" s="8"/>
      <c r="L7" s="8"/>
      <c r="M7" s="8"/>
      <c r="N7" s="8"/>
      <c r="O7" s="6" t="s">
        <v>272</v>
      </c>
      <c r="P7" s="6" t="s">
        <v>273</v>
      </c>
      <c r="Q7" s="6" t="s">
        <v>944</v>
      </c>
      <c r="R7" s="6" t="s">
        <v>945</v>
      </c>
      <c r="S7" s="6" t="s">
        <v>239</v>
      </c>
      <c r="T7" s="9">
        <v>21414864</v>
      </c>
      <c r="U7" s="7">
        <v>2</v>
      </c>
      <c r="V7" s="6" t="s">
        <v>36</v>
      </c>
      <c r="W7" s="7">
        <v>16.5</v>
      </c>
      <c r="X7" s="6" t="s">
        <v>35</v>
      </c>
      <c r="Y7" s="7">
        <v>1.6</v>
      </c>
      <c r="Z7" s="7">
        <v>0.5</v>
      </c>
      <c r="AA7" s="6" t="s">
        <v>266</v>
      </c>
      <c r="AB7" s="6" t="s">
        <v>38</v>
      </c>
      <c r="AC7" s="6"/>
      <c r="AD7" s="6" t="s">
        <v>39</v>
      </c>
      <c r="AE7" s="6"/>
      <c r="AF7" s="9"/>
      <c r="AG7" s="6" t="s">
        <v>37</v>
      </c>
      <c r="AH7" s="7">
        <v>60</v>
      </c>
      <c r="AI7" s="6" t="s">
        <v>40</v>
      </c>
      <c r="AJ7" s="6" t="s">
        <v>238</v>
      </c>
      <c r="AK7" s="6"/>
      <c r="AL7" s="6" t="s">
        <v>41</v>
      </c>
      <c r="AM7" s="6" t="s">
        <v>41</v>
      </c>
      <c r="AN7" s="6"/>
    </row>
    <row r="8" spans="1:40" s="3" customFormat="1" x14ac:dyDescent="0.25">
      <c r="A8" s="4">
        <v>45944</v>
      </c>
      <c r="B8" s="6" t="s">
        <v>111</v>
      </c>
      <c r="C8" t="str">
        <f>_xlfn.XLOOKUP([1]!Table3[[#This Row],[station]],[1]station_waterbody_county!A:A, [1]station_waterbody_county!B:B)</f>
        <v>Marie Joseph Harbour</v>
      </c>
      <c r="D8" t="str">
        <f>_xlfn.XLOOKUP([1]!Table3[[#This Row],[station]],[1]station_waterbody_county!A:A, [1]station_waterbody_county!C:C)</f>
        <v>Guysborough</v>
      </c>
      <c r="E8" s="6"/>
      <c r="F8" s="6" t="s">
        <v>255</v>
      </c>
      <c r="G8" s="4">
        <v>45547</v>
      </c>
      <c r="H8" s="5">
        <v>0.69930555555555551</v>
      </c>
      <c r="I8" s="4">
        <v>45925</v>
      </c>
      <c r="J8" s="5">
        <v>0.69444444444444442</v>
      </c>
      <c r="K8" s="8"/>
      <c r="L8" s="8"/>
      <c r="M8" s="8"/>
      <c r="N8" s="8"/>
      <c r="O8" s="6" t="s">
        <v>272</v>
      </c>
      <c r="P8" s="6" t="s">
        <v>273</v>
      </c>
      <c r="Q8" s="6" t="s">
        <v>944</v>
      </c>
      <c r="R8" s="6" t="s">
        <v>945</v>
      </c>
      <c r="S8" s="6" t="s">
        <v>240</v>
      </c>
      <c r="T8" s="9">
        <v>675016</v>
      </c>
      <c r="U8" s="7">
        <v>5</v>
      </c>
      <c r="V8" s="6" t="s">
        <v>36</v>
      </c>
      <c r="W8" s="7">
        <v>16.5</v>
      </c>
      <c r="X8" s="6" t="s">
        <v>35</v>
      </c>
      <c r="Y8" s="7">
        <v>1.6</v>
      </c>
      <c r="Z8" s="7">
        <v>0.5</v>
      </c>
      <c r="AA8" s="6" t="s">
        <v>266</v>
      </c>
      <c r="AB8" s="6" t="s">
        <v>38</v>
      </c>
      <c r="AC8" s="6"/>
      <c r="AD8" s="6" t="s">
        <v>39</v>
      </c>
      <c r="AE8" s="6"/>
      <c r="AF8" s="9"/>
      <c r="AG8" s="6" t="s">
        <v>37</v>
      </c>
      <c r="AH8" s="7">
        <v>60</v>
      </c>
      <c r="AI8" s="6" t="s">
        <v>40</v>
      </c>
      <c r="AJ8" s="6" t="s">
        <v>238</v>
      </c>
      <c r="AK8" s="6"/>
      <c r="AL8" s="6" t="s">
        <v>41</v>
      </c>
      <c r="AM8" s="6" t="s">
        <v>41</v>
      </c>
      <c r="AN8" s="6"/>
    </row>
    <row r="9" spans="1:40" s="3" customFormat="1" x14ac:dyDescent="0.25">
      <c r="A9" s="4">
        <v>45944</v>
      </c>
      <c r="B9" s="6" t="s">
        <v>111</v>
      </c>
      <c r="C9" t="str">
        <f>_xlfn.XLOOKUP([1]!Table3[[#This Row],[station]],[1]station_waterbody_county!A:A, [1]station_waterbody_county!B:B)</f>
        <v>Marie Joseph Harbour</v>
      </c>
      <c r="D9" t="str">
        <f>_xlfn.XLOOKUP([1]!Table3[[#This Row],[station]],[1]station_waterbody_county!A:A, [1]station_waterbody_county!C:C)</f>
        <v>Guysborough</v>
      </c>
      <c r="E9" s="6"/>
      <c r="F9" s="6" t="s">
        <v>255</v>
      </c>
      <c r="G9" s="4">
        <v>45547</v>
      </c>
      <c r="H9" s="5">
        <v>0.69930555555555551</v>
      </c>
      <c r="I9" s="4">
        <v>45925</v>
      </c>
      <c r="J9" s="5">
        <v>0.69444444444444442</v>
      </c>
      <c r="K9" s="8"/>
      <c r="L9" s="8"/>
      <c r="M9" s="8"/>
      <c r="N9" s="8"/>
      <c r="O9" s="6" t="s">
        <v>272</v>
      </c>
      <c r="P9" s="6" t="s">
        <v>273</v>
      </c>
      <c r="Q9" s="6" t="s">
        <v>944</v>
      </c>
      <c r="R9" s="6" t="s">
        <v>945</v>
      </c>
      <c r="S9" s="6" t="s">
        <v>239</v>
      </c>
      <c r="T9" s="9">
        <v>21650150</v>
      </c>
      <c r="U9" s="7">
        <v>10</v>
      </c>
      <c r="V9" s="6" t="s">
        <v>36</v>
      </c>
      <c r="W9" s="7">
        <v>16.5</v>
      </c>
      <c r="X9" s="6" t="s">
        <v>35</v>
      </c>
      <c r="Y9" s="7">
        <v>1.6</v>
      </c>
      <c r="Z9" s="7">
        <v>0.5</v>
      </c>
      <c r="AA9" s="6" t="s">
        <v>266</v>
      </c>
      <c r="AB9" s="6" t="s">
        <v>38</v>
      </c>
      <c r="AC9" s="6"/>
      <c r="AD9" s="6" t="s">
        <v>39</v>
      </c>
      <c r="AE9" s="6"/>
      <c r="AF9" s="9"/>
      <c r="AG9" s="6" t="s">
        <v>37</v>
      </c>
      <c r="AH9" s="7">
        <v>60</v>
      </c>
      <c r="AI9" s="6" t="s">
        <v>40</v>
      </c>
      <c r="AJ9" s="6" t="s">
        <v>238</v>
      </c>
      <c r="AK9" s="6"/>
      <c r="AL9" s="6" t="s">
        <v>41</v>
      </c>
      <c r="AM9" s="6" t="s">
        <v>41</v>
      </c>
      <c r="AN9" s="6"/>
    </row>
    <row r="10" spans="1:40" s="3" customFormat="1" x14ac:dyDescent="0.25">
      <c r="A10" s="4">
        <v>45944</v>
      </c>
      <c r="B10" s="6" t="s">
        <v>111</v>
      </c>
      <c r="C10" t="str">
        <f>_xlfn.XLOOKUP([1]!Table3[[#This Row],[station]],[1]station_waterbody_county!A:A, [1]station_waterbody_county!B:B)</f>
        <v>Marie Joseph Harbour</v>
      </c>
      <c r="D10" t="str">
        <f>_xlfn.XLOOKUP([1]!Table3[[#This Row],[station]],[1]station_waterbody_county!A:A, [1]station_waterbody_county!C:C)</f>
        <v>Guysborough</v>
      </c>
      <c r="E10" s="6"/>
      <c r="F10" s="6" t="s">
        <v>255</v>
      </c>
      <c r="G10" s="4">
        <v>45547</v>
      </c>
      <c r="H10" s="5">
        <v>0.69930555555555551</v>
      </c>
      <c r="I10" s="4">
        <v>45925</v>
      </c>
      <c r="J10" s="5">
        <v>0.69444444444444442</v>
      </c>
      <c r="K10" s="8"/>
      <c r="L10" s="8"/>
      <c r="M10" s="8"/>
      <c r="N10" s="8"/>
      <c r="O10" s="6" t="s">
        <v>272</v>
      </c>
      <c r="P10" s="6" t="s">
        <v>273</v>
      </c>
      <c r="Q10" s="6" t="s">
        <v>944</v>
      </c>
      <c r="R10" s="6" t="s">
        <v>945</v>
      </c>
      <c r="S10" s="6" t="s">
        <v>239</v>
      </c>
      <c r="T10" s="9">
        <v>20330413</v>
      </c>
      <c r="U10" s="7">
        <v>15</v>
      </c>
      <c r="V10" s="6" t="s">
        <v>36</v>
      </c>
      <c r="W10" s="7">
        <v>16.5</v>
      </c>
      <c r="X10" s="6" t="s">
        <v>35</v>
      </c>
      <c r="Y10" s="7">
        <v>1.6</v>
      </c>
      <c r="Z10" s="7">
        <v>0.5</v>
      </c>
      <c r="AA10" s="6" t="s">
        <v>266</v>
      </c>
      <c r="AB10" s="6" t="s">
        <v>38</v>
      </c>
      <c r="AC10" s="6"/>
      <c r="AD10" s="6" t="s">
        <v>39</v>
      </c>
      <c r="AE10" s="6"/>
      <c r="AF10" s="9"/>
      <c r="AG10" s="6" t="s">
        <v>37</v>
      </c>
      <c r="AH10" s="7">
        <v>60</v>
      </c>
      <c r="AI10" s="6" t="s">
        <v>40</v>
      </c>
      <c r="AJ10" s="6" t="s">
        <v>238</v>
      </c>
      <c r="AK10" s="6"/>
      <c r="AL10" s="6" t="s">
        <v>41</v>
      </c>
      <c r="AM10" s="6" t="s">
        <v>41</v>
      </c>
      <c r="AN10" s="6"/>
    </row>
    <row r="11" spans="1:40" s="3" customFormat="1" x14ac:dyDescent="0.25">
      <c r="A11" s="4">
        <v>45944</v>
      </c>
      <c r="B11" s="6" t="s">
        <v>111</v>
      </c>
      <c r="C11" t="str">
        <f>_xlfn.XLOOKUP([1]!Table3[[#This Row],[station]],[1]station_waterbody_county!A:A, [1]station_waterbody_county!B:B)</f>
        <v>Marie Joseph Harbour</v>
      </c>
      <c r="D11" t="str">
        <f>_xlfn.XLOOKUP([1]!Table3[[#This Row],[station]],[1]station_waterbody_county!A:A, [1]station_waterbody_county!C:C)</f>
        <v>Guysborough</v>
      </c>
      <c r="E11" s="6"/>
      <c r="F11" s="6" t="s">
        <v>255</v>
      </c>
      <c r="G11" s="4">
        <v>45547</v>
      </c>
      <c r="H11" s="5">
        <v>0.69930555555555551</v>
      </c>
      <c r="I11" s="4">
        <v>45925</v>
      </c>
      <c r="J11" s="5">
        <v>0.69444444444444442</v>
      </c>
      <c r="K11" s="8"/>
      <c r="L11" s="8"/>
      <c r="M11" s="8"/>
      <c r="N11" s="8"/>
      <c r="O11" s="6" t="s">
        <v>272</v>
      </c>
      <c r="P11" s="6" t="s">
        <v>273</v>
      </c>
      <c r="Q11" s="6" t="s">
        <v>944</v>
      </c>
      <c r="R11" s="6" t="s">
        <v>945</v>
      </c>
      <c r="S11" s="6" t="s">
        <v>42</v>
      </c>
      <c r="T11" s="9">
        <v>547096</v>
      </c>
      <c r="U11" s="7">
        <v>15</v>
      </c>
      <c r="V11" s="6" t="s">
        <v>36</v>
      </c>
      <c r="W11" s="7">
        <v>16.5</v>
      </c>
      <c r="X11" s="6" t="s">
        <v>35</v>
      </c>
      <c r="Y11" s="7">
        <v>1.6</v>
      </c>
      <c r="Z11" s="7">
        <v>0.5</v>
      </c>
      <c r="AA11" s="6" t="s">
        <v>266</v>
      </c>
      <c r="AB11" s="6" t="s">
        <v>38</v>
      </c>
      <c r="AC11" s="6"/>
      <c r="AD11" s="6" t="s">
        <v>39</v>
      </c>
      <c r="AE11" s="6"/>
      <c r="AF11" s="9"/>
      <c r="AG11" s="6" t="s">
        <v>37</v>
      </c>
      <c r="AH11" s="7">
        <v>60</v>
      </c>
      <c r="AI11" s="6" t="s">
        <v>40</v>
      </c>
      <c r="AJ11" s="6" t="s">
        <v>238</v>
      </c>
      <c r="AK11" s="6"/>
      <c r="AL11" s="6" t="s">
        <v>41</v>
      </c>
      <c r="AM11" s="6" t="s">
        <v>41</v>
      </c>
      <c r="AN11" s="6"/>
    </row>
    <row r="12" spans="1:40" s="3" customFormat="1" x14ac:dyDescent="0.25">
      <c r="A12" s="4">
        <v>45944</v>
      </c>
      <c r="B12" s="6" t="s">
        <v>119</v>
      </c>
      <c r="C12" t="str">
        <f>_xlfn.XLOOKUP([1]!Table3[[#This Row],[station]],[1]station_waterbody_county!A:A, [1]station_waterbody_county!B:B)</f>
        <v>Whitehead Harbour</v>
      </c>
      <c r="D12" t="str">
        <f>_xlfn.XLOOKUP([1]!Table3[[#This Row],[station]],[1]station_waterbody_county!A:A, [1]station_waterbody_county!C:C)</f>
        <v>Guysborough</v>
      </c>
      <c r="E12" s="6" t="s">
        <v>247</v>
      </c>
      <c r="F12" s="6" t="s">
        <v>255</v>
      </c>
      <c r="G12" s="4">
        <v>45600</v>
      </c>
      <c r="H12" s="5">
        <v>0.52430555555555558</v>
      </c>
      <c r="I12" s="4">
        <v>45919</v>
      </c>
      <c r="J12" s="5">
        <v>0.48680555555555555</v>
      </c>
      <c r="K12" s="8"/>
      <c r="L12" s="8"/>
      <c r="M12" s="8"/>
      <c r="N12" s="8"/>
      <c r="O12" s="6" t="s">
        <v>281</v>
      </c>
      <c r="P12" s="6" t="s">
        <v>282</v>
      </c>
      <c r="Q12" s="6" t="s">
        <v>930</v>
      </c>
      <c r="R12" s="6" t="s">
        <v>931</v>
      </c>
      <c r="S12" s="6" t="s">
        <v>239</v>
      </c>
      <c r="T12" s="9">
        <v>22048592</v>
      </c>
      <c r="U12" s="7">
        <v>1</v>
      </c>
      <c r="V12" s="6" t="s">
        <v>243</v>
      </c>
      <c r="W12" s="7"/>
      <c r="X12" s="6" t="s">
        <v>241</v>
      </c>
      <c r="Y12" s="7"/>
      <c r="Z12" s="7"/>
      <c r="AA12" s="6"/>
      <c r="AB12" s="6"/>
      <c r="AC12" s="6"/>
      <c r="AD12" s="6"/>
      <c r="AE12" s="6"/>
      <c r="AF12" s="9"/>
      <c r="AG12" s="6"/>
      <c r="AH12" s="7"/>
      <c r="AI12" s="6" t="s">
        <v>40</v>
      </c>
      <c r="AJ12" s="6" t="s">
        <v>238</v>
      </c>
      <c r="AK12" s="6"/>
      <c r="AL12" s="6" t="s">
        <v>280</v>
      </c>
      <c r="AM12" s="6" t="s">
        <v>923</v>
      </c>
      <c r="AN12" s="6"/>
    </row>
    <row r="13" spans="1:40" s="3" customFormat="1" x14ac:dyDescent="0.25">
      <c r="A13" s="4">
        <v>45944</v>
      </c>
      <c r="B13" s="6" t="s">
        <v>126</v>
      </c>
      <c r="C13" t="str">
        <f>_xlfn.XLOOKUP([1]!Table3[[#This Row],[station]],[1]station_waterbody_county!A:A, [1]station_waterbody_county!B:B)</f>
        <v>Tor Bay</v>
      </c>
      <c r="D13" t="str">
        <f>_xlfn.XLOOKUP([1]!Table3[[#This Row],[station]],[1]station_waterbody_county!A:A, [1]station_waterbody_county!C:C)</f>
        <v>Guysborough</v>
      </c>
      <c r="E13" s="6"/>
      <c r="F13" s="6" t="s">
        <v>255</v>
      </c>
      <c r="G13" s="4">
        <v>45603</v>
      </c>
      <c r="H13" s="5">
        <v>0.54791666666666672</v>
      </c>
      <c r="I13" s="4">
        <v>45925</v>
      </c>
      <c r="J13" s="5">
        <v>0.52708333333333335</v>
      </c>
      <c r="K13" s="8"/>
      <c r="L13" s="8"/>
      <c r="M13" s="8"/>
      <c r="N13" s="8"/>
      <c r="O13" s="6" t="s">
        <v>289</v>
      </c>
      <c r="P13" s="6" t="s">
        <v>290</v>
      </c>
      <c r="Q13" s="6" t="s">
        <v>956</v>
      </c>
      <c r="R13" s="6" t="s">
        <v>290</v>
      </c>
      <c r="S13" s="6" t="s">
        <v>239</v>
      </c>
      <c r="T13" s="9">
        <v>22055906</v>
      </c>
      <c r="U13" s="7">
        <v>2</v>
      </c>
      <c r="V13" s="6" t="s">
        <v>36</v>
      </c>
      <c r="W13" s="7">
        <v>18.899999999999999</v>
      </c>
      <c r="X13" s="6" t="s">
        <v>35</v>
      </c>
      <c r="Y13" s="7">
        <v>0.9</v>
      </c>
      <c r="Z13" s="7">
        <v>1</v>
      </c>
      <c r="AA13" s="6" t="s">
        <v>242</v>
      </c>
      <c r="AB13" s="6" t="s">
        <v>38</v>
      </c>
      <c r="AC13" s="6"/>
      <c r="AD13" s="6" t="s">
        <v>39</v>
      </c>
      <c r="AE13" s="6"/>
      <c r="AF13" s="9"/>
      <c r="AG13" s="6" t="s">
        <v>37</v>
      </c>
      <c r="AH13" s="7">
        <v>60</v>
      </c>
      <c r="AI13" s="6" t="s">
        <v>40</v>
      </c>
      <c r="AJ13" s="6" t="s">
        <v>238</v>
      </c>
      <c r="AK13" s="6" t="s">
        <v>35</v>
      </c>
      <c r="AL13" s="6" t="s">
        <v>41</v>
      </c>
      <c r="AM13" s="6" t="s">
        <v>41</v>
      </c>
      <c r="AN13" s="6" t="s">
        <v>291</v>
      </c>
    </row>
    <row r="14" spans="1:40" s="3" customFormat="1" x14ac:dyDescent="0.25">
      <c r="A14" s="4">
        <v>45944</v>
      </c>
      <c r="B14" s="6" t="s">
        <v>126</v>
      </c>
      <c r="C14" t="str">
        <f>_xlfn.XLOOKUP([1]!Table3[[#This Row],[station]],[1]station_waterbody_county!A:A, [1]station_waterbody_county!B:B)</f>
        <v>Tor Bay</v>
      </c>
      <c r="D14" t="str">
        <f>_xlfn.XLOOKUP([1]!Table3[[#This Row],[station]],[1]station_waterbody_county!A:A, [1]station_waterbody_county!C:C)</f>
        <v>Guysborough</v>
      </c>
      <c r="E14" s="6"/>
      <c r="F14" s="6" t="s">
        <v>255</v>
      </c>
      <c r="G14" s="4">
        <v>45603</v>
      </c>
      <c r="H14" s="5">
        <v>0.54791666666666672</v>
      </c>
      <c r="I14" s="4">
        <v>45925</v>
      </c>
      <c r="J14" s="5">
        <v>0.52708333333333335</v>
      </c>
      <c r="K14" s="8"/>
      <c r="L14" s="8"/>
      <c r="M14" s="8"/>
      <c r="N14" s="8"/>
      <c r="O14" s="6" t="s">
        <v>289</v>
      </c>
      <c r="P14" s="6" t="s">
        <v>290</v>
      </c>
      <c r="Q14" s="6" t="s">
        <v>956</v>
      </c>
      <c r="R14" s="6" t="s">
        <v>290</v>
      </c>
      <c r="S14" s="6" t="s">
        <v>240</v>
      </c>
      <c r="T14" s="9">
        <v>671427</v>
      </c>
      <c r="U14" s="7">
        <v>5</v>
      </c>
      <c r="V14" s="6" t="s">
        <v>36</v>
      </c>
      <c r="W14" s="7">
        <v>18.899999999999999</v>
      </c>
      <c r="X14" s="6" t="s">
        <v>35</v>
      </c>
      <c r="Y14" s="7">
        <v>0.9</v>
      </c>
      <c r="Z14" s="7">
        <v>1</v>
      </c>
      <c r="AA14" s="6" t="s">
        <v>242</v>
      </c>
      <c r="AB14" s="6" t="s">
        <v>38</v>
      </c>
      <c r="AC14" s="6"/>
      <c r="AD14" s="6" t="s">
        <v>39</v>
      </c>
      <c r="AE14" s="6"/>
      <c r="AF14" s="9"/>
      <c r="AG14" s="6" t="s">
        <v>37</v>
      </c>
      <c r="AH14" s="7">
        <v>60</v>
      </c>
      <c r="AI14" s="6" t="s">
        <v>40</v>
      </c>
      <c r="AJ14" s="6" t="s">
        <v>238</v>
      </c>
      <c r="AK14" s="6" t="s">
        <v>35</v>
      </c>
      <c r="AL14" s="6" t="s">
        <v>41</v>
      </c>
      <c r="AM14" s="6" t="s">
        <v>41</v>
      </c>
      <c r="AN14" s="6" t="s">
        <v>291</v>
      </c>
    </row>
    <row r="15" spans="1:40" s="3" customFormat="1" x14ac:dyDescent="0.25">
      <c r="A15" s="4">
        <v>45944</v>
      </c>
      <c r="B15" s="6" t="s">
        <v>126</v>
      </c>
      <c r="C15" t="str">
        <f>_xlfn.XLOOKUP([1]!Table3[[#This Row],[station]],[1]station_waterbody_county!A:A, [1]station_waterbody_county!B:B)</f>
        <v>Tor Bay</v>
      </c>
      <c r="D15" t="str">
        <f>_xlfn.XLOOKUP([1]!Table3[[#This Row],[station]],[1]station_waterbody_county!A:A, [1]station_waterbody_county!C:C)</f>
        <v>Guysborough</v>
      </c>
      <c r="E15" s="6"/>
      <c r="F15" s="6" t="s">
        <v>255</v>
      </c>
      <c r="G15" s="4">
        <v>45603</v>
      </c>
      <c r="H15" s="5">
        <v>0.54791666666666672</v>
      </c>
      <c r="I15" s="4">
        <v>45925</v>
      </c>
      <c r="J15" s="5">
        <v>0.52708333333333335</v>
      </c>
      <c r="K15" s="8"/>
      <c r="L15" s="8"/>
      <c r="M15" s="8"/>
      <c r="N15" s="8"/>
      <c r="O15" s="6" t="s">
        <v>289</v>
      </c>
      <c r="P15" s="6" t="s">
        <v>290</v>
      </c>
      <c r="Q15" s="6" t="s">
        <v>956</v>
      </c>
      <c r="R15" s="6" t="s">
        <v>290</v>
      </c>
      <c r="S15" s="6" t="s">
        <v>239</v>
      </c>
      <c r="T15" s="9">
        <v>22048599</v>
      </c>
      <c r="U15" s="7">
        <v>10</v>
      </c>
      <c r="V15" s="6" t="s">
        <v>36</v>
      </c>
      <c r="W15" s="7">
        <v>18.899999999999999</v>
      </c>
      <c r="X15" s="6" t="s">
        <v>35</v>
      </c>
      <c r="Y15" s="7">
        <v>0.9</v>
      </c>
      <c r="Z15" s="7">
        <v>1</v>
      </c>
      <c r="AA15" s="6" t="s">
        <v>242</v>
      </c>
      <c r="AB15" s="6" t="s">
        <v>38</v>
      </c>
      <c r="AC15" s="6"/>
      <c r="AD15" s="6" t="s">
        <v>39</v>
      </c>
      <c r="AE15" s="6"/>
      <c r="AF15" s="9"/>
      <c r="AG15" s="6" t="s">
        <v>37</v>
      </c>
      <c r="AH15" s="7">
        <v>60</v>
      </c>
      <c r="AI15" s="6" t="s">
        <v>40</v>
      </c>
      <c r="AJ15" s="6" t="s">
        <v>238</v>
      </c>
      <c r="AK15" s="6" t="s">
        <v>35</v>
      </c>
      <c r="AL15" s="6" t="s">
        <v>41</v>
      </c>
      <c r="AM15" s="6" t="s">
        <v>41</v>
      </c>
      <c r="AN15" s="6" t="s">
        <v>291</v>
      </c>
    </row>
    <row r="16" spans="1:40" s="3" customFormat="1" x14ac:dyDescent="0.25">
      <c r="A16" s="4">
        <v>45944</v>
      </c>
      <c r="B16" s="6" t="s">
        <v>126</v>
      </c>
      <c r="C16" t="str">
        <f>_xlfn.XLOOKUP([1]!Table3[[#This Row],[station]],[1]station_waterbody_county!A:A, [1]station_waterbody_county!B:B)</f>
        <v>Tor Bay</v>
      </c>
      <c r="D16" t="str">
        <f>_xlfn.XLOOKUP([1]!Table3[[#This Row],[station]],[1]station_waterbody_county!A:A, [1]station_waterbody_county!C:C)</f>
        <v>Guysborough</v>
      </c>
      <c r="E16" s="6"/>
      <c r="F16" s="6" t="s">
        <v>255</v>
      </c>
      <c r="G16" s="4">
        <v>45603</v>
      </c>
      <c r="H16" s="5">
        <v>0.54791666666666672</v>
      </c>
      <c r="I16" s="4">
        <v>45925</v>
      </c>
      <c r="J16" s="5">
        <v>0.52708333333333335</v>
      </c>
      <c r="K16" s="8"/>
      <c r="L16" s="8"/>
      <c r="M16" s="8"/>
      <c r="N16" s="8"/>
      <c r="O16" s="6" t="s">
        <v>289</v>
      </c>
      <c r="P16" s="6" t="s">
        <v>290</v>
      </c>
      <c r="Q16" s="6" t="s">
        <v>956</v>
      </c>
      <c r="R16" s="6" t="s">
        <v>290</v>
      </c>
      <c r="S16" s="6" t="s">
        <v>239</v>
      </c>
      <c r="T16" s="9">
        <v>22048582</v>
      </c>
      <c r="U16" s="7">
        <v>15</v>
      </c>
      <c r="V16" s="6" t="s">
        <v>36</v>
      </c>
      <c r="W16" s="7">
        <v>18.899999999999999</v>
      </c>
      <c r="X16" s="6" t="s">
        <v>35</v>
      </c>
      <c r="Y16" s="7">
        <v>0.9</v>
      </c>
      <c r="Z16" s="7">
        <v>1</v>
      </c>
      <c r="AA16" s="6" t="s">
        <v>242</v>
      </c>
      <c r="AB16" s="6" t="s">
        <v>38</v>
      </c>
      <c r="AC16" s="6"/>
      <c r="AD16" s="6" t="s">
        <v>39</v>
      </c>
      <c r="AE16" s="6"/>
      <c r="AF16" s="9"/>
      <c r="AG16" s="6" t="s">
        <v>37</v>
      </c>
      <c r="AH16" s="7">
        <v>60</v>
      </c>
      <c r="AI16" s="6" t="s">
        <v>40</v>
      </c>
      <c r="AJ16" s="6" t="s">
        <v>238</v>
      </c>
      <c r="AK16" s="6" t="s">
        <v>35</v>
      </c>
      <c r="AL16" s="6" t="s">
        <v>41</v>
      </c>
      <c r="AM16" s="6" t="s">
        <v>41</v>
      </c>
      <c r="AN16" s="6" t="s">
        <v>291</v>
      </c>
    </row>
    <row r="17" spans="1:40" s="3" customFormat="1" x14ac:dyDescent="0.25">
      <c r="A17" s="4">
        <v>45944</v>
      </c>
      <c r="B17" s="6" t="s">
        <v>126</v>
      </c>
      <c r="C17" t="str">
        <f>_xlfn.XLOOKUP([1]!Table3[[#This Row],[station]],[1]station_waterbody_county!A:A, [1]station_waterbody_county!B:B)</f>
        <v>Tor Bay</v>
      </c>
      <c r="D17" t="str">
        <f>_xlfn.XLOOKUP([1]!Table3[[#This Row],[station]],[1]station_waterbody_county!A:A, [1]station_waterbody_county!C:C)</f>
        <v>Guysborough</v>
      </c>
      <c r="E17" s="6"/>
      <c r="F17" s="6" t="s">
        <v>255</v>
      </c>
      <c r="G17" s="4">
        <v>45603</v>
      </c>
      <c r="H17" s="5">
        <v>0.54791666666666672</v>
      </c>
      <c r="I17" s="4">
        <v>45925</v>
      </c>
      <c r="J17" s="5">
        <v>0.52708333333333335</v>
      </c>
      <c r="K17" s="8"/>
      <c r="L17" s="8"/>
      <c r="M17" s="8"/>
      <c r="N17" s="8"/>
      <c r="O17" s="6" t="s">
        <v>289</v>
      </c>
      <c r="P17" s="6" t="s">
        <v>290</v>
      </c>
      <c r="Q17" s="6" t="s">
        <v>956</v>
      </c>
      <c r="R17" s="6" t="s">
        <v>290</v>
      </c>
      <c r="S17" s="6" t="s">
        <v>42</v>
      </c>
      <c r="T17" s="9">
        <v>549341</v>
      </c>
      <c r="U17" s="7">
        <v>20</v>
      </c>
      <c r="V17" s="6" t="s">
        <v>36</v>
      </c>
      <c r="W17" s="7">
        <v>18.899999999999999</v>
      </c>
      <c r="X17" s="6" t="s">
        <v>35</v>
      </c>
      <c r="Y17" s="7">
        <v>0.9</v>
      </c>
      <c r="Z17" s="7">
        <v>1</v>
      </c>
      <c r="AA17" s="6" t="s">
        <v>242</v>
      </c>
      <c r="AB17" s="6" t="s">
        <v>38</v>
      </c>
      <c r="AC17" s="6"/>
      <c r="AD17" s="6" t="s">
        <v>39</v>
      </c>
      <c r="AE17" s="6"/>
      <c r="AF17" s="9"/>
      <c r="AG17" s="6" t="s">
        <v>37</v>
      </c>
      <c r="AH17" s="7">
        <v>60</v>
      </c>
      <c r="AI17" s="6" t="s">
        <v>40</v>
      </c>
      <c r="AJ17" s="6" t="s">
        <v>238</v>
      </c>
      <c r="AK17" s="6" t="s">
        <v>35</v>
      </c>
      <c r="AL17" s="6" t="s">
        <v>41</v>
      </c>
      <c r="AM17" s="6" t="s">
        <v>41</v>
      </c>
      <c r="AN17" s="6" t="s">
        <v>291</v>
      </c>
    </row>
    <row r="18" spans="1:40" s="3" customFormat="1" x14ac:dyDescent="0.25">
      <c r="A18" s="4">
        <v>45944</v>
      </c>
      <c r="B18" s="6" t="s">
        <v>126</v>
      </c>
      <c r="C18" t="str">
        <f>_xlfn.XLOOKUP([1]!Table3[[#This Row],[station]],[1]station_waterbody_county!A:A, [1]station_waterbody_county!B:B)</f>
        <v>Tor Bay</v>
      </c>
      <c r="D18" t="str">
        <f>_xlfn.XLOOKUP([1]!Table3[[#This Row],[station]],[1]station_waterbody_county!A:A, [1]station_waterbody_county!C:C)</f>
        <v>Guysborough</v>
      </c>
      <c r="E18" s="6"/>
      <c r="F18" s="6" t="s">
        <v>255</v>
      </c>
      <c r="G18" s="4">
        <v>45603</v>
      </c>
      <c r="H18" s="5">
        <v>0.54791666666666672</v>
      </c>
      <c r="I18" s="4">
        <v>45925</v>
      </c>
      <c r="J18" s="5">
        <v>0.52708333333333335</v>
      </c>
      <c r="K18" s="8"/>
      <c r="L18" s="8"/>
      <c r="M18" s="8"/>
      <c r="N18" s="8"/>
      <c r="O18" s="6" t="s">
        <v>289</v>
      </c>
      <c r="P18" s="6" t="s">
        <v>290</v>
      </c>
      <c r="Q18" s="6" t="s">
        <v>956</v>
      </c>
      <c r="R18" s="6" t="s">
        <v>290</v>
      </c>
      <c r="S18" s="6" t="s">
        <v>239</v>
      </c>
      <c r="T18" s="9">
        <v>22055903</v>
      </c>
      <c r="U18" s="7">
        <v>20</v>
      </c>
      <c r="V18" s="6" t="s">
        <v>36</v>
      </c>
      <c r="W18" s="7">
        <v>18.899999999999999</v>
      </c>
      <c r="X18" s="6" t="s">
        <v>35</v>
      </c>
      <c r="Y18" s="7">
        <v>0.9</v>
      </c>
      <c r="Z18" s="7">
        <v>1</v>
      </c>
      <c r="AA18" s="6" t="s">
        <v>242</v>
      </c>
      <c r="AB18" s="6" t="s">
        <v>38</v>
      </c>
      <c r="AC18" s="6"/>
      <c r="AD18" s="6" t="s">
        <v>39</v>
      </c>
      <c r="AE18" s="6"/>
      <c r="AF18" s="9"/>
      <c r="AG18" s="6" t="s">
        <v>37</v>
      </c>
      <c r="AH18" s="7">
        <v>60</v>
      </c>
      <c r="AI18" s="6" t="s">
        <v>40</v>
      </c>
      <c r="AJ18" s="6" t="s">
        <v>238</v>
      </c>
      <c r="AK18" s="6" t="s">
        <v>35</v>
      </c>
      <c r="AL18" s="6" t="s">
        <v>41</v>
      </c>
      <c r="AM18" s="6" t="s">
        <v>41</v>
      </c>
      <c r="AN18" s="6" t="s">
        <v>291</v>
      </c>
    </row>
    <row r="19" spans="1:40" s="3" customFormat="1" x14ac:dyDescent="0.25">
      <c r="A19" s="4">
        <v>45944</v>
      </c>
      <c r="B19" s="6" t="s">
        <v>172</v>
      </c>
      <c r="C19" t="str">
        <f>_xlfn.XLOOKUP([1]!Table3[[#This Row],[station]],[1]station_waterbody_county!A:A, [1]station_waterbody_county!B:B)</f>
        <v>Dover Bay</v>
      </c>
      <c r="D19" t="str">
        <f>_xlfn.XLOOKUP([1]!Table3[[#This Row],[station]],[1]station_waterbody_county!A:A, [1]station_waterbody_county!C:C)</f>
        <v>Guysborough</v>
      </c>
      <c r="E19" s="6"/>
      <c r="F19" s="6" t="s">
        <v>255</v>
      </c>
      <c r="G19" s="4">
        <v>45603</v>
      </c>
      <c r="H19" s="5">
        <v>0.67013888888888884</v>
      </c>
      <c r="I19" s="4">
        <v>45925</v>
      </c>
      <c r="J19" s="5">
        <v>0.61944444444444446</v>
      </c>
      <c r="K19" s="8"/>
      <c r="L19" s="8"/>
      <c r="M19" s="8"/>
      <c r="N19" s="8"/>
      <c r="O19" s="6" t="s">
        <v>295</v>
      </c>
      <c r="P19" s="6" t="s">
        <v>294</v>
      </c>
      <c r="Q19" s="6" t="s">
        <v>934</v>
      </c>
      <c r="R19" s="6" t="s">
        <v>935</v>
      </c>
      <c r="S19" s="6" t="s">
        <v>239</v>
      </c>
      <c r="T19" s="9">
        <v>22055905</v>
      </c>
      <c r="U19" s="7">
        <v>2</v>
      </c>
      <c r="V19" s="6" t="s">
        <v>36</v>
      </c>
      <c r="W19" s="7">
        <v>45.1</v>
      </c>
      <c r="X19" s="6" t="s">
        <v>35</v>
      </c>
      <c r="Y19" s="7">
        <v>1.3</v>
      </c>
      <c r="Z19" s="7">
        <v>1</v>
      </c>
      <c r="AA19" s="6" t="s">
        <v>266</v>
      </c>
      <c r="AB19" s="6" t="s">
        <v>38</v>
      </c>
      <c r="AC19" s="6"/>
      <c r="AD19" s="6" t="s">
        <v>39</v>
      </c>
      <c r="AE19" s="6"/>
      <c r="AF19" s="9"/>
      <c r="AG19" s="6" t="s">
        <v>246</v>
      </c>
      <c r="AH19" s="7">
        <v>68.5</v>
      </c>
      <c r="AI19" s="6" t="s">
        <v>40</v>
      </c>
      <c r="AJ19" s="6" t="s">
        <v>238</v>
      </c>
      <c r="AK19" s="6" t="s">
        <v>35</v>
      </c>
      <c r="AL19" s="6" t="s">
        <v>41</v>
      </c>
      <c r="AM19" s="6" t="s">
        <v>41</v>
      </c>
      <c r="AN19" s="6"/>
    </row>
    <row r="20" spans="1:40" s="3" customFormat="1" x14ac:dyDescent="0.25">
      <c r="A20" s="4">
        <v>45944</v>
      </c>
      <c r="B20" s="6" t="s">
        <v>172</v>
      </c>
      <c r="C20" t="str">
        <f>_xlfn.XLOOKUP([1]!Table3[[#This Row],[station]],[1]station_waterbody_county!A:A, [1]station_waterbody_county!B:B)</f>
        <v>Dover Bay</v>
      </c>
      <c r="D20" t="str">
        <f>_xlfn.XLOOKUP([1]!Table3[[#This Row],[station]],[1]station_waterbody_county!A:A, [1]station_waterbody_county!C:C)</f>
        <v>Guysborough</v>
      </c>
      <c r="E20" s="6"/>
      <c r="F20" s="6" t="s">
        <v>255</v>
      </c>
      <c r="G20" s="4">
        <v>45603</v>
      </c>
      <c r="H20" s="5">
        <v>0.67013888888888884</v>
      </c>
      <c r="I20" s="4">
        <v>45925</v>
      </c>
      <c r="J20" s="5">
        <v>0.61944444444444446</v>
      </c>
      <c r="K20" s="8"/>
      <c r="L20" s="8"/>
      <c r="M20" s="8"/>
      <c r="N20" s="8"/>
      <c r="O20" s="6" t="s">
        <v>295</v>
      </c>
      <c r="P20" s="6" t="s">
        <v>294</v>
      </c>
      <c r="Q20" s="6" t="s">
        <v>934</v>
      </c>
      <c r="R20" s="6" t="s">
        <v>935</v>
      </c>
      <c r="S20" s="6" t="s">
        <v>240</v>
      </c>
      <c r="T20" s="9">
        <v>671318</v>
      </c>
      <c r="U20" s="7">
        <v>5</v>
      </c>
      <c r="V20" s="6" t="s">
        <v>36</v>
      </c>
      <c r="W20" s="7">
        <v>45.1</v>
      </c>
      <c r="X20" s="6" t="s">
        <v>35</v>
      </c>
      <c r="Y20" s="7">
        <v>1.3</v>
      </c>
      <c r="Z20" s="7">
        <v>1</v>
      </c>
      <c r="AA20" s="6" t="s">
        <v>266</v>
      </c>
      <c r="AB20" s="6" t="s">
        <v>38</v>
      </c>
      <c r="AC20" s="6"/>
      <c r="AD20" s="6" t="s">
        <v>39</v>
      </c>
      <c r="AE20" s="6"/>
      <c r="AF20" s="9"/>
      <c r="AG20" s="6" t="s">
        <v>246</v>
      </c>
      <c r="AH20" s="7">
        <v>68.5</v>
      </c>
      <c r="AI20" s="6" t="s">
        <v>40</v>
      </c>
      <c r="AJ20" s="6" t="s">
        <v>238</v>
      </c>
      <c r="AK20" s="6" t="s">
        <v>35</v>
      </c>
      <c r="AL20" s="6" t="s">
        <v>41</v>
      </c>
      <c r="AM20" s="6" t="s">
        <v>41</v>
      </c>
      <c r="AN20" s="6"/>
    </row>
    <row r="21" spans="1:40" s="3" customFormat="1" x14ac:dyDescent="0.25">
      <c r="A21" s="4">
        <v>45944</v>
      </c>
      <c r="B21" s="6" t="s">
        <v>172</v>
      </c>
      <c r="C21" t="str">
        <f>_xlfn.XLOOKUP([1]!Table3[[#This Row],[station]],[1]station_waterbody_county!A:A, [1]station_waterbody_county!B:B)</f>
        <v>Dover Bay</v>
      </c>
      <c r="D21" t="str">
        <f>_xlfn.XLOOKUP([1]!Table3[[#This Row],[station]],[1]station_waterbody_county!A:A, [1]station_waterbody_county!C:C)</f>
        <v>Guysborough</v>
      </c>
      <c r="E21" s="6"/>
      <c r="F21" s="6" t="s">
        <v>255</v>
      </c>
      <c r="G21" s="4">
        <v>45603</v>
      </c>
      <c r="H21" s="5">
        <v>0.67013888888888884</v>
      </c>
      <c r="I21" s="4">
        <v>45925</v>
      </c>
      <c r="J21" s="5">
        <v>0.61944444444444446</v>
      </c>
      <c r="K21" s="8"/>
      <c r="L21" s="8"/>
      <c r="M21" s="8"/>
      <c r="N21" s="8"/>
      <c r="O21" s="6" t="s">
        <v>295</v>
      </c>
      <c r="P21" s="6" t="s">
        <v>294</v>
      </c>
      <c r="Q21" s="6" t="s">
        <v>934</v>
      </c>
      <c r="R21" s="6" t="s">
        <v>935</v>
      </c>
      <c r="S21" s="6" t="s">
        <v>239</v>
      </c>
      <c r="T21" s="9">
        <v>22030588</v>
      </c>
      <c r="U21" s="7">
        <v>10</v>
      </c>
      <c r="V21" s="6" t="s">
        <v>36</v>
      </c>
      <c r="W21" s="7">
        <v>45.1</v>
      </c>
      <c r="X21" s="6" t="s">
        <v>35</v>
      </c>
      <c r="Y21" s="7">
        <v>1.3</v>
      </c>
      <c r="Z21" s="7">
        <v>1</v>
      </c>
      <c r="AA21" s="6" t="s">
        <v>266</v>
      </c>
      <c r="AB21" s="6" t="s">
        <v>38</v>
      </c>
      <c r="AC21" s="6"/>
      <c r="AD21" s="6" t="s">
        <v>39</v>
      </c>
      <c r="AE21" s="6"/>
      <c r="AF21" s="9"/>
      <c r="AG21" s="6" t="s">
        <v>246</v>
      </c>
      <c r="AH21" s="7">
        <v>68.5</v>
      </c>
      <c r="AI21" s="6" t="s">
        <v>40</v>
      </c>
      <c r="AJ21" s="6" t="s">
        <v>238</v>
      </c>
      <c r="AK21" s="6" t="s">
        <v>35</v>
      </c>
      <c r="AL21" s="6" t="s">
        <v>41</v>
      </c>
      <c r="AM21" s="6" t="s">
        <v>41</v>
      </c>
      <c r="AN21" s="6"/>
    </row>
    <row r="22" spans="1:40" s="3" customFormat="1" x14ac:dyDescent="0.25">
      <c r="A22" s="4">
        <v>45944</v>
      </c>
      <c r="B22" s="6" t="s">
        <v>172</v>
      </c>
      <c r="C22" t="str">
        <f>_xlfn.XLOOKUP([1]!Table3[[#This Row],[station]],[1]station_waterbody_county!A:A, [1]station_waterbody_county!B:B)</f>
        <v>Dover Bay</v>
      </c>
      <c r="D22" t="str">
        <f>_xlfn.XLOOKUP([1]!Table3[[#This Row],[station]],[1]station_waterbody_county!A:A, [1]station_waterbody_county!C:C)</f>
        <v>Guysborough</v>
      </c>
      <c r="E22" s="6"/>
      <c r="F22" s="6" t="s">
        <v>255</v>
      </c>
      <c r="G22" s="4">
        <v>45603</v>
      </c>
      <c r="H22" s="5">
        <v>0.67013888888888884</v>
      </c>
      <c r="I22" s="4">
        <v>45925</v>
      </c>
      <c r="J22" s="5">
        <v>0.61944444444444446</v>
      </c>
      <c r="K22" s="8"/>
      <c r="L22" s="8"/>
      <c r="M22" s="8"/>
      <c r="N22" s="8"/>
      <c r="O22" s="6" t="s">
        <v>295</v>
      </c>
      <c r="P22" s="6" t="s">
        <v>294</v>
      </c>
      <c r="Q22" s="6" t="s">
        <v>934</v>
      </c>
      <c r="R22" s="6" t="s">
        <v>935</v>
      </c>
      <c r="S22" s="6" t="s">
        <v>239</v>
      </c>
      <c r="T22" s="9">
        <v>22055911</v>
      </c>
      <c r="U22" s="7">
        <v>15</v>
      </c>
      <c r="V22" s="6" t="s">
        <v>36</v>
      </c>
      <c r="W22" s="7">
        <v>45.1</v>
      </c>
      <c r="X22" s="6" t="s">
        <v>35</v>
      </c>
      <c r="Y22" s="7">
        <v>1.3</v>
      </c>
      <c r="Z22" s="7">
        <v>1</v>
      </c>
      <c r="AA22" s="6" t="s">
        <v>266</v>
      </c>
      <c r="AB22" s="6" t="s">
        <v>38</v>
      </c>
      <c r="AC22" s="6"/>
      <c r="AD22" s="6" t="s">
        <v>39</v>
      </c>
      <c r="AE22" s="6"/>
      <c r="AF22" s="9"/>
      <c r="AG22" s="6" t="s">
        <v>246</v>
      </c>
      <c r="AH22" s="7">
        <v>68.5</v>
      </c>
      <c r="AI22" s="6" t="s">
        <v>40</v>
      </c>
      <c r="AJ22" s="6" t="s">
        <v>238</v>
      </c>
      <c r="AK22" s="6" t="s">
        <v>35</v>
      </c>
      <c r="AL22" s="6" t="s">
        <v>41</v>
      </c>
      <c r="AM22" s="6" t="s">
        <v>41</v>
      </c>
      <c r="AN22" s="6"/>
    </row>
    <row r="23" spans="1:40" s="3" customFormat="1" x14ac:dyDescent="0.25">
      <c r="A23" s="4">
        <v>45944</v>
      </c>
      <c r="B23" s="6" t="s">
        <v>172</v>
      </c>
      <c r="C23" t="str">
        <f>_xlfn.XLOOKUP([1]!Table3[[#This Row],[station]],[1]station_waterbody_county!A:A, [1]station_waterbody_county!B:B)</f>
        <v>Dover Bay</v>
      </c>
      <c r="D23" t="str">
        <f>_xlfn.XLOOKUP([1]!Table3[[#This Row],[station]],[1]station_waterbody_county!A:A, [1]station_waterbody_county!C:C)</f>
        <v>Guysborough</v>
      </c>
      <c r="E23" s="6"/>
      <c r="F23" s="6" t="s">
        <v>255</v>
      </c>
      <c r="G23" s="4">
        <v>45603</v>
      </c>
      <c r="H23" s="5">
        <v>0.67013888888888884</v>
      </c>
      <c r="I23" s="4">
        <v>45925</v>
      </c>
      <c r="J23" s="5">
        <v>0.61944444444444446</v>
      </c>
      <c r="K23" s="8"/>
      <c r="L23" s="8"/>
      <c r="M23" s="8"/>
      <c r="N23" s="8"/>
      <c r="O23" s="6" t="s">
        <v>295</v>
      </c>
      <c r="P23" s="6" t="s">
        <v>294</v>
      </c>
      <c r="Q23" s="6" t="s">
        <v>934</v>
      </c>
      <c r="R23" s="6" t="s">
        <v>935</v>
      </c>
      <c r="S23" s="6" t="s">
        <v>42</v>
      </c>
      <c r="T23" s="9">
        <v>548571</v>
      </c>
      <c r="U23" s="7">
        <v>22</v>
      </c>
      <c r="V23" s="6" t="s">
        <v>36</v>
      </c>
      <c r="W23" s="7">
        <v>45.1</v>
      </c>
      <c r="X23" s="6" t="s">
        <v>35</v>
      </c>
      <c r="Y23" s="7">
        <v>1.3</v>
      </c>
      <c r="Z23" s="7">
        <v>1</v>
      </c>
      <c r="AA23" s="6" t="s">
        <v>266</v>
      </c>
      <c r="AB23" s="6" t="s">
        <v>38</v>
      </c>
      <c r="AC23" s="6"/>
      <c r="AD23" s="6" t="s">
        <v>39</v>
      </c>
      <c r="AE23" s="6"/>
      <c r="AF23" s="9"/>
      <c r="AG23" s="6" t="s">
        <v>246</v>
      </c>
      <c r="AH23" s="7">
        <v>68.5</v>
      </c>
      <c r="AI23" s="6" t="s">
        <v>40</v>
      </c>
      <c r="AJ23" s="6" t="s">
        <v>238</v>
      </c>
      <c r="AK23" s="6" t="s">
        <v>35</v>
      </c>
      <c r="AL23" s="6" t="s">
        <v>41</v>
      </c>
      <c r="AM23" s="6" t="s">
        <v>41</v>
      </c>
      <c r="AN23" s="6"/>
    </row>
    <row r="24" spans="1:40" s="3" customFormat="1" x14ac:dyDescent="0.25">
      <c r="A24" s="4">
        <v>45944</v>
      </c>
      <c r="B24" s="6" t="s">
        <v>172</v>
      </c>
      <c r="C24" t="str">
        <f>_xlfn.XLOOKUP([1]!Table3[[#This Row],[station]],[1]station_waterbody_county!A:A, [1]station_waterbody_county!B:B)</f>
        <v>Dover Bay</v>
      </c>
      <c r="D24" t="str">
        <f>_xlfn.XLOOKUP([1]!Table3[[#This Row],[station]],[1]station_waterbody_county!A:A, [1]station_waterbody_county!C:C)</f>
        <v>Guysborough</v>
      </c>
      <c r="E24" s="6"/>
      <c r="F24" s="6" t="s">
        <v>255</v>
      </c>
      <c r="G24" s="4">
        <v>45603</v>
      </c>
      <c r="H24" s="5">
        <v>0.67013888888888884</v>
      </c>
      <c r="I24" s="4">
        <v>45925</v>
      </c>
      <c r="J24" s="5">
        <v>0.61944444444444446</v>
      </c>
      <c r="K24" s="8"/>
      <c r="L24" s="8"/>
      <c r="M24" s="8"/>
      <c r="N24" s="8"/>
      <c r="O24" s="6" t="s">
        <v>295</v>
      </c>
      <c r="P24" s="6" t="s">
        <v>294</v>
      </c>
      <c r="Q24" s="6" t="s">
        <v>934</v>
      </c>
      <c r="R24" s="6" t="s">
        <v>935</v>
      </c>
      <c r="S24" s="6" t="s">
        <v>239</v>
      </c>
      <c r="T24" s="9">
        <v>22055896</v>
      </c>
      <c r="U24" s="7">
        <v>22</v>
      </c>
      <c r="V24" s="6" t="s">
        <v>36</v>
      </c>
      <c r="W24" s="7">
        <v>45.1</v>
      </c>
      <c r="X24" s="6" t="s">
        <v>35</v>
      </c>
      <c r="Y24" s="7">
        <v>1.3</v>
      </c>
      <c r="Z24" s="7">
        <v>1</v>
      </c>
      <c r="AA24" s="6" t="s">
        <v>266</v>
      </c>
      <c r="AB24" s="6" t="s">
        <v>38</v>
      </c>
      <c r="AC24" s="6"/>
      <c r="AD24" s="6" t="s">
        <v>39</v>
      </c>
      <c r="AE24" s="6"/>
      <c r="AF24" s="9"/>
      <c r="AG24" s="6" t="s">
        <v>246</v>
      </c>
      <c r="AH24" s="7">
        <v>68.5</v>
      </c>
      <c r="AI24" s="6" t="s">
        <v>40</v>
      </c>
      <c r="AJ24" s="6" t="s">
        <v>238</v>
      </c>
      <c r="AK24" s="6" t="s">
        <v>35</v>
      </c>
      <c r="AL24" s="6" t="s">
        <v>41</v>
      </c>
      <c r="AM24" s="6" t="s">
        <v>41</v>
      </c>
      <c r="AN24" s="6"/>
    </row>
    <row r="25" spans="1:40" s="3" customFormat="1" x14ac:dyDescent="0.25">
      <c r="A25" s="4">
        <v>45944</v>
      </c>
      <c r="B25" s="6" t="s">
        <v>178</v>
      </c>
      <c r="C25" t="str">
        <f>_xlfn.XLOOKUP([1]!Table3[[#This Row],[station]],[1]station_waterbody_county!A:A, [1]station_waterbody_county!B:B)</f>
        <v>Fishermans Harbour</v>
      </c>
      <c r="D25" t="str">
        <f>_xlfn.XLOOKUP([1]!Table3[[#This Row],[station]],[1]station_waterbody_county!A:A, [1]station_waterbody_county!C:C)</f>
        <v>Guysborough</v>
      </c>
      <c r="E25" s="6"/>
      <c r="F25" s="6" t="s">
        <v>255</v>
      </c>
      <c r="G25" s="4">
        <v>45547</v>
      </c>
      <c r="H25" s="5">
        <v>0.79374999999999996</v>
      </c>
      <c r="I25" s="4">
        <v>45924</v>
      </c>
      <c r="J25" s="5">
        <v>0.84305555555555556</v>
      </c>
      <c r="K25" s="8"/>
      <c r="L25" s="8"/>
      <c r="M25" s="8"/>
      <c r="N25" s="8"/>
      <c r="O25" s="6" t="s">
        <v>274</v>
      </c>
      <c r="P25" s="6" t="s">
        <v>275</v>
      </c>
      <c r="Q25" s="6" t="s">
        <v>953</v>
      </c>
      <c r="R25" s="6" t="s">
        <v>936</v>
      </c>
      <c r="S25" s="6" t="s">
        <v>239</v>
      </c>
      <c r="T25" s="9">
        <v>20495235</v>
      </c>
      <c r="U25" s="7">
        <v>2</v>
      </c>
      <c r="V25" s="6" t="s">
        <v>36</v>
      </c>
      <c r="W25" s="7">
        <v>20.7</v>
      </c>
      <c r="X25" s="6" t="s">
        <v>35</v>
      </c>
      <c r="Y25" s="7">
        <v>1.3</v>
      </c>
      <c r="Z25" s="7">
        <v>0.5</v>
      </c>
      <c r="AA25" s="6" t="s">
        <v>266</v>
      </c>
      <c r="AB25" s="6" t="s">
        <v>38</v>
      </c>
      <c r="AC25" s="6"/>
      <c r="AD25" s="6" t="s">
        <v>39</v>
      </c>
      <c r="AE25" s="6"/>
      <c r="AF25" s="9"/>
      <c r="AG25" s="6" t="s">
        <v>37</v>
      </c>
      <c r="AH25" s="7">
        <v>60</v>
      </c>
      <c r="AI25" s="6" t="s">
        <v>40</v>
      </c>
      <c r="AJ25" s="6" t="s">
        <v>238</v>
      </c>
      <c r="AK25" s="6"/>
      <c r="AL25" s="6" t="s">
        <v>41</v>
      </c>
      <c r="AM25" s="6" t="s">
        <v>41</v>
      </c>
      <c r="AN25" s="6"/>
    </row>
    <row r="26" spans="1:40" s="3" customFormat="1" x14ac:dyDescent="0.25">
      <c r="A26" s="4">
        <v>45944</v>
      </c>
      <c r="B26" s="6" t="s">
        <v>178</v>
      </c>
      <c r="C26" t="str">
        <f>_xlfn.XLOOKUP([1]!Table3[[#This Row],[station]],[1]station_waterbody_county!A:A, [1]station_waterbody_county!B:B)</f>
        <v>Fishermans Harbour</v>
      </c>
      <c r="D26" t="str">
        <f>_xlfn.XLOOKUP([1]!Table3[[#This Row],[station]],[1]station_waterbody_county!A:A, [1]station_waterbody_county!C:C)</f>
        <v>Guysborough</v>
      </c>
      <c r="E26" s="6"/>
      <c r="F26" s="6" t="s">
        <v>255</v>
      </c>
      <c r="G26" s="4">
        <v>45547</v>
      </c>
      <c r="H26" s="5">
        <v>0.79374999999999996</v>
      </c>
      <c r="I26" s="4">
        <v>45924</v>
      </c>
      <c r="J26" s="5">
        <v>0.84305555555555556</v>
      </c>
      <c r="K26" s="8"/>
      <c r="L26" s="8"/>
      <c r="M26" s="8"/>
      <c r="N26" s="8"/>
      <c r="O26" s="6" t="s">
        <v>274</v>
      </c>
      <c r="P26" s="6" t="s">
        <v>275</v>
      </c>
      <c r="Q26" s="6" t="s">
        <v>953</v>
      </c>
      <c r="R26" s="6" t="s">
        <v>936</v>
      </c>
      <c r="S26" s="6" t="s">
        <v>240</v>
      </c>
      <c r="T26" s="9">
        <v>671425</v>
      </c>
      <c r="U26" s="7">
        <v>5</v>
      </c>
      <c r="V26" s="6" t="s">
        <v>36</v>
      </c>
      <c r="W26" s="7">
        <v>20.7</v>
      </c>
      <c r="X26" s="6" t="s">
        <v>35</v>
      </c>
      <c r="Y26" s="7">
        <v>1.3</v>
      </c>
      <c r="Z26" s="7">
        <v>0.5</v>
      </c>
      <c r="AA26" s="6" t="s">
        <v>266</v>
      </c>
      <c r="AB26" s="6" t="s">
        <v>38</v>
      </c>
      <c r="AC26" s="6"/>
      <c r="AD26" s="6" t="s">
        <v>39</v>
      </c>
      <c r="AE26" s="6"/>
      <c r="AF26" s="9"/>
      <c r="AG26" s="6" t="s">
        <v>37</v>
      </c>
      <c r="AH26" s="7">
        <v>60</v>
      </c>
      <c r="AI26" s="6" t="s">
        <v>40</v>
      </c>
      <c r="AJ26" s="6" t="s">
        <v>238</v>
      </c>
      <c r="AK26" s="6"/>
      <c r="AL26" s="6" t="s">
        <v>41</v>
      </c>
      <c r="AM26" s="6" t="s">
        <v>41</v>
      </c>
      <c r="AN26" s="6"/>
    </row>
    <row r="27" spans="1:40" s="3" customFormat="1" x14ac:dyDescent="0.25">
      <c r="A27" s="4">
        <v>45944</v>
      </c>
      <c r="B27" s="6" t="s">
        <v>178</v>
      </c>
      <c r="C27" t="str">
        <f>_xlfn.XLOOKUP([1]!Table3[[#This Row],[station]],[1]station_waterbody_county!A:A, [1]station_waterbody_county!B:B)</f>
        <v>Fishermans Harbour</v>
      </c>
      <c r="D27" t="str">
        <f>_xlfn.XLOOKUP([1]!Table3[[#This Row],[station]],[1]station_waterbody_county!A:A, [1]station_waterbody_county!C:C)</f>
        <v>Guysborough</v>
      </c>
      <c r="E27" s="6"/>
      <c r="F27" s="6" t="s">
        <v>255</v>
      </c>
      <c r="G27" s="4">
        <v>45547</v>
      </c>
      <c r="H27" s="5">
        <v>0.79374999999999996</v>
      </c>
      <c r="I27" s="4">
        <v>45924</v>
      </c>
      <c r="J27" s="5">
        <v>0.84305555555555556</v>
      </c>
      <c r="K27" s="8"/>
      <c r="L27" s="8"/>
      <c r="M27" s="8"/>
      <c r="N27" s="8"/>
      <c r="O27" s="6" t="s">
        <v>274</v>
      </c>
      <c r="P27" s="6" t="s">
        <v>275</v>
      </c>
      <c r="Q27" s="6" t="s">
        <v>953</v>
      </c>
      <c r="R27" s="6" t="s">
        <v>936</v>
      </c>
      <c r="S27" s="6" t="s">
        <v>239</v>
      </c>
      <c r="T27" s="9">
        <v>20291446</v>
      </c>
      <c r="U27" s="7">
        <v>10</v>
      </c>
      <c r="V27" s="6" t="s">
        <v>36</v>
      </c>
      <c r="W27" s="7">
        <v>20.7</v>
      </c>
      <c r="X27" s="6" t="s">
        <v>35</v>
      </c>
      <c r="Y27" s="7">
        <v>1.3</v>
      </c>
      <c r="Z27" s="7">
        <v>0.5</v>
      </c>
      <c r="AA27" s="6" t="s">
        <v>266</v>
      </c>
      <c r="AB27" s="6" t="s">
        <v>38</v>
      </c>
      <c r="AC27" s="6"/>
      <c r="AD27" s="6" t="s">
        <v>39</v>
      </c>
      <c r="AE27" s="6"/>
      <c r="AF27" s="9"/>
      <c r="AG27" s="6" t="s">
        <v>37</v>
      </c>
      <c r="AH27" s="7">
        <v>60</v>
      </c>
      <c r="AI27" s="6" t="s">
        <v>40</v>
      </c>
      <c r="AJ27" s="6" t="s">
        <v>238</v>
      </c>
      <c r="AK27" s="6"/>
      <c r="AL27" s="6" t="s">
        <v>41</v>
      </c>
      <c r="AM27" s="6" t="s">
        <v>41</v>
      </c>
      <c r="AN27" s="6" t="s">
        <v>927</v>
      </c>
    </row>
    <row r="28" spans="1:40" s="3" customFormat="1" x14ac:dyDescent="0.25">
      <c r="A28" s="4">
        <v>45944</v>
      </c>
      <c r="B28" s="6" t="s">
        <v>178</v>
      </c>
      <c r="C28" t="str">
        <f>_xlfn.XLOOKUP([1]!Table3[[#This Row],[station]],[1]station_waterbody_county!A:A, [1]station_waterbody_county!B:B)</f>
        <v>Fishermans Harbour</v>
      </c>
      <c r="D28" t="str">
        <f>_xlfn.XLOOKUP([1]!Table3[[#This Row],[station]],[1]station_waterbody_county!A:A, [1]station_waterbody_county!C:C)</f>
        <v>Guysborough</v>
      </c>
      <c r="E28" s="6"/>
      <c r="F28" s="6" t="s">
        <v>255</v>
      </c>
      <c r="G28" s="4">
        <v>45547</v>
      </c>
      <c r="H28" s="5">
        <v>0.79374999999999996</v>
      </c>
      <c r="I28" s="4">
        <v>45924</v>
      </c>
      <c r="J28" s="5">
        <v>0.84305555555555556</v>
      </c>
      <c r="K28" s="8"/>
      <c r="L28" s="8"/>
      <c r="M28" s="8"/>
      <c r="N28" s="8"/>
      <c r="O28" s="6" t="s">
        <v>274</v>
      </c>
      <c r="P28" s="6" t="s">
        <v>275</v>
      </c>
      <c r="Q28" s="6" t="s">
        <v>953</v>
      </c>
      <c r="R28" s="6" t="s">
        <v>936</v>
      </c>
      <c r="S28" s="6" t="s">
        <v>239</v>
      </c>
      <c r="T28" s="9">
        <v>21650153</v>
      </c>
      <c r="U28" s="7">
        <v>15</v>
      </c>
      <c r="V28" s="6" t="s">
        <v>36</v>
      </c>
      <c r="W28" s="7">
        <v>20.7</v>
      </c>
      <c r="X28" s="6" t="s">
        <v>35</v>
      </c>
      <c r="Y28" s="7">
        <v>1.3</v>
      </c>
      <c r="Z28" s="7">
        <v>0.5</v>
      </c>
      <c r="AA28" s="6" t="s">
        <v>266</v>
      </c>
      <c r="AB28" s="6" t="s">
        <v>38</v>
      </c>
      <c r="AC28" s="6"/>
      <c r="AD28" s="6" t="s">
        <v>39</v>
      </c>
      <c r="AE28" s="6"/>
      <c r="AF28" s="9"/>
      <c r="AG28" s="6" t="s">
        <v>37</v>
      </c>
      <c r="AH28" s="7">
        <v>60</v>
      </c>
      <c r="AI28" s="6" t="s">
        <v>40</v>
      </c>
      <c r="AJ28" s="6" t="s">
        <v>238</v>
      </c>
      <c r="AK28" s="6"/>
      <c r="AL28" s="6" t="s">
        <v>41</v>
      </c>
      <c r="AM28" s="6" t="s">
        <v>41</v>
      </c>
      <c r="AN28" s="6"/>
    </row>
    <row r="29" spans="1:40" s="3" customFormat="1" x14ac:dyDescent="0.25">
      <c r="A29" s="4">
        <v>45944</v>
      </c>
      <c r="B29" s="6" t="s">
        <v>178</v>
      </c>
      <c r="C29" t="str">
        <f>_xlfn.XLOOKUP([1]!Table3[[#This Row],[station]],[1]station_waterbody_county!A:A, [1]station_waterbody_county!B:B)</f>
        <v>Fishermans Harbour</v>
      </c>
      <c r="D29" t="str">
        <f>_xlfn.XLOOKUP([1]!Table3[[#This Row],[station]],[1]station_waterbody_county!A:A, [1]station_waterbody_county!C:C)</f>
        <v>Guysborough</v>
      </c>
      <c r="E29" s="6"/>
      <c r="F29" s="6" t="s">
        <v>255</v>
      </c>
      <c r="G29" s="4">
        <v>45547</v>
      </c>
      <c r="H29" s="5">
        <v>0.79374999999999996</v>
      </c>
      <c r="I29" s="4">
        <v>45924</v>
      </c>
      <c r="J29" s="5">
        <v>0.84305555555555556</v>
      </c>
      <c r="K29" s="8"/>
      <c r="L29" s="8"/>
      <c r="M29" s="8"/>
      <c r="N29" s="8"/>
      <c r="O29" s="6" t="s">
        <v>274</v>
      </c>
      <c r="P29" s="6" t="s">
        <v>275</v>
      </c>
      <c r="Q29" s="6" t="s">
        <v>953</v>
      </c>
      <c r="R29" s="6" t="s">
        <v>936</v>
      </c>
      <c r="S29" s="6" t="s">
        <v>239</v>
      </c>
      <c r="T29" s="9">
        <v>21927295</v>
      </c>
      <c r="U29" s="7">
        <v>20</v>
      </c>
      <c r="V29" s="6" t="s">
        <v>36</v>
      </c>
      <c r="W29" s="7">
        <v>20.7</v>
      </c>
      <c r="X29" s="6" t="s">
        <v>35</v>
      </c>
      <c r="Y29" s="7">
        <v>1.3</v>
      </c>
      <c r="Z29" s="7">
        <v>0.5</v>
      </c>
      <c r="AA29" s="6" t="s">
        <v>266</v>
      </c>
      <c r="AB29" s="6" t="s">
        <v>38</v>
      </c>
      <c r="AC29" s="6"/>
      <c r="AD29" s="6" t="s">
        <v>39</v>
      </c>
      <c r="AE29" s="6"/>
      <c r="AF29" s="9"/>
      <c r="AG29" s="6" t="s">
        <v>37</v>
      </c>
      <c r="AH29" s="7">
        <v>60</v>
      </c>
      <c r="AI29" s="6" t="s">
        <v>40</v>
      </c>
      <c r="AJ29" s="6" t="s">
        <v>238</v>
      </c>
      <c r="AK29" s="6"/>
      <c r="AL29" s="6" t="s">
        <v>41</v>
      </c>
      <c r="AM29" s="6" t="s">
        <v>41</v>
      </c>
      <c r="AN29" s="6"/>
    </row>
    <row r="30" spans="1:40" s="3" customFormat="1" x14ac:dyDescent="0.25">
      <c r="A30" s="4">
        <v>45944</v>
      </c>
      <c r="B30" s="6" t="s">
        <v>178</v>
      </c>
      <c r="C30" t="str">
        <f>_xlfn.XLOOKUP([1]!Table3[[#This Row],[station]],[1]station_waterbody_county!A:A, [1]station_waterbody_county!B:B)</f>
        <v>Fishermans Harbour</v>
      </c>
      <c r="D30" t="str">
        <f>_xlfn.XLOOKUP([1]!Table3[[#This Row],[station]],[1]station_waterbody_county!A:A, [1]station_waterbody_county!C:C)</f>
        <v>Guysborough</v>
      </c>
      <c r="E30" s="6"/>
      <c r="F30" s="6" t="s">
        <v>255</v>
      </c>
      <c r="G30" s="4">
        <v>45547</v>
      </c>
      <c r="H30" s="5">
        <v>0.79374999999999996</v>
      </c>
      <c r="I30" s="4">
        <v>45924</v>
      </c>
      <c r="J30" s="5">
        <v>0.84305555555555556</v>
      </c>
      <c r="K30" s="8"/>
      <c r="L30" s="8"/>
      <c r="M30" s="8"/>
      <c r="N30" s="8"/>
      <c r="O30" s="6" t="s">
        <v>274</v>
      </c>
      <c r="P30" s="6" t="s">
        <v>275</v>
      </c>
      <c r="Q30" s="6" t="s">
        <v>953</v>
      </c>
      <c r="R30" s="6" t="s">
        <v>936</v>
      </c>
      <c r="S30" s="6" t="s">
        <v>42</v>
      </c>
      <c r="T30" s="9">
        <v>549346</v>
      </c>
      <c r="U30" s="7">
        <v>20</v>
      </c>
      <c r="V30" s="6" t="s">
        <v>36</v>
      </c>
      <c r="W30" s="7">
        <v>20.7</v>
      </c>
      <c r="X30" s="6" t="s">
        <v>35</v>
      </c>
      <c r="Y30" s="7">
        <v>1.3</v>
      </c>
      <c r="Z30" s="7">
        <v>0.5</v>
      </c>
      <c r="AA30" s="6" t="s">
        <v>266</v>
      </c>
      <c r="AB30" s="6" t="s">
        <v>38</v>
      </c>
      <c r="AC30" s="6"/>
      <c r="AD30" s="6" t="s">
        <v>39</v>
      </c>
      <c r="AE30" s="6"/>
      <c r="AF30" s="9"/>
      <c r="AG30" s="6" t="s">
        <v>37</v>
      </c>
      <c r="AH30" s="7">
        <v>60</v>
      </c>
      <c r="AI30" s="6" t="s">
        <v>40</v>
      </c>
      <c r="AJ30" s="6" t="s">
        <v>238</v>
      </c>
      <c r="AK30" s="6"/>
      <c r="AL30" s="6" t="s">
        <v>41</v>
      </c>
      <c r="AM30" s="6" t="s">
        <v>41</v>
      </c>
      <c r="AN30" s="6"/>
    </row>
    <row r="31" spans="1:40" s="3" customFormat="1" x14ac:dyDescent="0.25">
      <c r="A31" s="4">
        <v>45944</v>
      </c>
      <c r="B31" s="6" t="s">
        <v>189</v>
      </c>
      <c r="C31" t="str">
        <f>_xlfn.XLOOKUP([1]!Table3[[#This Row],[station]],[1]station_waterbody_county!A:A, [1]station_waterbody_county!B:B)</f>
        <v>Whitehead Harbour</v>
      </c>
      <c r="D31" t="str">
        <f>_xlfn.XLOOKUP([1]!Table3[[#This Row],[station]],[1]station_waterbody_county!A:A, [1]station_waterbody_county!C:C)</f>
        <v>Guysborough</v>
      </c>
      <c r="E31" s="6" t="s">
        <v>248</v>
      </c>
      <c r="F31" s="6" t="s">
        <v>255</v>
      </c>
      <c r="G31" s="4">
        <v>45600</v>
      </c>
      <c r="H31" s="5">
        <v>0.4909722222222222</v>
      </c>
      <c r="I31" s="4">
        <v>45919</v>
      </c>
      <c r="J31" s="5">
        <v>0.45694444444444443</v>
      </c>
      <c r="K31" s="8"/>
      <c r="L31" s="8"/>
      <c r="M31" s="8"/>
      <c r="N31" s="8"/>
      <c r="O31" s="6" t="s">
        <v>278</v>
      </c>
      <c r="P31" s="6" t="s">
        <v>279</v>
      </c>
      <c r="Q31" s="6" t="s">
        <v>932</v>
      </c>
      <c r="R31" s="6" t="s">
        <v>933</v>
      </c>
      <c r="S31" s="6" t="s">
        <v>239</v>
      </c>
      <c r="T31" s="9">
        <v>22030579</v>
      </c>
      <c r="U31" s="7">
        <v>1</v>
      </c>
      <c r="V31" s="6" t="s">
        <v>243</v>
      </c>
      <c r="W31" s="7"/>
      <c r="X31" s="6" t="s">
        <v>241</v>
      </c>
      <c r="Y31" s="7"/>
      <c r="Z31" s="7"/>
      <c r="AA31" s="6"/>
      <c r="AB31" s="6"/>
      <c r="AC31" s="6"/>
      <c r="AD31" s="6"/>
      <c r="AE31" s="6"/>
      <c r="AF31" s="9"/>
      <c r="AG31" s="6"/>
      <c r="AH31" s="7"/>
      <c r="AI31" s="6" t="s">
        <v>40</v>
      </c>
      <c r="AJ31" s="6" t="s">
        <v>238</v>
      </c>
      <c r="AK31" s="6"/>
      <c r="AL31" s="6" t="s">
        <v>280</v>
      </c>
      <c r="AM31" s="6" t="s">
        <v>923</v>
      </c>
      <c r="AN31" s="6"/>
    </row>
    <row r="32" spans="1:40" s="3" customFormat="1" x14ac:dyDescent="0.25">
      <c r="A32" s="4">
        <v>45944</v>
      </c>
      <c r="B32" s="6" t="s">
        <v>208</v>
      </c>
      <c r="C32" t="str">
        <f>_xlfn.XLOOKUP([1]!Table3[[#This Row],[station]],[1]station_waterbody_county!A:A, [1]station_waterbody_county!B:B)</f>
        <v>Dover Bay</v>
      </c>
      <c r="D32" t="str">
        <f>_xlfn.XLOOKUP([1]!Table3[[#This Row],[station]],[1]station_waterbody_county!A:A, [1]station_waterbody_county!C:C)</f>
        <v>Guysborough</v>
      </c>
      <c r="E32" s="6"/>
      <c r="F32" s="6" t="s">
        <v>255</v>
      </c>
      <c r="G32" s="4">
        <v>45603</v>
      </c>
      <c r="H32" s="5">
        <v>0.64166666666666672</v>
      </c>
      <c r="I32" s="4">
        <v>45925</v>
      </c>
      <c r="J32" s="5">
        <v>0.59444444444444444</v>
      </c>
      <c r="K32" s="8"/>
      <c r="L32" s="8"/>
      <c r="M32" s="8"/>
      <c r="N32" s="8"/>
      <c r="O32" s="6" t="s">
        <v>292</v>
      </c>
      <c r="P32" s="6" t="s">
        <v>293</v>
      </c>
      <c r="Q32" s="6" t="s">
        <v>958</v>
      </c>
      <c r="R32" s="6" t="s">
        <v>293</v>
      </c>
      <c r="S32" s="6" t="s">
        <v>239</v>
      </c>
      <c r="T32" s="9">
        <v>22055887</v>
      </c>
      <c r="U32" s="7">
        <v>2</v>
      </c>
      <c r="V32" s="6" t="s">
        <v>36</v>
      </c>
      <c r="W32" s="7">
        <v>26.5</v>
      </c>
      <c r="X32" s="6" t="s">
        <v>35</v>
      </c>
      <c r="Y32" s="7">
        <v>1.3</v>
      </c>
      <c r="Z32" s="7">
        <v>1</v>
      </c>
      <c r="AA32" s="6" t="s">
        <v>242</v>
      </c>
      <c r="AB32" s="6" t="s">
        <v>258</v>
      </c>
      <c r="AC32" s="6"/>
      <c r="AD32" s="6" t="s">
        <v>39</v>
      </c>
      <c r="AE32" s="6"/>
      <c r="AF32" s="9"/>
      <c r="AG32" s="6" t="s">
        <v>37</v>
      </c>
      <c r="AH32" s="7">
        <v>60</v>
      </c>
      <c r="AI32" s="6" t="s">
        <v>40</v>
      </c>
      <c r="AJ32" s="6" t="s">
        <v>238</v>
      </c>
      <c r="AK32" s="6" t="s">
        <v>35</v>
      </c>
      <c r="AL32" s="6" t="s">
        <v>41</v>
      </c>
      <c r="AM32" s="6" t="s">
        <v>41</v>
      </c>
      <c r="AN32" s="6" t="s">
        <v>296</v>
      </c>
    </row>
    <row r="33" spans="1:40" s="3" customFormat="1" x14ac:dyDescent="0.25">
      <c r="A33" s="4">
        <v>45944</v>
      </c>
      <c r="B33" s="6" t="s">
        <v>208</v>
      </c>
      <c r="C33" t="str">
        <f>_xlfn.XLOOKUP([1]!Table3[[#This Row],[station]],[1]station_waterbody_county!A:A, [1]station_waterbody_county!B:B)</f>
        <v>Dover Bay</v>
      </c>
      <c r="D33" t="str">
        <f>_xlfn.XLOOKUP([1]!Table3[[#This Row],[station]],[1]station_waterbody_county!A:A, [1]station_waterbody_county!C:C)</f>
        <v>Guysborough</v>
      </c>
      <c r="E33" s="6"/>
      <c r="F33" s="6" t="s">
        <v>255</v>
      </c>
      <c r="G33" s="4">
        <v>45603</v>
      </c>
      <c r="H33" s="5">
        <v>0.64166666666666672</v>
      </c>
      <c r="I33" s="4">
        <v>45925</v>
      </c>
      <c r="J33" s="5">
        <v>0.59444444444444444</v>
      </c>
      <c r="K33" s="8"/>
      <c r="L33" s="8"/>
      <c r="M33" s="8"/>
      <c r="N33" s="8"/>
      <c r="O33" s="6" t="s">
        <v>292</v>
      </c>
      <c r="P33" s="6" t="s">
        <v>293</v>
      </c>
      <c r="Q33" s="6" t="s">
        <v>958</v>
      </c>
      <c r="R33" s="6" t="s">
        <v>293</v>
      </c>
      <c r="S33" s="6" t="s">
        <v>240</v>
      </c>
      <c r="T33" s="9">
        <v>671429</v>
      </c>
      <c r="U33" s="7">
        <v>5</v>
      </c>
      <c r="V33" s="6" t="s">
        <v>36</v>
      </c>
      <c r="W33" s="7">
        <v>26.5</v>
      </c>
      <c r="X33" s="6" t="s">
        <v>35</v>
      </c>
      <c r="Y33" s="7">
        <v>1.3</v>
      </c>
      <c r="Z33" s="7">
        <v>1</v>
      </c>
      <c r="AA33" s="6" t="s">
        <v>242</v>
      </c>
      <c r="AB33" s="6" t="s">
        <v>258</v>
      </c>
      <c r="AC33" s="6"/>
      <c r="AD33" s="6" t="s">
        <v>39</v>
      </c>
      <c r="AE33" s="6"/>
      <c r="AF33" s="9"/>
      <c r="AG33" s="6" t="s">
        <v>37</v>
      </c>
      <c r="AH33" s="7">
        <v>60</v>
      </c>
      <c r="AI33" s="6" t="s">
        <v>40</v>
      </c>
      <c r="AJ33" s="6" t="s">
        <v>238</v>
      </c>
      <c r="AK33" s="6" t="s">
        <v>35</v>
      </c>
      <c r="AL33" s="6" t="s">
        <v>41</v>
      </c>
      <c r="AM33" s="6" t="s">
        <v>41</v>
      </c>
      <c r="AN33" s="6" t="s">
        <v>296</v>
      </c>
    </row>
    <row r="34" spans="1:40" s="3" customFormat="1" x14ac:dyDescent="0.25">
      <c r="A34" s="4">
        <v>45944</v>
      </c>
      <c r="B34" s="6" t="s">
        <v>208</v>
      </c>
      <c r="C34" t="str">
        <f>_xlfn.XLOOKUP([1]!Table3[[#This Row],[station]],[1]station_waterbody_county!A:A, [1]station_waterbody_county!B:B)</f>
        <v>Dover Bay</v>
      </c>
      <c r="D34" t="str">
        <f>_xlfn.XLOOKUP([1]!Table3[[#This Row],[station]],[1]station_waterbody_county!A:A, [1]station_waterbody_county!C:C)</f>
        <v>Guysborough</v>
      </c>
      <c r="E34" s="6"/>
      <c r="F34" s="6" t="s">
        <v>255</v>
      </c>
      <c r="G34" s="4">
        <v>45603</v>
      </c>
      <c r="H34" s="5">
        <v>0.64166666666666672</v>
      </c>
      <c r="I34" s="4">
        <v>45925</v>
      </c>
      <c r="J34" s="5">
        <v>0.59444444444444444</v>
      </c>
      <c r="K34" s="8"/>
      <c r="L34" s="8"/>
      <c r="M34" s="8"/>
      <c r="N34" s="8"/>
      <c r="O34" s="6" t="s">
        <v>292</v>
      </c>
      <c r="P34" s="6" t="s">
        <v>293</v>
      </c>
      <c r="Q34" s="6" t="s">
        <v>958</v>
      </c>
      <c r="R34" s="6" t="s">
        <v>293</v>
      </c>
      <c r="S34" s="6" t="s">
        <v>239</v>
      </c>
      <c r="T34" s="9">
        <v>22030580</v>
      </c>
      <c r="U34" s="7">
        <v>10</v>
      </c>
      <c r="V34" s="6" t="s">
        <v>36</v>
      </c>
      <c r="W34" s="7">
        <v>26.5</v>
      </c>
      <c r="X34" s="6" t="s">
        <v>35</v>
      </c>
      <c r="Y34" s="7">
        <v>1.3</v>
      </c>
      <c r="Z34" s="7">
        <v>1</v>
      </c>
      <c r="AA34" s="6" t="s">
        <v>242</v>
      </c>
      <c r="AB34" s="6" t="s">
        <v>258</v>
      </c>
      <c r="AC34" s="6"/>
      <c r="AD34" s="6" t="s">
        <v>39</v>
      </c>
      <c r="AE34" s="6"/>
      <c r="AF34" s="9"/>
      <c r="AG34" s="6" t="s">
        <v>37</v>
      </c>
      <c r="AH34" s="7">
        <v>60</v>
      </c>
      <c r="AI34" s="6" t="s">
        <v>40</v>
      </c>
      <c r="AJ34" s="6" t="s">
        <v>238</v>
      </c>
      <c r="AK34" s="6" t="s">
        <v>35</v>
      </c>
      <c r="AL34" s="6" t="s">
        <v>41</v>
      </c>
      <c r="AM34" s="6" t="s">
        <v>41</v>
      </c>
      <c r="AN34" s="6" t="s">
        <v>296</v>
      </c>
    </row>
    <row r="35" spans="1:40" s="3" customFormat="1" x14ac:dyDescent="0.25">
      <c r="A35" s="4">
        <v>45944</v>
      </c>
      <c r="B35" s="6" t="s">
        <v>208</v>
      </c>
      <c r="C35" t="str">
        <f>_xlfn.XLOOKUP([1]!Table3[[#This Row],[station]],[1]station_waterbody_county!A:A, [1]station_waterbody_county!B:B)</f>
        <v>Dover Bay</v>
      </c>
      <c r="D35" t="str">
        <f>_xlfn.XLOOKUP([1]!Table3[[#This Row],[station]],[1]station_waterbody_county!A:A, [1]station_waterbody_county!C:C)</f>
        <v>Guysborough</v>
      </c>
      <c r="E35" s="6"/>
      <c r="F35" s="6" t="s">
        <v>255</v>
      </c>
      <c r="G35" s="4">
        <v>45603</v>
      </c>
      <c r="H35" s="5">
        <v>0.64166666666666672</v>
      </c>
      <c r="I35" s="4">
        <v>45925</v>
      </c>
      <c r="J35" s="5">
        <v>0.59444444444444444</v>
      </c>
      <c r="K35" s="8"/>
      <c r="L35" s="8"/>
      <c r="M35" s="8"/>
      <c r="N35" s="8"/>
      <c r="O35" s="6" t="s">
        <v>292</v>
      </c>
      <c r="P35" s="6" t="s">
        <v>293</v>
      </c>
      <c r="Q35" s="6" t="s">
        <v>958</v>
      </c>
      <c r="R35" s="6" t="s">
        <v>293</v>
      </c>
      <c r="S35" s="6" t="s">
        <v>239</v>
      </c>
      <c r="T35" s="9">
        <v>22048590</v>
      </c>
      <c r="U35" s="7">
        <v>15</v>
      </c>
      <c r="V35" s="6" t="s">
        <v>36</v>
      </c>
      <c r="W35" s="7">
        <v>26.5</v>
      </c>
      <c r="X35" s="6" t="s">
        <v>35</v>
      </c>
      <c r="Y35" s="7">
        <v>1.3</v>
      </c>
      <c r="Z35" s="7">
        <v>1</v>
      </c>
      <c r="AA35" s="6" t="s">
        <v>242</v>
      </c>
      <c r="AB35" s="6" t="s">
        <v>258</v>
      </c>
      <c r="AC35" s="6"/>
      <c r="AD35" s="6" t="s">
        <v>39</v>
      </c>
      <c r="AE35" s="6"/>
      <c r="AF35" s="9"/>
      <c r="AG35" s="6" t="s">
        <v>37</v>
      </c>
      <c r="AH35" s="7">
        <v>60</v>
      </c>
      <c r="AI35" s="6" t="s">
        <v>40</v>
      </c>
      <c r="AJ35" s="6" t="s">
        <v>238</v>
      </c>
      <c r="AK35" s="6" t="s">
        <v>35</v>
      </c>
      <c r="AL35" s="6" t="s">
        <v>41</v>
      </c>
      <c r="AM35" s="6" t="s">
        <v>41</v>
      </c>
      <c r="AN35" s="6" t="s">
        <v>296</v>
      </c>
    </row>
    <row r="36" spans="1:40" s="3" customFormat="1" x14ac:dyDescent="0.25">
      <c r="A36" s="4">
        <v>45944</v>
      </c>
      <c r="B36" s="6" t="s">
        <v>208</v>
      </c>
      <c r="C36" t="str">
        <f>_xlfn.XLOOKUP([1]!Table3[[#This Row],[station]],[1]station_waterbody_county!A:A, [1]station_waterbody_county!B:B)</f>
        <v>Dover Bay</v>
      </c>
      <c r="D36" t="str">
        <f>_xlfn.XLOOKUP([1]!Table3[[#This Row],[station]],[1]station_waterbody_county!A:A, [1]station_waterbody_county!C:C)</f>
        <v>Guysborough</v>
      </c>
      <c r="E36" s="6"/>
      <c r="F36" s="6" t="s">
        <v>255</v>
      </c>
      <c r="G36" s="4">
        <v>45603</v>
      </c>
      <c r="H36" s="5">
        <v>0.64166666666666672</v>
      </c>
      <c r="I36" s="4">
        <v>45925</v>
      </c>
      <c r="J36" s="5">
        <v>0.59444444444444444</v>
      </c>
      <c r="K36" s="8"/>
      <c r="L36" s="8"/>
      <c r="M36" s="8"/>
      <c r="N36" s="8"/>
      <c r="O36" s="6" t="s">
        <v>292</v>
      </c>
      <c r="P36" s="6" t="s">
        <v>293</v>
      </c>
      <c r="Q36" s="6" t="s">
        <v>958</v>
      </c>
      <c r="R36" s="6" t="s">
        <v>293</v>
      </c>
      <c r="S36" s="6" t="s">
        <v>42</v>
      </c>
      <c r="T36" s="9">
        <v>548575</v>
      </c>
      <c r="U36" s="7">
        <v>24</v>
      </c>
      <c r="V36" s="6" t="s">
        <v>36</v>
      </c>
      <c r="W36" s="7">
        <v>26.5</v>
      </c>
      <c r="X36" s="6" t="s">
        <v>35</v>
      </c>
      <c r="Y36" s="7">
        <v>1.3</v>
      </c>
      <c r="Z36" s="7">
        <v>1</v>
      </c>
      <c r="AA36" s="6" t="s">
        <v>242</v>
      </c>
      <c r="AB36" s="6" t="s">
        <v>258</v>
      </c>
      <c r="AC36" s="6"/>
      <c r="AD36" s="6" t="s">
        <v>39</v>
      </c>
      <c r="AE36" s="6"/>
      <c r="AF36" s="9"/>
      <c r="AG36" s="6" t="s">
        <v>37</v>
      </c>
      <c r="AH36" s="7">
        <v>60</v>
      </c>
      <c r="AI36" s="6" t="s">
        <v>40</v>
      </c>
      <c r="AJ36" s="6" t="s">
        <v>238</v>
      </c>
      <c r="AK36" s="6" t="s">
        <v>35</v>
      </c>
      <c r="AL36" s="6" t="s">
        <v>41</v>
      </c>
      <c r="AM36" s="6" t="s">
        <v>41</v>
      </c>
      <c r="AN36" s="6" t="s">
        <v>296</v>
      </c>
    </row>
    <row r="37" spans="1:40" s="3" customFormat="1" x14ac:dyDescent="0.25">
      <c r="A37" s="4">
        <v>45944</v>
      </c>
      <c r="B37" s="6" t="s">
        <v>208</v>
      </c>
      <c r="C37" t="str">
        <f>_xlfn.XLOOKUP([1]!Table3[[#This Row],[station]],[1]station_waterbody_county!A:A, [1]station_waterbody_county!B:B)</f>
        <v>Dover Bay</v>
      </c>
      <c r="D37" t="str">
        <f>_xlfn.XLOOKUP([1]!Table3[[#This Row],[station]],[1]station_waterbody_county!A:A, [1]station_waterbody_county!C:C)</f>
        <v>Guysborough</v>
      </c>
      <c r="E37" s="6"/>
      <c r="F37" s="6" t="s">
        <v>255</v>
      </c>
      <c r="G37" s="4">
        <v>45603</v>
      </c>
      <c r="H37" s="5">
        <v>0.64166666666666672</v>
      </c>
      <c r="I37" s="4">
        <v>45925</v>
      </c>
      <c r="J37" s="5">
        <v>0.59444444444444444</v>
      </c>
      <c r="K37" s="8"/>
      <c r="L37" s="8"/>
      <c r="M37" s="8"/>
      <c r="N37" s="8"/>
      <c r="O37" s="6" t="s">
        <v>292</v>
      </c>
      <c r="P37" s="6" t="s">
        <v>293</v>
      </c>
      <c r="Q37" s="6" t="s">
        <v>958</v>
      </c>
      <c r="R37" s="6" t="s">
        <v>293</v>
      </c>
      <c r="S37" s="6" t="s">
        <v>239</v>
      </c>
      <c r="T37" s="9">
        <v>22048601</v>
      </c>
      <c r="U37" s="7">
        <v>24</v>
      </c>
      <c r="V37" s="6" t="s">
        <v>36</v>
      </c>
      <c r="W37" s="7">
        <v>26.5</v>
      </c>
      <c r="X37" s="6" t="s">
        <v>35</v>
      </c>
      <c r="Y37" s="7">
        <v>1.3</v>
      </c>
      <c r="Z37" s="7">
        <v>1</v>
      </c>
      <c r="AA37" s="6" t="s">
        <v>242</v>
      </c>
      <c r="AB37" s="6" t="s">
        <v>258</v>
      </c>
      <c r="AC37" s="6"/>
      <c r="AD37" s="6" t="s">
        <v>39</v>
      </c>
      <c r="AE37" s="6"/>
      <c r="AF37" s="9"/>
      <c r="AG37" s="6" t="s">
        <v>37</v>
      </c>
      <c r="AH37" s="7">
        <v>60</v>
      </c>
      <c r="AI37" s="6" t="s">
        <v>40</v>
      </c>
      <c r="AJ37" s="6" t="s">
        <v>238</v>
      </c>
      <c r="AK37" s="6" t="s">
        <v>35</v>
      </c>
      <c r="AL37" s="6" t="s">
        <v>41</v>
      </c>
      <c r="AM37" s="6" t="s">
        <v>41</v>
      </c>
      <c r="AN37" s="6" t="s">
        <v>296</v>
      </c>
    </row>
    <row r="38" spans="1:40" s="3" customFormat="1" x14ac:dyDescent="0.25">
      <c r="A38" s="4">
        <v>45944</v>
      </c>
      <c r="B38" s="6" t="s">
        <v>214</v>
      </c>
      <c r="C38" t="str">
        <f>_xlfn.XLOOKUP([1]!Table3[[#This Row],[station]],[1]station_waterbody_county!A:A, [1]station_waterbody_county!B:B)</f>
        <v>Spry Bay</v>
      </c>
      <c r="D38" t="str">
        <f>_xlfn.XLOOKUP([1]!Table3[[#This Row],[station]],[1]station_waterbody_county!A:A, [1]station_waterbody_county!C:C)</f>
        <v>Halifax</v>
      </c>
      <c r="E38" s="6"/>
      <c r="F38" s="6" t="s">
        <v>255</v>
      </c>
      <c r="G38" s="4">
        <v>45547</v>
      </c>
      <c r="H38" s="5">
        <v>0.6020833333333333</v>
      </c>
      <c r="I38" s="4">
        <v>45925</v>
      </c>
      <c r="J38" s="5">
        <v>0.6020833333333333</v>
      </c>
      <c r="K38" s="8"/>
      <c r="L38" s="8"/>
      <c r="M38" s="8"/>
      <c r="N38" s="8"/>
      <c r="O38" s="6" t="s">
        <v>270</v>
      </c>
      <c r="P38" s="6" t="s">
        <v>271</v>
      </c>
      <c r="Q38" s="6" t="s">
        <v>941</v>
      </c>
      <c r="R38" s="6" t="s">
        <v>271</v>
      </c>
      <c r="S38" s="6" t="s">
        <v>239</v>
      </c>
      <c r="T38" s="9">
        <v>21043082</v>
      </c>
      <c r="U38" s="7">
        <v>2</v>
      </c>
      <c r="V38" s="6" t="s">
        <v>36</v>
      </c>
      <c r="W38" s="7">
        <v>18.3</v>
      </c>
      <c r="X38" s="6" t="s">
        <v>35</v>
      </c>
      <c r="Y38" s="7">
        <v>1.1000000000000001</v>
      </c>
      <c r="Z38" s="7">
        <v>0.5</v>
      </c>
      <c r="AA38" s="6" t="s">
        <v>242</v>
      </c>
      <c r="AB38" s="6" t="s">
        <v>38</v>
      </c>
      <c r="AC38" s="6"/>
      <c r="AD38" s="6" t="s">
        <v>39</v>
      </c>
      <c r="AE38" s="6"/>
      <c r="AF38" s="9"/>
      <c r="AG38" s="6" t="s">
        <v>37</v>
      </c>
      <c r="AH38" s="7">
        <v>60</v>
      </c>
      <c r="AI38" s="6" t="s">
        <v>40</v>
      </c>
      <c r="AJ38" s="6" t="s">
        <v>238</v>
      </c>
      <c r="AK38" s="6"/>
      <c r="AL38" s="6" t="s">
        <v>41</v>
      </c>
      <c r="AM38" s="6" t="s">
        <v>41</v>
      </c>
      <c r="AN38" s="6"/>
    </row>
    <row r="39" spans="1:40" s="3" customFormat="1" x14ac:dyDescent="0.25">
      <c r="A39" s="4">
        <v>45944</v>
      </c>
      <c r="B39" s="6" t="s">
        <v>214</v>
      </c>
      <c r="C39" t="str">
        <f>_xlfn.XLOOKUP([1]!Table3[[#This Row],[station]],[1]station_waterbody_county!A:A, [1]station_waterbody_county!B:B)</f>
        <v>Spry Bay</v>
      </c>
      <c r="D39" t="str">
        <f>_xlfn.XLOOKUP([1]!Table3[[#This Row],[station]],[1]station_waterbody_county!A:A, [1]station_waterbody_county!C:C)</f>
        <v>Halifax</v>
      </c>
      <c r="E39" s="6"/>
      <c r="F39" s="6" t="s">
        <v>255</v>
      </c>
      <c r="G39" s="4">
        <v>45547</v>
      </c>
      <c r="H39" s="5">
        <v>0.6020833333333333</v>
      </c>
      <c r="I39" s="4">
        <v>45925</v>
      </c>
      <c r="J39" s="5">
        <v>0.6020833333333333</v>
      </c>
      <c r="K39" s="8"/>
      <c r="L39" s="8"/>
      <c r="M39" s="8"/>
      <c r="N39" s="8"/>
      <c r="O39" s="6" t="s">
        <v>270</v>
      </c>
      <c r="P39" s="6" t="s">
        <v>271</v>
      </c>
      <c r="Q39" s="6" t="s">
        <v>941</v>
      </c>
      <c r="R39" s="6" t="s">
        <v>271</v>
      </c>
      <c r="S39" s="6" t="s">
        <v>240</v>
      </c>
      <c r="T39" s="9">
        <v>671432</v>
      </c>
      <c r="U39" s="7">
        <v>5</v>
      </c>
      <c r="V39" s="6" t="s">
        <v>36</v>
      </c>
      <c r="W39" s="7">
        <v>18.3</v>
      </c>
      <c r="X39" s="6" t="s">
        <v>35</v>
      </c>
      <c r="Y39" s="7">
        <v>1.1000000000000001</v>
      </c>
      <c r="Z39" s="7">
        <v>0.5</v>
      </c>
      <c r="AA39" s="6" t="s">
        <v>242</v>
      </c>
      <c r="AB39" s="6" t="s">
        <v>38</v>
      </c>
      <c r="AC39" s="6"/>
      <c r="AD39" s="6" t="s">
        <v>39</v>
      </c>
      <c r="AE39" s="6"/>
      <c r="AF39" s="9"/>
      <c r="AG39" s="6" t="s">
        <v>37</v>
      </c>
      <c r="AH39" s="7">
        <v>60</v>
      </c>
      <c r="AI39" s="6" t="s">
        <v>40</v>
      </c>
      <c r="AJ39" s="6" t="s">
        <v>238</v>
      </c>
      <c r="AK39" s="6"/>
      <c r="AL39" s="6" t="s">
        <v>41</v>
      </c>
      <c r="AM39" s="6" t="s">
        <v>41</v>
      </c>
      <c r="AN39" s="6"/>
    </row>
    <row r="40" spans="1:40" s="3" customFormat="1" x14ac:dyDescent="0.25">
      <c r="A40" s="4">
        <v>45944</v>
      </c>
      <c r="B40" s="6" t="s">
        <v>214</v>
      </c>
      <c r="C40" t="str">
        <f>_xlfn.XLOOKUP([1]!Table3[[#This Row],[station]],[1]station_waterbody_county!A:A, [1]station_waterbody_county!B:B)</f>
        <v>Spry Bay</v>
      </c>
      <c r="D40" t="str">
        <f>_xlfn.XLOOKUP([1]!Table3[[#This Row],[station]],[1]station_waterbody_county!A:A, [1]station_waterbody_county!C:C)</f>
        <v>Halifax</v>
      </c>
      <c r="E40" s="6"/>
      <c r="F40" s="6" t="s">
        <v>255</v>
      </c>
      <c r="G40" s="4">
        <v>45547</v>
      </c>
      <c r="H40" s="5">
        <v>0.6020833333333333</v>
      </c>
      <c r="I40" s="4">
        <v>45925</v>
      </c>
      <c r="J40" s="5">
        <v>0.6020833333333333</v>
      </c>
      <c r="K40" s="8"/>
      <c r="L40" s="8"/>
      <c r="M40" s="8"/>
      <c r="N40" s="8"/>
      <c r="O40" s="6" t="s">
        <v>270</v>
      </c>
      <c r="P40" s="6" t="s">
        <v>271</v>
      </c>
      <c r="Q40" s="6" t="s">
        <v>941</v>
      </c>
      <c r="R40" s="6" t="s">
        <v>271</v>
      </c>
      <c r="S40" s="6" t="s">
        <v>239</v>
      </c>
      <c r="T40" s="9">
        <v>20291480</v>
      </c>
      <c r="U40" s="7">
        <v>10</v>
      </c>
      <c r="V40" s="6" t="s">
        <v>36</v>
      </c>
      <c r="W40" s="7">
        <v>18.3</v>
      </c>
      <c r="X40" s="6" t="s">
        <v>35</v>
      </c>
      <c r="Y40" s="7">
        <v>1.1000000000000001</v>
      </c>
      <c r="Z40" s="7">
        <v>0.5</v>
      </c>
      <c r="AA40" s="6" t="s">
        <v>242</v>
      </c>
      <c r="AB40" s="6" t="s">
        <v>38</v>
      </c>
      <c r="AC40" s="6"/>
      <c r="AD40" s="6" t="s">
        <v>39</v>
      </c>
      <c r="AE40" s="6"/>
      <c r="AF40" s="9"/>
      <c r="AG40" s="6" t="s">
        <v>37</v>
      </c>
      <c r="AH40" s="7">
        <v>60</v>
      </c>
      <c r="AI40" s="6" t="s">
        <v>40</v>
      </c>
      <c r="AJ40" s="6" t="s">
        <v>238</v>
      </c>
      <c r="AK40" s="6"/>
      <c r="AL40" s="6" t="s">
        <v>41</v>
      </c>
      <c r="AM40" s="6" t="s">
        <v>41</v>
      </c>
      <c r="AN40" s="6"/>
    </row>
    <row r="41" spans="1:40" s="3" customFormat="1" x14ac:dyDescent="0.25">
      <c r="A41" s="4">
        <v>45944</v>
      </c>
      <c r="B41" s="6" t="s">
        <v>214</v>
      </c>
      <c r="C41" t="str">
        <f>_xlfn.XLOOKUP([1]!Table3[[#This Row],[station]],[1]station_waterbody_county!A:A, [1]station_waterbody_county!B:B)</f>
        <v>Spry Bay</v>
      </c>
      <c r="D41" t="str">
        <f>_xlfn.XLOOKUP([1]!Table3[[#This Row],[station]],[1]station_waterbody_county!A:A, [1]station_waterbody_county!C:C)</f>
        <v>Halifax</v>
      </c>
      <c r="E41" s="6"/>
      <c r="F41" s="6" t="s">
        <v>255</v>
      </c>
      <c r="G41" s="4">
        <v>45547</v>
      </c>
      <c r="H41" s="5">
        <v>0.6020833333333333</v>
      </c>
      <c r="I41" s="4">
        <v>45925</v>
      </c>
      <c r="J41" s="5">
        <v>0.6020833333333333</v>
      </c>
      <c r="K41" s="8"/>
      <c r="L41" s="8"/>
      <c r="M41" s="8"/>
      <c r="N41" s="8"/>
      <c r="O41" s="6" t="s">
        <v>270</v>
      </c>
      <c r="P41" s="6" t="s">
        <v>271</v>
      </c>
      <c r="Q41" s="6" t="s">
        <v>941</v>
      </c>
      <c r="R41" s="6" t="s">
        <v>271</v>
      </c>
      <c r="S41" s="6" t="s">
        <v>239</v>
      </c>
      <c r="T41" s="9">
        <v>20820351</v>
      </c>
      <c r="U41" s="7">
        <v>12</v>
      </c>
      <c r="V41" s="6" t="s">
        <v>36</v>
      </c>
      <c r="W41" s="7">
        <v>18.3</v>
      </c>
      <c r="X41" s="6" t="s">
        <v>35</v>
      </c>
      <c r="Y41" s="7">
        <v>1.1000000000000001</v>
      </c>
      <c r="Z41" s="7">
        <v>0.5</v>
      </c>
      <c r="AA41" s="6" t="s">
        <v>242</v>
      </c>
      <c r="AB41" s="6" t="s">
        <v>38</v>
      </c>
      <c r="AC41" s="6"/>
      <c r="AD41" s="6" t="s">
        <v>39</v>
      </c>
      <c r="AE41" s="6"/>
      <c r="AF41" s="9"/>
      <c r="AG41" s="6" t="s">
        <v>37</v>
      </c>
      <c r="AH41" s="7">
        <v>60</v>
      </c>
      <c r="AI41" s="6" t="s">
        <v>40</v>
      </c>
      <c r="AJ41" s="6" t="s">
        <v>238</v>
      </c>
      <c r="AK41" s="6"/>
      <c r="AL41" s="6" t="s">
        <v>41</v>
      </c>
      <c r="AM41" s="6" t="s">
        <v>41</v>
      </c>
      <c r="AN41" s="6"/>
    </row>
    <row r="42" spans="1:40" s="3" customFormat="1" x14ac:dyDescent="0.25">
      <c r="A42" s="4">
        <v>45944</v>
      </c>
      <c r="B42" s="6" t="s">
        <v>214</v>
      </c>
      <c r="C42" t="str">
        <f>_xlfn.XLOOKUP([1]!Table3[[#This Row],[station]],[1]station_waterbody_county!A:A, [1]station_waterbody_county!B:B)</f>
        <v>Spry Bay</v>
      </c>
      <c r="D42" t="str">
        <f>_xlfn.XLOOKUP([1]!Table3[[#This Row],[station]],[1]station_waterbody_county!A:A, [1]station_waterbody_county!C:C)</f>
        <v>Halifax</v>
      </c>
      <c r="E42" s="6"/>
      <c r="F42" s="6" t="s">
        <v>255</v>
      </c>
      <c r="G42" s="4">
        <v>45547</v>
      </c>
      <c r="H42" s="5">
        <v>0.6020833333333333</v>
      </c>
      <c r="I42" s="4">
        <v>45925</v>
      </c>
      <c r="J42" s="5">
        <v>0.6020833333333333</v>
      </c>
      <c r="K42" s="8"/>
      <c r="L42" s="8"/>
      <c r="M42" s="8"/>
      <c r="N42" s="8"/>
      <c r="O42" s="6" t="s">
        <v>270</v>
      </c>
      <c r="P42" s="6" t="s">
        <v>271</v>
      </c>
      <c r="Q42" s="6" t="s">
        <v>941</v>
      </c>
      <c r="R42" s="6" t="s">
        <v>271</v>
      </c>
      <c r="S42" s="6" t="s">
        <v>42</v>
      </c>
      <c r="T42" s="9">
        <v>548555</v>
      </c>
      <c r="U42" s="7">
        <v>12</v>
      </c>
      <c r="V42" s="6" t="s">
        <v>36</v>
      </c>
      <c r="W42" s="7">
        <v>18.3</v>
      </c>
      <c r="X42" s="6" t="s">
        <v>35</v>
      </c>
      <c r="Y42" s="7">
        <v>1.1000000000000001</v>
      </c>
      <c r="Z42" s="7">
        <v>0.5</v>
      </c>
      <c r="AA42" s="6" t="s">
        <v>242</v>
      </c>
      <c r="AB42" s="6" t="s">
        <v>38</v>
      </c>
      <c r="AC42" s="6"/>
      <c r="AD42" s="6" t="s">
        <v>39</v>
      </c>
      <c r="AE42" s="6"/>
      <c r="AF42" s="9"/>
      <c r="AG42" s="6" t="s">
        <v>37</v>
      </c>
      <c r="AH42" s="7">
        <v>60</v>
      </c>
      <c r="AI42" s="6" t="s">
        <v>40</v>
      </c>
      <c r="AJ42" s="6" t="s">
        <v>238</v>
      </c>
      <c r="AK42" s="6"/>
      <c r="AL42" s="6" t="s">
        <v>41</v>
      </c>
      <c r="AM42" s="6" t="s">
        <v>41</v>
      </c>
      <c r="AN42" s="6"/>
    </row>
    <row r="43" spans="1:40" s="3" customFormat="1" x14ac:dyDescent="0.25">
      <c r="A43" s="4">
        <v>45944</v>
      </c>
      <c r="B43" s="6" t="s">
        <v>222</v>
      </c>
      <c r="C43" t="str">
        <f>_xlfn.XLOOKUP([1]!Table3[[#This Row],[station]],[1]station_waterbody_county!A:A, [1]station_waterbody_county!B:B)</f>
        <v>New Harbour</v>
      </c>
      <c r="D43" t="str">
        <f>_xlfn.XLOOKUP([1]!Table3[[#This Row],[station]],[1]station_waterbody_county!A:A, [1]station_waterbody_county!C:C)</f>
        <v>Guysborough</v>
      </c>
      <c r="E43" s="6"/>
      <c r="F43" s="6" t="s">
        <v>255</v>
      </c>
      <c r="G43" s="4">
        <v>45603</v>
      </c>
      <c r="H43" s="5">
        <v>0.48194444444444445</v>
      </c>
      <c r="I43" s="4">
        <v>45925</v>
      </c>
      <c r="J43" s="5">
        <v>0.47013888888888888</v>
      </c>
      <c r="K43" s="8"/>
      <c r="L43" s="8"/>
      <c r="M43" s="8"/>
      <c r="N43" s="8"/>
      <c r="O43" s="6" t="s">
        <v>286</v>
      </c>
      <c r="P43" s="6" t="s">
        <v>287</v>
      </c>
      <c r="Q43" s="6" t="s">
        <v>937</v>
      </c>
      <c r="R43" s="6" t="s">
        <v>938</v>
      </c>
      <c r="S43" s="6" t="s">
        <v>239</v>
      </c>
      <c r="T43" s="9">
        <v>22048603</v>
      </c>
      <c r="U43" s="7">
        <v>2</v>
      </c>
      <c r="V43" s="6" t="s">
        <v>36</v>
      </c>
      <c r="W43" s="7">
        <v>31.7</v>
      </c>
      <c r="X43" s="6" t="s">
        <v>35</v>
      </c>
      <c r="Y43" s="7">
        <v>0.6</v>
      </c>
      <c r="Z43" s="7">
        <v>1</v>
      </c>
      <c r="AA43" s="6" t="s">
        <v>242</v>
      </c>
      <c r="AB43" s="6" t="s">
        <v>38</v>
      </c>
      <c r="AC43" s="6"/>
      <c r="AD43" s="6" t="s">
        <v>39</v>
      </c>
      <c r="AE43" s="6" t="s">
        <v>40</v>
      </c>
      <c r="AF43" s="9"/>
      <c r="AG43" s="6" t="s">
        <v>37</v>
      </c>
      <c r="AH43" s="7">
        <v>60</v>
      </c>
      <c r="AI43" s="6" t="s">
        <v>40</v>
      </c>
      <c r="AJ43" s="6" t="s">
        <v>238</v>
      </c>
      <c r="AK43" s="6"/>
      <c r="AL43" s="6" t="s">
        <v>41</v>
      </c>
      <c r="AM43" s="6" t="s">
        <v>41</v>
      </c>
      <c r="AN43" s="6"/>
    </row>
    <row r="44" spans="1:40" s="3" customFormat="1" x14ac:dyDescent="0.25">
      <c r="A44" s="4">
        <v>45944</v>
      </c>
      <c r="B44" s="6" t="s">
        <v>222</v>
      </c>
      <c r="C44" t="str">
        <f>_xlfn.XLOOKUP([1]!Table3[[#This Row],[station]],[1]station_waterbody_county!A:A, [1]station_waterbody_county!B:B)</f>
        <v>New Harbour</v>
      </c>
      <c r="D44" t="str">
        <f>_xlfn.XLOOKUP([1]!Table3[[#This Row],[station]],[1]station_waterbody_county!A:A, [1]station_waterbody_county!C:C)</f>
        <v>Guysborough</v>
      </c>
      <c r="E44" s="6"/>
      <c r="F44" s="6" t="s">
        <v>255</v>
      </c>
      <c r="G44" s="4">
        <v>45603</v>
      </c>
      <c r="H44" s="5">
        <v>0.48194444444444445</v>
      </c>
      <c r="I44" s="4">
        <v>45925</v>
      </c>
      <c r="J44" s="5">
        <v>0.47013888888888888</v>
      </c>
      <c r="K44" s="8"/>
      <c r="L44" s="8"/>
      <c r="M44" s="8"/>
      <c r="N44" s="8"/>
      <c r="O44" s="6" t="s">
        <v>286</v>
      </c>
      <c r="P44" s="6" t="s">
        <v>287</v>
      </c>
      <c r="Q44" s="6" t="s">
        <v>937</v>
      </c>
      <c r="R44" s="6" t="s">
        <v>938</v>
      </c>
      <c r="S44" s="6" t="s">
        <v>240</v>
      </c>
      <c r="T44" s="9">
        <v>678290</v>
      </c>
      <c r="U44" s="7">
        <v>5</v>
      </c>
      <c r="V44" s="6" t="s">
        <v>36</v>
      </c>
      <c r="W44" s="7">
        <v>31.7</v>
      </c>
      <c r="X44" s="6" t="s">
        <v>35</v>
      </c>
      <c r="Y44" s="7">
        <v>0.6</v>
      </c>
      <c r="Z44" s="7">
        <v>1</v>
      </c>
      <c r="AA44" s="6" t="s">
        <v>242</v>
      </c>
      <c r="AB44" s="6" t="s">
        <v>38</v>
      </c>
      <c r="AC44" s="6"/>
      <c r="AD44" s="6" t="s">
        <v>39</v>
      </c>
      <c r="AE44" s="6" t="s">
        <v>40</v>
      </c>
      <c r="AF44" s="9"/>
      <c r="AG44" s="6" t="s">
        <v>37</v>
      </c>
      <c r="AH44" s="7">
        <v>60</v>
      </c>
      <c r="AI44" s="6" t="s">
        <v>40</v>
      </c>
      <c r="AJ44" s="6" t="s">
        <v>238</v>
      </c>
      <c r="AK44" s="6"/>
      <c r="AL44" s="6" t="s">
        <v>41</v>
      </c>
      <c r="AM44" s="6" t="s">
        <v>41</v>
      </c>
      <c r="AN44" s="6"/>
    </row>
    <row r="45" spans="1:40" s="3" customFormat="1" x14ac:dyDescent="0.25">
      <c r="A45" s="4">
        <v>45944</v>
      </c>
      <c r="B45" s="6" t="s">
        <v>222</v>
      </c>
      <c r="C45" t="str">
        <f>_xlfn.XLOOKUP([1]!Table3[[#This Row],[station]],[1]station_waterbody_county!A:A, [1]station_waterbody_county!B:B)</f>
        <v>New Harbour</v>
      </c>
      <c r="D45" t="str">
        <f>_xlfn.XLOOKUP([1]!Table3[[#This Row],[station]],[1]station_waterbody_county!A:A, [1]station_waterbody_county!C:C)</f>
        <v>Guysborough</v>
      </c>
      <c r="E45" s="6"/>
      <c r="F45" s="6" t="s">
        <v>255</v>
      </c>
      <c r="G45" s="4">
        <v>45603</v>
      </c>
      <c r="H45" s="5">
        <v>0.48194444444444445</v>
      </c>
      <c r="I45" s="4">
        <v>45925</v>
      </c>
      <c r="J45" s="5">
        <v>0.47013888888888888</v>
      </c>
      <c r="K45" s="8"/>
      <c r="L45" s="8"/>
      <c r="M45" s="8"/>
      <c r="N45" s="8"/>
      <c r="O45" s="6" t="s">
        <v>286</v>
      </c>
      <c r="P45" s="6" t="s">
        <v>287</v>
      </c>
      <c r="Q45" s="6" t="s">
        <v>937</v>
      </c>
      <c r="R45" s="6" t="s">
        <v>938</v>
      </c>
      <c r="S45" s="6" t="s">
        <v>239</v>
      </c>
      <c r="T45" s="9">
        <v>22055892</v>
      </c>
      <c r="U45" s="7">
        <v>10</v>
      </c>
      <c r="V45" s="6" t="s">
        <v>36</v>
      </c>
      <c r="W45" s="7">
        <v>31.7</v>
      </c>
      <c r="X45" s="6" t="s">
        <v>35</v>
      </c>
      <c r="Y45" s="7">
        <v>0.6</v>
      </c>
      <c r="Z45" s="7">
        <v>1</v>
      </c>
      <c r="AA45" s="6" t="s">
        <v>242</v>
      </c>
      <c r="AB45" s="6" t="s">
        <v>38</v>
      </c>
      <c r="AC45" s="6"/>
      <c r="AD45" s="6" t="s">
        <v>39</v>
      </c>
      <c r="AE45" s="6" t="s">
        <v>40</v>
      </c>
      <c r="AF45" s="9"/>
      <c r="AG45" s="6" t="s">
        <v>37</v>
      </c>
      <c r="AH45" s="7">
        <v>60</v>
      </c>
      <c r="AI45" s="6" t="s">
        <v>40</v>
      </c>
      <c r="AJ45" s="6" t="s">
        <v>238</v>
      </c>
      <c r="AK45" s="6"/>
      <c r="AL45" s="6" t="s">
        <v>41</v>
      </c>
      <c r="AM45" s="6" t="s">
        <v>41</v>
      </c>
      <c r="AN45" s="6"/>
    </row>
    <row r="46" spans="1:40" s="3" customFormat="1" x14ac:dyDescent="0.25">
      <c r="A46" s="4">
        <v>45944</v>
      </c>
      <c r="B46" s="6" t="s">
        <v>222</v>
      </c>
      <c r="C46" t="str">
        <f>_xlfn.XLOOKUP([1]!Table3[[#This Row],[station]],[1]station_waterbody_county!A:A, [1]station_waterbody_county!B:B)</f>
        <v>New Harbour</v>
      </c>
      <c r="D46" t="str">
        <f>_xlfn.XLOOKUP([1]!Table3[[#This Row],[station]],[1]station_waterbody_county!A:A, [1]station_waterbody_county!C:C)</f>
        <v>Guysborough</v>
      </c>
      <c r="E46" s="6"/>
      <c r="F46" s="6" t="s">
        <v>255</v>
      </c>
      <c r="G46" s="4">
        <v>45603</v>
      </c>
      <c r="H46" s="5">
        <v>0.48194444444444445</v>
      </c>
      <c r="I46" s="4">
        <v>45925</v>
      </c>
      <c r="J46" s="5">
        <v>0.47013888888888888</v>
      </c>
      <c r="K46" s="8"/>
      <c r="L46" s="8"/>
      <c r="M46" s="8"/>
      <c r="N46" s="8"/>
      <c r="O46" s="6" t="s">
        <v>286</v>
      </c>
      <c r="P46" s="6" t="s">
        <v>287</v>
      </c>
      <c r="Q46" s="6" t="s">
        <v>937</v>
      </c>
      <c r="R46" s="6" t="s">
        <v>938</v>
      </c>
      <c r="S46" s="6" t="s">
        <v>239</v>
      </c>
      <c r="T46" s="9">
        <v>22055912</v>
      </c>
      <c r="U46" s="7">
        <v>15</v>
      </c>
      <c r="V46" s="6" t="s">
        <v>36</v>
      </c>
      <c r="W46" s="7">
        <v>31.7</v>
      </c>
      <c r="X46" s="6" t="s">
        <v>35</v>
      </c>
      <c r="Y46" s="7">
        <v>0.6</v>
      </c>
      <c r="Z46" s="7">
        <v>1</v>
      </c>
      <c r="AA46" s="6" t="s">
        <v>242</v>
      </c>
      <c r="AB46" s="6" t="s">
        <v>38</v>
      </c>
      <c r="AC46" s="6"/>
      <c r="AD46" s="6" t="s">
        <v>39</v>
      </c>
      <c r="AE46" s="6" t="s">
        <v>40</v>
      </c>
      <c r="AF46" s="9"/>
      <c r="AG46" s="6" t="s">
        <v>37</v>
      </c>
      <c r="AH46" s="7">
        <v>60</v>
      </c>
      <c r="AI46" s="6" t="s">
        <v>40</v>
      </c>
      <c r="AJ46" s="6" t="s">
        <v>238</v>
      </c>
      <c r="AK46" s="6"/>
      <c r="AL46" s="6" t="s">
        <v>41</v>
      </c>
      <c r="AM46" s="6" t="s">
        <v>41</v>
      </c>
      <c r="AN46" s="6"/>
    </row>
    <row r="47" spans="1:40" s="3" customFormat="1" x14ac:dyDescent="0.25">
      <c r="A47" s="4">
        <v>45944</v>
      </c>
      <c r="B47" s="6" t="s">
        <v>222</v>
      </c>
      <c r="C47" t="str">
        <f>_xlfn.XLOOKUP([1]!Table3[[#This Row],[station]],[1]station_waterbody_county!A:A, [1]station_waterbody_county!B:B)</f>
        <v>New Harbour</v>
      </c>
      <c r="D47" t="str">
        <f>_xlfn.XLOOKUP([1]!Table3[[#This Row],[station]],[1]station_waterbody_county!A:A, [1]station_waterbody_county!C:C)</f>
        <v>Guysborough</v>
      </c>
      <c r="E47" s="6"/>
      <c r="F47" s="6" t="s">
        <v>255</v>
      </c>
      <c r="G47" s="4">
        <v>45603</v>
      </c>
      <c r="H47" s="5">
        <v>0.48194444444444445</v>
      </c>
      <c r="I47" s="4">
        <v>45925</v>
      </c>
      <c r="J47" s="5">
        <v>0.47013888888888888</v>
      </c>
      <c r="K47" s="8"/>
      <c r="L47" s="8"/>
      <c r="M47" s="8"/>
      <c r="N47" s="8"/>
      <c r="O47" s="6" t="s">
        <v>286</v>
      </c>
      <c r="P47" s="6" t="s">
        <v>287</v>
      </c>
      <c r="Q47" s="6" t="s">
        <v>937</v>
      </c>
      <c r="R47" s="6" t="s">
        <v>938</v>
      </c>
      <c r="S47" s="6" t="s">
        <v>42</v>
      </c>
      <c r="T47" s="9">
        <v>548043</v>
      </c>
      <c r="U47" s="7">
        <v>28</v>
      </c>
      <c r="V47" s="6" t="s">
        <v>36</v>
      </c>
      <c r="W47" s="7">
        <v>31.7</v>
      </c>
      <c r="X47" s="6" t="s">
        <v>35</v>
      </c>
      <c r="Y47" s="7">
        <v>0.6</v>
      </c>
      <c r="Z47" s="7">
        <v>1</v>
      </c>
      <c r="AA47" s="6" t="s">
        <v>242</v>
      </c>
      <c r="AB47" s="6" t="s">
        <v>38</v>
      </c>
      <c r="AC47" s="6"/>
      <c r="AD47" s="6" t="s">
        <v>39</v>
      </c>
      <c r="AE47" s="6" t="s">
        <v>40</v>
      </c>
      <c r="AF47" s="9"/>
      <c r="AG47" s="6" t="s">
        <v>37</v>
      </c>
      <c r="AH47" s="7">
        <v>60</v>
      </c>
      <c r="AI47" s="6" t="s">
        <v>40</v>
      </c>
      <c r="AJ47" s="6" t="s">
        <v>238</v>
      </c>
      <c r="AK47" s="6"/>
      <c r="AL47" s="6" t="s">
        <v>41</v>
      </c>
      <c r="AM47" s="6" t="s">
        <v>41</v>
      </c>
      <c r="AN47" s="6"/>
    </row>
    <row r="48" spans="1:40" s="3" customFormat="1" x14ac:dyDescent="0.25">
      <c r="A48" s="4">
        <v>45944</v>
      </c>
      <c r="B48" s="6" t="s">
        <v>222</v>
      </c>
      <c r="C48" t="str">
        <f>_xlfn.XLOOKUP([1]!Table3[[#This Row],[station]],[1]station_waterbody_county!A:A, [1]station_waterbody_county!B:B)</f>
        <v>New Harbour</v>
      </c>
      <c r="D48" t="str">
        <f>_xlfn.XLOOKUP([1]!Table3[[#This Row],[station]],[1]station_waterbody_county!A:A, [1]station_waterbody_county!C:C)</f>
        <v>Guysborough</v>
      </c>
      <c r="E48" s="6"/>
      <c r="F48" s="6" t="s">
        <v>255</v>
      </c>
      <c r="G48" s="4">
        <v>45603</v>
      </c>
      <c r="H48" s="5">
        <v>0.48194444444444445</v>
      </c>
      <c r="I48" s="4">
        <v>45925</v>
      </c>
      <c r="J48" s="5">
        <v>0.47013888888888888</v>
      </c>
      <c r="K48" s="8"/>
      <c r="L48" s="8"/>
      <c r="M48" s="8"/>
      <c r="N48" s="8"/>
      <c r="O48" s="6" t="s">
        <v>286</v>
      </c>
      <c r="P48" s="6" t="s">
        <v>287</v>
      </c>
      <c r="Q48" s="6" t="s">
        <v>937</v>
      </c>
      <c r="R48" s="6" t="s">
        <v>938</v>
      </c>
      <c r="S48" s="6" t="s">
        <v>239</v>
      </c>
      <c r="T48" s="9">
        <v>22055891</v>
      </c>
      <c r="U48" s="7">
        <v>28</v>
      </c>
      <c r="V48" s="6" t="s">
        <v>36</v>
      </c>
      <c r="W48" s="7">
        <v>31.7</v>
      </c>
      <c r="X48" s="6" t="s">
        <v>35</v>
      </c>
      <c r="Y48" s="7">
        <v>0.6</v>
      </c>
      <c r="Z48" s="7">
        <v>1</v>
      </c>
      <c r="AA48" s="6" t="s">
        <v>242</v>
      </c>
      <c r="AB48" s="6" t="s">
        <v>38</v>
      </c>
      <c r="AC48" s="6"/>
      <c r="AD48" s="6" t="s">
        <v>39</v>
      </c>
      <c r="AE48" s="6" t="s">
        <v>40</v>
      </c>
      <c r="AF48" s="9"/>
      <c r="AG48" s="6" t="s">
        <v>37</v>
      </c>
      <c r="AH48" s="7">
        <v>60</v>
      </c>
      <c r="AI48" s="6" t="s">
        <v>40</v>
      </c>
      <c r="AJ48" s="6" t="s">
        <v>238</v>
      </c>
      <c r="AK48" s="6"/>
      <c r="AL48" s="6" t="s">
        <v>41</v>
      </c>
      <c r="AM48" s="6" t="s">
        <v>41</v>
      </c>
      <c r="AN48" s="6"/>
    </row>
    <row r="49" spans="1:40" s="3" customFormat="1" x14ac:dyDescent="0.25">
      <c r="A49" s="4">
        <v>45944</v>
      </c>
      <c r="B49" s="6" t="s">
        <v>223</v>
      </c>
      <c r="C49" t="str">
        <f>_xlfn.XLOOKUP([1]!Table3[[#This Row],[station]],[1]station_waterbody_county!A:A, [1]station_waterbody_county!B:B)</f>
        <v>Whitehead Harbour</v>
      </c>
      <c r="D49" t="str">
        <f>_xlfn.XLOOKUP([1]!Table3[[#This Row],[station]],[1]station_waterbody_county!A:A, [1]station_waterbody_county!C:C)</f>
        <v>Guysborough</v>
      </c>
      <c r="E49" s="6" t="s">
        <v>249</v>
      </c>
      <c r="F49" s="6" t="s">
        <v>255</v>
      </c>
      <c r="G49" s="4">
        <v>45600</v>
      </c>
      <c r="H49" s="5">
        <v>0.53125</v>
      </c>
      <c r="I49" s="4">
        <v>45919</v>
      </c>
      <c r="J49" s="5">
        <v>0.49375000000000002</v>
      </c>
      <c r="K49" s="8"/>
      <c r="L49" s="8"/>
      <c r="M49" s="8"/>
      <c r="N49" s="8"/>
      <c r="O49" s="6" t="s">
        <v>284</v>
      </c>
      <c r="P49" s="6" t="s">
        <v>283</v>
      </c>
      <c r="Q49" s="6" t="s">
        <v>928</v>
      </c>
      <c r="R49" s="6" t="s">
        <v>929</v>
      </c>
      <c r="S49" s="6" t="s">
        <v>239</v>
      </c>
      <c r="T49" s="9">
        <v>22048574</v>
      </c>
      <c r="U49" s="7">
        <v>1</v>
      </c>
      <c r="V49" s="6" t="s">
        <v>243</v>
      </c>
      <c r="W49" s="7"/>
      <c r="X49" s="6" t="s">
        <v>241</v>
      </c>
      <c r="Y49" s="7"/>
      <c r="Z49" s="7"/>
      <c r="AA49" s="6"/>
      <c r="AB49" s="6"/>
      <c r="AC49" s="6"/>
      <c r="AD49" s="6"/>
      <c r="AE49" s="6"/>
      <c r="AF49" s="9"/>
      <c r="AG49" s="6"/>
      <c r="AH49" s="7"/>
      <c r="AI49" s="6" t="s">
        <v>40</v>
      </c>
      <c r="AJ49" s="6" t="s">
        <v>238</v>
      </c>
      <c r="AK49" s="6"/>
      <c r="AL49" s="6" t="s">
        <v>280</v>
      </c>
      <c r="AM49" s="6" t="s">
        <v>923</v>
      </c>
      <c r="AN49" s="6" t="s">
        <v>285</v>
      </c>
    </row>
    <row r="50" spans="1:40" s="3" customFormat="1" x14ac:dyDescent="0.25">
      <c r="A50" s="4">
        <v>45944</v>
      </c>
      <c r="B50" s="6" t="s">
        <v>223</v>
      </c>
      <c r="C50" s="6" t="str">
        <f>_xlfn.XLOOKUP([1]!Table3[[#This Row],[station]],[1]station_waterbody_county!A:A, [1]station_waterbody_county!B:B)</f>
        <v>Whitehead Harbour</v>
      </c>
      <c r="D50" s="3" t="str">
        <f>_xlfn.XLOOKUP([1]!Table3[[#This Row],[station]],[1]station_waterbody_county!A:A, [1]station_waterbody_county!C:C)</f>
        <v>Guysborough</v>
      </c>
      <c r="E50" s="6"/>
      <c r="F50" s="6" t="s">
        <v>34</v>
      </c>
      <c r="G50" s="10">
        <v>45919</v>
      </c>
      <c r="H50" s="5">
        <v>0.49375000000000002</v>
      </c>
      <c r="I50" s="4"/>
      <c r="J50" s="5"/>
      <c r="K50" s="8"/>
      <c r="L50" s="8"/>
      <c r="M50" s="8"/>
      <c r="N50" s="8"/>
      <c r="O50" s="6" t="s">
        <v>928</v>
      </c>
      <c r="P50" s="6" t="s">
        <v>929</v>
      </c>
      <c r="Q50" s="6"/>
      <c r="R50" s="6"/>
      <c r="S50" s="6" t="s">
        <v>239</v>
      </c>
      <c r="T50" s="9">
        <v>22285930</v>
      </c>
      <c r="U50" s="7">
        <v>1</v>
      </c>
      <c r="V50" s="6" t="s">
        <v>243</v>
      </c>
      <c r="W50" s="7"/>
      <c r="X50" s="6" t="s">
        <v>241</v>
      </c>
      <c r="Y50" s="7"/>
      <c r="Z50" s="7"/>
      <c r="AA50" s="6"/>
      <c r="AB50" s="6"/>
      <c r="AC50" s="6"/>
      <c r="AD50" s="6"/>
      <c r="AE50" s="6" t="s">
        <v>40</v>
      </c>
      <c r="AF50" s="9"/>
      <c r="AG50" s="6"/>
      <c r="AH50" s="7"/>
      <c r="AI50" s="6" t="s">
        <v>40</v>
      </c>
      <c r="AJ50" s="6" t="s">
        <v>238</v>
      </c>
      <c r="AK50" s="6"/>
      <c r="AL50" s="6" t="s">
        <v>923</v>
      </c>
      <c r="AM50" s="6"/>
      <c r="AN50" s="6" t="s">
        <v>924</v>
      </c>
    </row>
    <row r="51" spans="1:40" s="3" customFormat="1" x14ac:dyDescent="0.25">
      <c r="A51" s="4">
        <v>45944</v>
      </c>
      <c r="B51" s="6" t="s">
        <v>119</v>
      </c>
      <c r="C51" s="6" t="str">
        <f>_xlfn.XLOOKUP([1]!Table3[[#This Row],[station]],[1]station_waterbody_county!A:A, [1]station_waterbody_county!B:B)</f>
        <v>Whitehead Harbour</v>
      </c>
      <c r="D51" s="3" t="str">
        <f>_xlfn.XLOOKUP([1]!Table3[[#This Row],[station]],[1]station_waterbody_county!A:A, [1]station_waterbody_county!C:C)</f>
        <v>Guysborough</v>
      </c>
      <c r="E51" s="6"/>
      <c r="F51" s="6" t="s">
        <v>34</v>
      </c>
      <c r="G51" s="10">
        <v>45919</v>
      </c>
      <c r="H51" s="5">
        <v>0.48680555555555555</v>
      </c>
      <c r="I51" s="4"/>
      <c r="J51" s="5"/>
      <c r="K51" s="8"/>
      <c r="L51" s="8"/>
      <c r="M51" s="8"/>
      <c r="N51" s="8"/>
      <c r="O51" s="6" t="s">
        <v>930</v>
      </c>
      <c r="P51" s="6" t="s">
        <v>931</v>
      </c>
      <c r="Q51" s="6"/>
      <c r="R51" s="6"/>
      <c r="S51" s="6" t="s">
        <v>239</v>
      </c>
      <c r="T51" s="9">
        <v>22285880</v>
      </c>
      <c r="U51" s="7">
        <v>1</v>
      </c>
      <c r="V51" s="6" t="s">
        <v>243</v>
      </c>
      <c r="W51" s="7"/>
      <c r="X51" s="6" t="s">
        <v>241</v>
      </c>
      <c r="Y51" s="7"/>
      <c r="Z51" s="7"/>
      <c r="AA51" s="6"/>
      <c r="AB51" s="6"/>
      <c r="AC51" s="6"/>
      <c r="AD51" s="6"/>
      <c r="AE51" s="6" t="s">
        <v>40</v>
      </c>
      <c r="AF51" s="9"/>
      <c r="AG51" s="6"/>
      <c r="AH51" s="7"/>
      <c r="AI51" s="6" t="s">
        <v>40</v>
      </c>
      <c r="AJ51" s="6" t="s">
        <v>238</v>
      </c>
      <c r="AK51" s="6"/>
      <c r="AL51" s="6" t="s">
        <v>923</v>
      </c>
      <c r="AM51" s="6"/>
      <c r="AN51" s="6" t="s">
        <v>925</v>
      </c>
    </row>
    <row r="52" spans="1:40" s="3" customFormat="1" x14ac:dyDescent="0.25">
      <c r="A52" s="4">
        <v>45944</v>
      </c>
      <c r="B52" s="6" t="s">
        <v>189</v>
      </c>
      <c r="C52" s="6" t="str">
        <f>_xlfn.XLOOKUP([1]!Table3[[#This Row],[station]],[1]station_waterbody_county!A:A, [1]station_waterbody_county!B:B)</f>
        <v>Whitehead Harbour</v>
      </c>
      <c r="D52" s="3" t="str">
        <f>_xlfn.XLOOKUP([1]!Table3[[#This Row],[station]],[1]station_waterbody_county!A:A, [1]station_waterbody_county!C:C)</f>
        <v>Guysborough</v>
      </c>
      <c r="E52" s="6"/>
      <c r="F52" s="6" t="s">
        <v>34</v>
      </c>
      <c r="G52" s="10">
        <v>45919</v>
      </c>
      <c r="H52" s="5">
        <v>0.45694444444444443</v>
      </c>
      <c r="I52" s="4"/>
      <c r="J52" s="5"/>
      <c r="K52" s="8"/>
      <c r="L52" s="8"/>
      <c r="M52" s="8"/>
      <c r="N52" s="8"/>
      <c r="O52" s="6" t="s">
        <v>932</v>
      </c>
      <c r="P52" s="6" t="s">
        <v>933</v>
      </c>
      <c r="Q52" s="6"/>
      <c r="R52" s="6"/>
      <c r="S52" s="6" t="s">
        <v>239</v>
      </c>
      <c r="T52" s="9">
        <v>22285937</v>
      </c>
      <c r="U52" s="7">
        <v>1</v>
      </c>
      <c r="V52" s="6" t="s">
        <v>243</v>
      </c>
      <c r="W52" s="7"/>
      <c r="X52" s="6" t="s">
        <v>241</v>
      </c>
      <c r="Y52" s="7"/>
      <c r="Z52" s="7"/>
      <c r="AA52" s="6"/>
      <c r="AB52" s="6"/>
      <c r="AC52" s="6"/>
      <c r="AD52" s="6"/>
      <c r="AE52" s="6" t="s">
        <v>40</v>
      </c>
      <c r="AF52" s="9"/>
      <c r="AG52" s="6"/>
      <c r="AH52" s="7"/>
      <c r="AI52" s="6" t="s">
        <v>40</v>
      </c>
      <c r="AJ52" s="6" t="s">
        <v>238</v>
      </c>
      <c r="AK52" s="6"/>
      <c r="AL52" s="6" t="s">
        <v>923</v>
      </c>
      <c r="AM52" s="6"/>
      <c r="AN52" s="6" t="s">
        <v>926</v>
      </c>
    </row>
    <row r="53" spans="1:40" s="3" customFormat="1" x14ac:dyDescent="0.25">
      <c r="A53" s="4">
        <v>45944</v>
      </c>
      <c r="B53" s="6" t="s">
        <v>222</v>
      </c>
      <c r="C53" s="6" t="str">
        <f>_xlfn.XLOOKUP([1]!Table3[[#This Row],[station]],[1]station_waterbody_county!A:A, [1]station_waterbody_county!B:B)</f>
        <v>New Harbour</v>
      </c>
      <c r="D53" s="3" t="str">
        <f>_xlfn.XLOOKUP([1]!Table3[[#This Row],[station]],[1]station_waterbody_county!A:A, [1]station_waterbody_county!C:C)</f>
        <v>Guysborough</v>
      </c>
      <c r="E53" s="6"/>
      <c r="F53" s="6" t="s">
        <v>34</v>
      </c>
      <c r="G53" s="10">
        <v>45925</v>
      </c>
      <c r="H53" s="5">
        <v>0.47986111111111113</v>
      </c>
      <c r="I53" s="4"/>
      <c r="J53" s="5"/>
      <c r="K53" s="8"/>
      <c r="L53" s="8"/>
      <c r="M53" s="8"/>
      <c r="N53" s="8"/>
      <c r="O53" s="6" t="s">
        <v>939</v>
      </c>
      <c r="P53" s="6" t="s">
        <v>940</v>
      </c>
      <c r="Q53" s="6"/>
      <c r="R53" s="6"/>
      <c r="S53" s="6" t="s">
        <v>239</v>
      </c>
      <c r="T53" s="9">
        <v>22285914</v>
      </c>
      <c r="U53" s="7">
        <v>2</v>
      </c>
      <c r="V53" s="6" t="s">
        <v>36</v>
      </c>
      <c r="W53" s="7">
        <v>31.4</v>
      </c>
      <c r="X53" s="6" t="s">
        <v>35</v>
      </c>
      <c r="Y53" s="7">
        <v>1.1000000000000001</v>
      </c>
      <c r="Z53" s="7">
        <v>1.5</v>
      </c>
      <c r="AA53" s="6" t="s">
        <v>242</v>
      </c>
      <c r="AB53" s="6" t="s">
        <v>38</v>
      </c>
      <c r="AC53" s="6"/>
      <c r="AD53" s="6" t="s">
        <v>39</v>
      </c>
      <c r="AE53" s="6" t="s">
        <v>40</v>
      </c>
      <c r="AF53" s="9"/>
      <c r="AG53" s="6" t="s">
        <v>37</v>
      </c>
      <c r="AH53" s="7">
        <v>60</v>
      </c>
      <c r="AI53" s="6" t="s">
        <v>40</v>
      </c>
      <c r="AJ53" s="6" t="s">
        <v>238</v>
      </c>
      <c r="AK53" s="6"/>
      <c r="AL53" s="6" t="s">
        <v>41</v>
      </c>
      <c r="AM53" s="6"/>
      <c r="AN53" s="6"/>
    </row>
    <row r="54" spans="1:40" s="3" customFormat="1" x14ac:dyDescent="0.25">
      <c r="A54" s="4">
        <v>45944</v>
      </c>
      <c r="B54" s="6" t="s">
        <v>222</v>
      </c>
      <c r="C54" s="6" t="str">
        <f>_xlfn.XLOOKUP([1]!Table3[[#This Row],[station]],[1]station_waterbody_county!A:A, [1]station_waterbody_county!B:B)</f>
        <v>New Harbour</v>
      </c>
      <c r="D54" s="3" t="str">
        <f>_xlfn.XLOOKUP([1]!Table3[[#This Row],[station]],[1]station_waterbody_county!A:A, [1]station_waterbody_county!C:C)</f>
        <v>Guysborough</v>
      </c>
      <c r="E54" s="6"/>
      <c r="F54" s="6" t="s">
        <v>34</v>
      </c>
      <c r="G54" s="10">
        <v>45925</v>
      </c>
      <c r="H54" s="5">
        <v>0.47986111111111113</v>
      </c>
      <c r="I54" s="4"/>
      <c r="J54" s="5"/>
      <c r="K54" s="8"/>
      <c r="L54" s="8"/>
      <c r="M54" s="8"/>
      <c r="N54" s="8"/>
      <c r="O54" s="6" t="s">
        <v>939</v>
      </c>
      <c r="P54" s="6" t="s">
        <v>940</v>
      </c>
      <c r="Q54" s="6"/>
      <c r="R54" s="6"/>
      <c r="S54" s="6" t="s">
        <v>239</v>
      </c>
      <c r="T54" s="9">
        <v>22285929</v>
      </c>
      <c r="U54" s="7">
        <v>5</v>
      </c>
      <c r="V54" s="6" t="s">
        <v>36</v>
      </c>
      <c r="W54" s="7">
        <v>31.4</v>
      </c>
      <c r="X54" s="6" t="s">
        <v>35</v>
      </c>
      <c r="Y54" s="7">
        <v>1.1000000000000001</v>
      </c>
      <c r="Z54" s="7">
        <v>1.5</v>
      </c>
      <c r="AA54" s="6" t="s">
        <v>242</v>
      </c>
      <c r="AB54" s="6" t="s">
        <v>38</v>
      </c>
      <c r="AC54" s="6"/>
      <c r="AD54" s="6" t="s">
        <v>39</v>
      </c>
      <c r="AE54" s="6" t="s">
        <v>40</v>
      </c>
      <c r="AF54" s="9"/>
      <c r="AG54" s="6" t="s">
        <v>37</v>
      </c>
      <c r="AH54" s="7">
        <v>60</v>
      </c>
      <c r="AI54" s="6" t="s">
        <v>40</v>
      </c>
      <c r="AJ54" s="6" t="s">
        <v>238</v>
      </c>
      <c r="AK54" s="6"/>
      <c r="AL54" s="6" t="s">
        <v>41</v>
      </c>
      <c r="AM54" s="6"/>
      <c r="AN54" s="6"/>
    </row>
    <row r="55" spans="1:40" s="3" customFormat="1" x14ac:dyDescent="0.25">
      <c r="A55" s="4">
        <v>45944</v>
      </c>
      <c r="B55" s="6" t="s">
        <v>222</v>
      </c>
      <c r="C55" s="6" t="str">
        <f>_xlfn.XLOOKUP([1]!Table3[[#This Row],[station]],[1]station_waterbody_county!A:A, [1]station_waterbody_county!B:B)</f>
        <v>New Harbour</v>
      </c>
      <c r="D55" s="3" t="str">
        <f>_xlfn.XLOOKUP([1]!Table3[[#This Row],[station]],[1]station_waterbody_county!A:A, [1]station_waterbody_county!C:C)</f>
        <v>Guysborough</v>
      </c>
      <c r="E55" s="6"/>
      <c r="F55" s="6" t="s">
        <v>34</v>
      </c>
      <c r="G55" s="10">
        <v>45925</v>
      </c>
      <c r="H55" s="5">
        <v>0.47986111111111113</v>
      </c>
      <c r="I55" s="4"/>
      <c r="J55" s="5"/>
      <c r="K55" s="8"/>
      <c r="L55" s="8"/>
      <c r="M55" s="8"/>
      <c r="N55" s="8"/>
      <c r="O55" s="6" t="s">
        <v>939</v>
      </c>
      <c r="P55" s="6" t="s">
        <v>940</v>
      </c>
      <c r="Q55" s="6"/>
      <c r="R55" s="6"/>
      <c r="S55" s="6" t="s">
        <v>239</v>
      </c>
      <c r="T55" s="9">
        <v>22310005</v>
      </c>
      <c r="U55" s="7">
        <v>10</v>
      </c>
      <c r="V55" s="6" t="s">
        <v>36</v>
      </c>
      <c r="W55" s="7">
        <v>31.4</v>
      </c>
      <c r="X55" s="6" t="s">
        <v>35</v>
      </c>
      <c r="Y55" s="7">
        <v>1.1000000000000001</v>
      </c>
      <c r="Z55" s="7">
        <v>1.5</v>
      </c>
      <c r="AA55" s="6" t="s">
        <v>242</v>
      </c>
      <c r="AB55" s="6" t="s">
        <v>38</v>
      </c>
      <c r="AC55" s="6"/>
      <c r="AD55" s="6" t="s">
        <v>39</v>
      </c>
      <c r="AE55" s="6" t="s">
        <v>40</v>
      </c>
      <c r="AF55" s="9"/>
      <c r="AG55" s="6" t="s">
        <v>37</v>
      </c>
      <c r="AH55" s="7">
        <v>60</v>
      </c>
      <c r="AI55" s="6" t="s">
        <v>40</v>
      </c>
      <c r="AJ55" s="6" t="s">
        <v>238</v>
      </c>
      <c r="AK55" s="6"/>
      <c r="AL55" s="6" t="s">
        <v>41</v>
      </c>
      <c r="AM55" s="6"/>
      <c r="AN55" s="6"/>
    </row>
    <row r="56" spans="1:40" s="3" customFormat="1" x14ac:dyDescent="0.25">
      <c r="A56" s="4">
        <v>45944</v>
      </c>
      <c r="B56" s="6" t="s">
        <v>222</v>
      </c>
      <c r="C56" s="6" t="str">
        <f>_xlfn.XLOOKUP([1]!Table3[[#This Row],[station]],[1]station_waterbody_county!A:A, [1]station_waterbody_county!B:B)</f>
        <v>New Harbour</v>
      </c>
      <c r="D56" s="3" t="str">
        <f>_xlfn.XLOOKUP([1]!Table3[[#This Row],[station]],[1]station_waterbody_county!A:A, [1]station_waterbody_county!C:C)</f>
        <v>Guysborough</v>
      </c>
      <c r="E56" s="6"/>
      <c r="F56" s="6" t="s">
        <v>34</v>
      </c>
      <c r="G56" s="10">
        <v>45925</v>
      </c>
      <c r="H56" s="5">
        <v>0.47986111111111113</v>
      </c>
      <c r="I56" s="4"/>
      <c r="J56" s="5"/>
      <c r="K56" s="8"/>
      <c r="L56" s="8"/>
      <c r="M56" s="8"/>
      <c r="N56" s="8"/>
      <c r="O56" s="6" t="s">
        <v>939</v>
      </c>
      <c r="P56" s="6" t="s">
        <v>940</v>
      </c>
      <c r="Q56" s="6"/>
      <c r="R56" s="6"/>
      <c r="S56" s="6" t="s">
        <v>239</v>
      </c>
      <c r="T56" s="9">
        <v>21444909</v>
      </c>
      <c r="U56" s="7">
        <v>15</v>
      </c>
      <c r="V56" s="6" t="s">
        <v>36</v>
      </c>
      <c r="W56" s="7">
        <v>31.4</v>
      </c>
      <c r="X56" s="6" t="s">
        <v>35</v>
      </c>
      <c r="Y56" s="7">
        <v>1.1000000000000001</v>
      </c>
      <c r="Z56" s="7">
        <v>1.5</v>
      </c>
      <c r="AA56" s="6" t="s">
        <v>242</v>
      </c>
      <c r="AB56" s="6" t="s">
        <v>38</v>
      </c>
      <c r="AC56" s="6"/>
      <c r="AD56" s="6" t="s">
        <v>39</v>
      </c>
      <c r="AE56" s="6" t="s">
        <v>40</v>
      </c>
      <c r="AF56" s="9"/>
      <c r="AG56" s="6" t="s">
        <v>37</v>
      </c>
      <c r="AH56" s="7">
        <v>60</v>
      </c>
      <c r="AI56" s="6" t="s">
        <v>40</v>
      </c>
      <c r="AJ56" s="6" t="s">
        <v>238</v>
      </c>
      <c r="AK56" s="6"/>
      <c r="AL56" s="6" t="s">
        <v>41</v>
      </c>
      <c r="AM56" s="6"/>
      <c r="AN56" s="6"/>
    </row>
    <row r="57" spans="1:40" s="3" customFormat="1" x14ac:dyDescent="0.25">
      <c r="A57" s="4">
        <v>45944</v>
      </c>
      <c r="B57" s="6" t="s">
        <v>222</v>
      </c>
      <c r="C57" s="6" t="str">
        <f>_xlfn.XLOOKUP([1]!Table3[[#This Row],[station]],[1]station_waterbody_county!A:A, [1]station_waterbody_county!B:B)</f>
        <v>New Harbour</v>
      </c>
      <c r="D57" s="3" t="str">
        <f>_xlfn.XLOOKUP([1]!Table3[[#This Row],[station]],[1]station_waterbody_county!A:A, [1]station_waterbody_county!C:C)</f>
        <v>Guysborough</v>
      </c>
      <c r="E57" s="6"/>
      <c r="F57" s="6" t="s">
        <v>34</v>
      </c>
      <c r="G57" s="10">
        <v>45925</v>
      </c>
      <c r="H57" s="5">
        <v>0.47986111111111113</v>
      </c>
      <c r="I57" s="4"/>
      <c r="J57" s="5"/>
      <c r="K57" s="8"/>
      <c r="L57" s="8"/>
      <c r="M57" s="8"/>
      <c r="N57" s="8"/>
      <c r="O57" s="6" t="s">
        <v>939</v>
      </c>
      <c r="P57" s="6" t="s">
        <v>940</v>
      </c>
      <c r="Q57" s="6"/>
      <c r="R57" s="6"/>
      <c r="S57" s="6" t="s">
        <v>42</v>
      </c>
      <c r="T57" s="9">
        <v>547088</v>
      </c>
      <c r="U57" s="7">
        <v>28</v>
      </c>
      <c r="V57" s="6" t="s">
        <v>36</v>
      </c>
      <c r="W57" s="7">
        <v>31.4</v>
      </c>
      <c r="X57" s="6" t="s">
        <v>35</v>
      </c>
      <c r="Y57" s="7">
        <v>1.1000000000000001</v>
      </c>
      <c r="Z57" s="7">
        <v>1.5</v>
      </c>
      <c r="AA57" s="6" t="s">
        <v>242</v>
      </c>
      <c r="AB57" s="6" t="s">
        <v>38</v>
      </c>
      <c r="AC57" s="6"/>
      <c r="AD57" s="6" t="s">
        <v>39</v>
      </c>
      <c r="AE57" s="6" t="s">
        <v>40</v>
      </c>
      <c r="AF57" s="9"/>
      <c r="AG57" s="6" t="s">
        <v>37</v>
      </c>
      <c r="AH57" s="7">
        <v>60</v>
      </c>
      <c r="AI57" s="6" t="s">
        <v>40</v>
      </c>
      <c r="AJ57" s="6" t="s">
        <v>238</v>
      </c>
      <c r="AK57" s="6"/>
      <c r="AL57" s="6" t="s">
        <v>41</v>
      </c>
      <c r="AM57" s="6"/>
      <c r="AN57" s="6"/>
    </row>
    <row r="58" spans="1:40" s="3" customFormat="1" x14ac:dyDescent="0.25">
      <c r="A58" s="4">
        <v>45944</v>
      </c>
      <c r="B58" s="6" t="s">
        <v>222</v>
      </c>
      <c r="C58" s="6" t="str">
        <f>_xlfn.XLOOKUP([1]!Table3[[#This Row],[station]],[1]station_waterbody_county!A:A, [1]station_waterbody_county!B:B)</f>
        <v>New Harbour</v>
      </c>
      <c r="D58" s="3" t="str">
        <f>_xlfn.XLOOKUP([1]!Table3[[#This Row],[station]],[1]station_waterbody_county!A:A, [1]station_waterbody_county!C:C)</f>
        <v>Guysborough</v>
      </c>
      <c r="E58" s="6"/>
      <c r="F58" s="6" t="s">
        <v>34</v>
      </c>
      <c r="G58" s="10">
        <v>45925</v>
      </c>
      <c r="H58" s="5">
        <v>0.47986111111111113</v>
      </c>
      <c r="I58" s="4"/>
      <c r="J58" s="5"/>
      <c r="K58" s="8"/>
      <c r="L58" s="8"/>
      <c r="M58" s="8"/>
      <c r="N58" s="8"/>
      <c r="O58" s="6" t="s">
        <v>939</v>
      </c>
      <c r="P58" s="6" t="s">
        <v>940</v>
      </c>
      <c r="Q58" s="6"/>
      <c r="R58" s="6"/>
      <c r="S58" s="6" t="s">
        <v>239</v>
      </c>
      <c r="T58" s="9">
        <v>22310022</v>
      </c>
      <c r="U58" s="7">
        <v>28</v>
      </c>
      <c r="V58" s="6" t="s">
        <v>36</v>
      </c>
      <c r="W58" s="7">
        <v>31.4</v>
      </c>
      <c r="X58" s="6" t="s">
        <v>35</v>
      </c>
      <c r="Y58" s="7">
        <v>1.1000000000000001</v>
      </c>
      <c r="Z58" s="7">
        <v>1.5</v>
      </c>
      <c r="AA58" s="6" t="s">
        <v>242</v>
      </c>
      <c r="AB58" s="6" t="s">
        <v>38</v>
      </c>
      <c r="AC58" s="6"/>
      <c r="AD58" s="6" t="s">
        <v>39</v>
      </c>
      <c r="AE58" s="6" t="s">
        <v>40</v>
      </c>
      <c r="AF58" s="9"/>
      <c r="AG58" s="6" t="s">
        <v>37</v>
      </c>
      <c r="AH58" s="7">
        <v>60</v>
      </c>
      <c r="AI58" s="6" t="s">
        <v>40</v>
      </c>
      <c r="AJ58" s="6" t="s">
        <v>238</v>
      </c>
      <c r="AK58" s="6"/>
      <c r="AL58" s="6" t="s">
        <v>41</v>
      </c>
      <c r="AM58" s="6"/>
      <c r="AN58" s="6"/>
    </row>
    <row r="59" spans="1:40" s="3" customFormat="1" x14ac:dyDescent="0.25">
      <c r="A59" s="4">
        <v>45944</v>
      </c>
      <c r="B59" s="6" t="s">
        <v>214</v>
      </c>
      <c r="C59" s="6" t="str">
        <f>_xlfn.XLOOKUP([1]!Table3[[#This Row],[station]],[1]station_waterbody_county!A:A, [1]station_waterbody_county!B:B)</f>
        <v>Spry Bay</v>
      </c>
      <c r="D59" s="3" t="str">
        <f>_xlfn.XLOOKUP([1]!Table3[[#This Row],[station]],[1]station_waterbody_county!A:A, [1]station_waterbody_county!C:C)</f>
        <v>Halifax</v>
      </c>
      <c r="E59" s="6"/>
      <c r="F59" s="6" t="s">
        <v>34</v>
      </c>
      <c r="G59" s="10">
        <v>45925</v>
      </c>
      <c r="H59" s="5">
        <v>0.6118055555555556</v>
      </c>
      <c r="I59" s="4"/>
      <c r="J59" s="5"/>
      <c r="K59" s="8"/>
      <c r="L59" s="8"/>
      <c r="M59" s="8"/>
      <c r="N59" s="8"/>
      <c r="O59" s="6" t="s">
        <v>942</v>
      </c>
      <c r="P59" s="6" t="s">
        <v>943</v>
      </c>
      <c r="Q59" s="6"/>
      <c r="R59" s="6"/>
      <c r="S59" s="6" t="s">
        <v>239</v>
      </c>
      <c r="T59" s="9">
        <v>22285889</v>
      </c>
      <c r="U59" s="7">
        <v>2</v>
      </c>
      <c r="V59" s="6" t="s">
        <v>36</v>
      </c>
      <c r="W59" s="7">
        <v>15.5</v>
      </c>
      <c r="X59" s="6" t="s">
        <v>35</v>
      </c>
      <c r="Y59" s="7">
        <v>1.7</v>
      </c>
      <c r="Z59" s="7">
        <v>3</v>
      </c>
      <c r="AA59" s="6" t="s">
        <v>242</v>
      </c>
      <c r="AB59" s="6" t="s">
        <v>258</v>
      </c>
      <c r="AC59" s="6"/>
      <c r="AD59" s="6" t="s">
        <v>39</v>
      </c>
      <c r="AE59" s="6" t="s">
        <v>40</v>
      </c>
      <c r="AF59" s="9"/>
      <c r="AG59" s="6" t="s">
        <v>37</v>
      </c>
      <c r="AH59" s="7">
        <v>60</v>
      </c>
      <c r="AI59" s="6" t="s">
        <v>40</v>
      </c>
      <c r="AJ59" s="6" t="s">
        <v>238</v>
      </c>
      <c r="AK59" s="6"/>
      <c r="AL59" s="6" t="s">
        <v>41</v>
      </c>
      <c r="AM59" s="6"/>
      <c r="AN59" s="6"/>
    </row>
    <row r="60" spans="1:40" s="3" customFormat="1" x14ac:dyDescent="0.25">
      <c r="A60" s="4">
        <v>45944</v>
      </c>
      <c r="B60" s="6" t="s">
        <v>214</v>
      </c>
      <c r="C60" s="6" t="str">
        <f>_xlfn.XLOOKUP([1]!Table3[[#This Row],[station]],[1]station_waterbody_county!A:A, [1]station_waterbody_county!B:B)</f>
        <v>Spry Bay</v>
      </c>
      <c r="D60" s="3" t="str">
        <f>_xlfn.XLOOKUP([1]!Table3[[#This Row],[station]],[1]station_waterbody_county!A:A, [1]station_waterbody_county!C:C)</f>
        <v>Halifax</v>
      </c>
      <c r="E60" s="6"/>
      <c r="F60" s="6" t="s">
        <v>34</v>
      </c>
      <c r="G60" s="10">
        <v>45925</v>
      </c>
      <c r="H60" s="5">
        <v>0.6118055555555556</v>
      </c>
      <c r="I60" s="4"/>
      <c r="J60" s="5"/>
      <c r="K60" s="8"/>
      <c r="L60" s="8"/>
      <c r="M60" s="8"/>
      <c r="N60" s="8"/>
      <c r="O60" s="6" t="s">
        <v>942</v>
      </c>
      <c r="P60" s="6" t="s">
        <v>943</v>
      </c>
      <c r="Q60" s="6"/>
      <c r="R60" s="6"/>
      <c r="S60" s="6" t="s">
        <v>240</v>
      </c>
      <c r="T60" s="9">
        <v>671009</v>
      </c>
      <c r="U60" s="7">
        <v>5</v>
      </c>
      <c r="V60" s="6" t="s">
        <v>36</v>
      </c>
      <c r="W60" s="7">
        <v>15.5</v>
      </c>
      <c r="X60" s="6" t="s">
        <v>35</v>
      </c>
      <c r="Y60" s="7">
        <v>1.7</v>
      </c>
      <c r="Z60" s="7">
        <v>3</v>
      </c>
      <c r="AA60" s="6" t="s">
        <v>242</v>
      </c>
      <c r="AB60" s="6" t="s">
        <v>258</v>
      </c>
      <c r="AC60" s="6"/>
      <c r="AD60" s="6" t="s">
        <v>39</v>
      </c>
      <c r="AE60" s="6" t="s">
        <v>40</v>
      </c>
      <c r="AF60" s="9"/>
      <c r="AG60" s="6" t="s">
        <v>37</v>
      </c>
      <c r="AH60" s="7">
        <v>60</v>
      </c>
      <c r="AI60" s="6" t="s">
        <v>40</v>
      </c>
      <c r="AJ60" s="6" t="s">
        <v>238</v>
      </c>
      <c r="AK60" s="6"/>
      <c r="AL60" s="6" t="s">
        <v>41</v>
      </c>
      <c r="AM60" s="6"/>
      <c r="AN60" s="6"/>
    </row>
    <row r="61" spans="1:40" s="3" customFormat="1" x14ac:dyDescent="0.25">
      <c r="A61" s="4">
        <v>45944</v>
      </c>
      <c r="B61" s="6" t="s">
        <v>214</v>
      </c>
      <c r="C61" s="6" t="str">
        <f>_xlfn.XLOOKUP([1]!Table3[[#This Row],[station]],[1]station_waterbody_county!A:A, [1]station_waterbody_county!B:B)</f>
        <v>Spry Bay</v>
      </c>
      <c r="D61" s="3" t="str">
        <f>_xlfn.XLOOKUP([1]!Table3[[#This Row],[station]],[1]station_waterbody_county!A:A, [1]station_waterbody_county!C:C)</f>
        <v>Halifax</v>
      </c>
      <c r="E61" s="6"/>
      <c r="F61" s="6" t="s">
        <v>34</v>
      </c>
      <c r="G61" s="10">
        <v>45925</v>
      </c>
      <c r="H61" s="5">
        <v>0.6118055555555556</v>
      </c>
      <c r="I61" s="4"/>
      <c r="J61" s="5"/>
      <c r="K61" s="8"/>
      <c r="L61" s="8"/>
      <c r="M61" s="8"/>
      <c r="N61" s="8"/>
      <c r="O61" s="6" t="s">
        <v>942</v>
      </c>
      <c r="P61" s="6" t="s">
        <v>943</v>
      </c>
      <c r="Q61" s="6"/>
      <c r="R61" s="6"/>
      <c r="S61" s="6" t="s">
        <v>239</v>
      </c>
      <c r="T61" s="9">
        <v>21043069</v>
      </c>
      <c r="U61" s="7">
        <v>10</v>
      </c>
      <c r="V61" s="6" t="s">
        <v>36</v>
      </c>
      <c r="W61" s="7">
        <v>15.5</v>
      </c>
      <c r="X61" s="6" t="s">
        <v>35</v>
      </c>
      <c r="Y61" s="7">
        <v>1.7</v>
      </c>
      <c r="Z61" s="7">
        <v>3</v>
      </c>
      <c r="AA61" s="6" t="s">
        <v>242</v>
      </c>
      <c r="AB61" s="6" t="s">
        <v>258</v>
      </c>
      <c r="AC61" s="6"/>
      <c r="AD61" s="6" t="s">
        <v>39</v>
      </c>
      <c r="AE61" s="6" t="s">
        <v>40</v>
      </c>
      <c r="AF61" s="9"/>
      <c r="AG61" s="6" t="s">
        <v>37</v>
      </c>
      <c r="AH61" s="7">
        <v>60</v>
      </c>
      <c r="AI61" s="6" t="s">
        <v>40</v>
      </c>
      <c r="AJ61" s="6" t="s">
        <v>238</v>
      </c>
      <c r="AK61" s="6"/>
      <c r="AL61" s="6" t="s">
        <v>41</v>
      </c>
      <c r="AM61" s="6"/>
      <c r="AN61" s="6"/>
    </row>
    <row r="62" spans="1:40" s="3" customFormat="1" x14ac:dyDescent="0.25">
      <c r="A62" s="4">
        <v>45944</v>
      </c>
      <c r="B62" s="6" t="s">
        <v>214</v>
      </c>
      <c r="C62" s="6" t="str">
        <f>_xlfn.XLOOKUP([1]!Table3[[#This Row],[station]],[1]station_waterbody_county!A:A, [1]station_waterbody_county!B:B)</f>
        <v>Spry Bay</v>
      </c>
      <c r="D62" s="3" t="str">
        <f>_xlfn.XLOOKUP([1]!Table3[[#This Row],[station]],[1]station_waterbody_county!A:A, [1]station_waterbody_county!C:C)</f>
        <v>Halifax</v>
      </c>
      <c r="E62" s="6"/>
      <c r="F62" s="6" t="s">
        <v>34</v>
      </c>
      <c r="G62" s="10">
        <v>45925</v>
      </c>
      <c r="H62" s="5">
        <v>0.6118055555555556</v>
      </c>
      <c r="I62" s="4"/>
      <c r="J62" s="5"/>
      <c r="K62" s="8"/>
      <c r="L62" s="8"/>
      <c r="M62" s="8"/>
      <c r="N62" s="8"/>
      <c r="O62" s="6" t="s">
        <v>942</v>
      </c>
      <c r="P62" s="6" t="s">
        <v>943</v>
      </c>
      <c r="Q62" s="6"/>
      <c r="R62" s="6"/>
      <c r="S62" s="6" t="s">
        <v>42</v>
      </c>
      <c r="T62" s="9">
        <v>549339</v>
      </c>
      <c r="U62" s="7">
        <v>12</v>
      </c>
      <c r="V62" s="6" t="s">
        <v>36</v>
      </c>
      <c r="W62" s="7">
        <v>15.5</v>
      </c>
      <c r="X62" s="6" t="s">
        <v>35</v>
      </c>
      <c r="Y62" s="7">
        <v>1.7</v>
      </c>
      <c r="Z62" s="7">
        <v>3</v>
      </c>
      <c r="AA62" s="6" t="s">
        <v>242</v>
      </c>
      <c r="AB62" s="6" t="s">
        <v>258</v>
      </c>
      <c r="AC62" s="6"/>
      <c r="AD62" s="6" t="s">
        <v>39</v>
      </c>
      <c r="AE62" s="6" t="s">
        <v>40</v>
      </c>
      <c r="AF62" s="9"/>
      <c r="AG62" s="6" t="s">
        <v>37</v>
      </c>
      <c r="AH62" s="7">
        <v>60</v>
      </c>
      <c r="AI62" s="6" t="s">
        <v>40</v>
      </c>
      <c r="AJ62" s="6" t="s">
        <v>238</v>
      </c>
      <c r="AK62" s="6"/>
      <c r="AL62" s="6" t="s">
        <v>41</v>
      </c>
      <c r="AM62" s="6"/>
      <c r="AN62" s="6"/>
    </row>
    <row r="63" spans="1:40" s="3" customFormat="1" x14ac:dyDescent="0.25">
      <c r="A63" s="4">
        <v>45944</v>
      </c>
      <c r="B63" s="6" t="s">
        <v>214</v>
      </c>
      <c r="C63" s="6" t="str">
        <f>_xlfn.XLOOKUP([1]!Table3[[#This Row],[station]],[1]station_waterbody_county!A:A, [1]station_waterbody_county!B:B)</f>
        <v>Spry Bay</v>
      </c>
      <c r="D63" s="3" t="str">
        <f>_xlfn.XLOOKUP([1]!Table3[[#This Row],[station]],[1]station_waterbody_county!A:A, [1]station_waterbody_county!C:C)</f>
        <v>Halifax</v>
      </c>
      <c r="E63" s="6"/>
      <c r="F63" s="6" t="s">
        <v>34</v>
      </c>
      <c r="G63" s="10">
        <v>45925</v>
      </c>
      <c r="H63" s="5">
        <v>0.6118055555555556</v>
      </c>
      <c r="I63" s="4"/>
      <c r="J63" s="5"/>
      <c r="K63" s="8"/>
      <c r="L63" s="8"/>
      <c r="M63" s="8"/>
      <c r="N63" s="8"/>
      <c r="O63" s="6" t="s">
        <v>942</v>
      </c>
      <c r="P63" s="6" t="s">
        <v>943</v>
      </c>
      <c r="Q63" s="6"/>
      <c r="R63" s="6"/>
      <c r="S63" s="6" t="s">
        <v>239</v>
      </c>
      <c r="T63" s="9">
        <v>22309991</v>
      </c>
      <c r="U63" s="7">
        <v>12</v>
      </c>
      <c r="V63" s="6" t="s">
        <v>36</v>
      </c>
      <c r="W63" s="7">
        <v>15.5</v>
      </c>
      <c r="X63" s="6" t="s">
        <v>35</v>
      </c>
      <c r="Y63" s="7">
        <v>1.7</v>
      </c>
      <c r="Z63" s="7">
        <v>3</v>
      </c>
      <c r="AA63" s="6" t="s">
        <v>242</v>
      </c>
      <c r="AB63" s="6" t="s">
        <v>258</v>
      </c>
      <c r="AC63" s="6"/>
      <c r="AD63" s="6" t="s">
        <v>39</v>
      </c>
      <c r="AE63" s="6" t="s">
        <v>40</v>
      </c>
      <c r="AF63" s="9"/>
      <c r="AG63" s="6" t="s">
        <v>37</v>
      </c>
      <c r="AH63" s="7">
        <v>60</v>
      </c>
      <c r="AI63" s="6" t="s">
        <v>40</v>
      </c>
      <c r="AJ63" s="6" t="s">
        <v>238</v>
      </c>
      <c r="AK63" s="6"/>
      <c r="AL63" s="6" t="s">
        <v>41</v>
      </c>
      <c r="AM63" s="6"/>
      <c r="AN63" s="6"/>
    </row>
    <row r="64" spans="1:40" s="3" customFormat="1" x14ac:dyDescent="0.25">
      <c r="A64" s="4">
        <v>45944</v>
      </c>
      <c r="B64" s="6" t="s">
        <v>111</v>
      </c>
      <c r="C64" s="6" t="str">
        <f>_xlfn.XLOOKUP([1]!Table3[[#This Row],[station]],[1]station_waterbody_county!A:A, [1]station_waterbody_county!B:B)</f>
        <v>Marie Joseph Harbour</v>
      </c>
      <c r="D64" s="3" t="str">
        <f>_xlfn.XLOOKUP([1]!Table3[[#This Row],[station]],[1]station_waterbody_county!A:A, [1]station_waterbody_county!C:C)</f>
        <v>Guysborough</v>
      </c>
      <c r="E64" s="6"/>
      <c r="F64" s="6" t="s">
        <v>34</v>
      </c>
      <c r="G64" s="10">
        <v>45924</v>
      </c>
      <c r="H64" s="5">
        <v>0.70486111111111116</v>
      </c>
      <c r="I64" s="4"/>
      <c r="J64" s="5"/>
      <c r="K64" s="8"/>
      <c r="L64" s="8"/>
      <c r="M64" s="8"/>
      <c r="N64" s="8"/>
      <c r="O64" s="6" t="s">
        <v>946</v>
      </c>
      <c r="P64" s="6" t="s">
        <v>947</v>
      </c>
      <c r="Q64" s="6"/>
      <c r="R64" s="6"/>
      <c r="S64" s="6" t="s">
        <v>239</v>
      </c>
      <c r="T64" s="9">
        <v>21927311</v>
      </c>
      <c r="U64" s="7">
        <v>2</v>
      </c>
      <c r="V64" s="6" t="s">
        <v>36</v>
      </c>
      <c r="W64" s="7"/>
      <c r="X64" s="6" t="s">
        <v>35</v>
      </c>
      <c r="Y64" s="7">
        <v>1</v>
      </c>
      <c r="Z64" s="7">
        <v>0.5</v>
      </c>
      <c r="AA64" s="6" t="s">
        <v>244</v>
      </c>
      <c r="AB64" s="6" t="s">
        <v>258</v>
      </c>
      <c r="AC64" s="6"/>
      <c r="AD64" s="6" t="s">
        <v>39</v>
      </c>
      <c r="AE64" s="6" t="s">
        <v>40</v>
      </c>
      <c r="AF64" s="9"/>
      <c r="AG64" s="6" t="s">
        <v>37</v>
      </c>
      <c r="AH64" s="7">
        <v>60</v>
      </c>
      <c r="AI64" s="6" t="s">
        <v>40</v>
      </c>
      <c r="AJ64" s="6" t="s">
        <v>238</v>
      </c>
      <c r="AK64" s="6"/>
      <c r="AL64" s="6" t="s">
        <v>41</v>
      </c>
      <c r="AM64" s="6"/>
      <c r="AN64" s="6"/>
    </row>
    <row r="65" spans="1:40" s="3" customFormat="1" x14ac:dyDescent="0.25">
      <c r="A65" s="4">
        <v>45944</v>
      </c>
      <c r="B65" s="6" t="s">
        <v>111</v>
      </c>
      <c r="C65" s="6" t="str">
        <f>_xlfn.XLOOKUP([1]!Table3[[#This Row],[station]],[1]station_waterbody_county!A:A, [1]station_waterbody_county!B:B)</f>
        <v>Marie Joseph Harbour</v>
      </c>
      <c r="D65" s="3" t="str">
        <f>_xlfn.XLOOKUP([1]!Table3[[#This Row],[station]],[1]station_waterbody_county!A:A, [1]station_waterbody_county!C:C)</f>
        <v>Guysborough</v>
      </c>
      <c r="E65" s="6"/>
      <c r="F65" s="6" t="s">
        <v>34</v>
      </c>
      <c r="G65" s="10">
        <v>45924</v>
      </c>
      <c r="H65" s="5">
        <v>0.70486111111111116</v>
      </c>
      <c r="I65" s="4"/>
      <c r="J65" s="5"/>
      <c r="K65" s="8"/>
      <c r="L65" s="8"/>
      <c r="M65" s="8"/>
      <c r="N65" s="8"/>
      <c r="O65" s="6" t="s">
        <v>946</v>
      </c>
      <c r="P65" s="6" t="s">
        <v>947</v>
      </c>
      <c r="Q65" s="6"/>
      <c r="R65" s="6"/>
      <c r="S65" s="6" t="s">
        <v>240</v>
      </c>
      <c r="T65" s="9">
        <v>671378</v>
      </c>
      <c r="U65" s="7">
        <v>5</v>
      </c>
      <c r="V65" s="6" t="s">
        <v>36</v>
      </c>
      <c r="W65" s="7"/>
      <c r="X65" s="6" t="s">
        <v>35</v>
      </c>
      <c r="Y65" s="7">
        <v>1</v>
      </c>
      <c r="Z65" s="7">
        <v>0.5</v>
      </c>
      <c r="AA65" s="6" t="s">
        <v>244</v>
      </c>
      <c r="AB65" s="6" t="s">
        <v>258</v>
      </c>
      <c r="AC65" s="6"/>
      <c r="AD65" s="6" t="s">
        <v>39</v>
      </c>
      <c r="AE65" s="6" t="s">
        <v>40</v>
      </c>
      <c r="AF65" s="9"/>
      <c r="AG65" s="6" t="s">
        <v>37</v>
      </c>
      <c r="AH65" s="7">
        <v>60</v>
      </c>
      <c r="AI65" s="6" t="s">
        <v>40</v>
      </c>
      <c r="AJ65" s="6" t="s">
        <v>238</v>
      </c>
      <c r="AK65" s="6"/>
      <c r="AL65" s="6" t="s">
        <v>41</v>
      </c>
      <c r="AM65" s="6"/>
      <c r="AN65" s="6"/>
    </row>
    <row r="66" spans="1:40" s="3" customFormat="1" x14ac:dyDescent="0.25">
      <c r="A66" s="4">
        <v>45944</v>
      </c>
      <c r="B66" s="6" t="s">
        <v>111</v>
      </c>
      <c r="C66" s="6" t="str">
        <f>_xlfn.XLOOKUP([1]!Table3[[#This Row],[station]],[1]station_waterbody_county!A:A, [1]station_waterbody_county!B:B)</f>
        <v>Marie Joseph Harbour</v>
      </c>
      <c r="D66" s="3" t="str">
        <f>_xlfn.XLOOKUP([1]!Table3[[#This Row],[station]],[1]station_waterbody_county!A:A, [1]station_waterbody_county!C:C)</f>
        <v>Guysborough</v>
      </c>
      <c r="E66" s="6"/>
      <c r="F66" s="6" t="s">
        <v>34</v>
      </c>
      <c r="G66" s="10">
        <v>45924</v>
      </c>
      <c r="H66" s="5">
        <v>0.70486111111111116</v>
      </c>
      <c r="I66" s="4"/>
      <c r="J66" s="5"/>
      <c r="K66" s="8"/>
      <c r="L66" s="8"/>
      <c r="M66" s="8"/>
      <c r="N66" s="8"/>
      <c r="O66" s="6" t="s">
        <v>946</v>
      </c>
      <c r="P66" s="6" t="s">
        <v>947</v>
      </c>
      <c r="Q66" s="6"/>
      <c r="R66" s="6"/>
      <c r="S66" s="6" t="s">
        <v>239</v>
      </c>
      <c r="T66" s="9">
        <v>21444877</v>
      </c>
      <c r="U66" s="7">
        <v>10</v>
      </c>
      <c r="V66" s="6" t="s">
        <v>36</v>
      </c>
      <c r="W66" s="7"/>
      <c r="X66" s="6" t="s">
        <v>35</v>
      </c>
      <c r="Y66" s="7">
        <v>1</v>
      </c>
      <c r="Z66" s="7">
        <v>0.5</v>
      </c>
      <c r="AA66" s="6" t="s">
        <v>244</v>
      </c>
      <c r="AB66" s="6" t="s">
        <v>258</v>
      </c>
      <c r="AC66" s="6"/>
      <c r="AD66" s="6" t="s">
        <v>39</v>
      </c>
      <c r="AE66" s="6" t="s">
        <v>40</v>
      </c>
      <c r="AF66" s="9"/>
      <c r="AG66" s="6" t="s">
        <v>37</v>
      </c>
      <c r="AH66" s="7">
        <v>60</v>
      </c>
      <c r="AI66" s="6" t="s">
        <v>40</v>
      </c>
      <c r="AJ66" s="6" t="s">
        <v>238</v>
      </c>
      <c r="AK66" s="6"/>
      <c r="AL66" s="6" t="s">
        <v>41</v>
      </c>
      <c r="AM66" s="6"/>
      <c r="AN66" s="6"/>
    </row>
    <row r="67" spans="1:40" s="3" customFormat="1" x14ac:dyDescent="0.25">
      <c r="A67" s="4">
        <v>45944</v>
      </c>
      <c r="B67" s="6" t="s">
        <v>111</v>
      </c>
      <c r="C67" s="6" t="str">
        <f>_xlfn.XLOOKUP([1]!Table3[[#This Row],[station]],[1]station_waterbody_county!A:A, [1]station_waterbody_county!B:B)</f>
        <v>Marie Joseph Harbour</v>
      </c>
      <c r="D67" s="3" t="str">
        <f>_xlfn.XLOOKUP([1]!Table3[[#This Row],[station]],[1]station_waterbody_county!A:A, [1]station_waterbody_county!C:C)</f>
        <v>Guysborough</v>
      </c>
      <c r="E67" s="6"/>
      <c r="F67" s="6" t="s">
        <v>34</v>
      </c>
      <c r="G67" s="10">
        <v>45924</v>
      </c>
      <c r="H67" s="5">
        <v>0.70486111111111116</v>
      </c>
      <c r="I67" s="4"/>
      <c r="J67" s="5"/>
      <c r="K67" s="8"/>
      <c r="L67" s="8"/>
      <c r="M67" s="8"/>
      <c r="N67" s="8"/>
      <c r="O67" s="6" t="s">
        <v>946</v>
      </c>
      <c r="P67" s="6" t="s">
        <v>947</v>
      </c>
      <c r="Q67" s="6"/>
      <c r="R67" s="6"/>
      <c r="S67" s="6" t="s">
        <v>42</v>
      </c>
      <c r="T67" s="9">
        <v>548569</v>
      </c>
      <c r="U67" s="7">
        <v>15</v>
      </c>
      <c r="V67" s="6" t="s">
        <v>36</v>
      </c>
      <c r="W67" s="7"/>
      <c r="X67" s="6" t="s">
        <v>35</v>
      </c>
      <c r="Y67" s="7">
        <v>1</v>
      </c>
      <c r="Z67" s="7">
        <v>0.5</v>
      </c>
      <c r="AA67" s="6" t="s">
        <v>244</v>
      </c>
      <c r="AB67" s="6" t="s">
        <v>258</v>
      </c>
      <c r="AC67" s="6"/>
      <c r="AD67" s="6" t="s">
        <v>39</v>
      </c>
      <c r="AE67" s="6" t="s">
        <v>40</v>
      </c>
      <c r="AF67" s="9"/>
      <c r="AG67" s="6" t="s">
        <v>37</v>
      </c>
      <c r="AH67" s="7">
        <v>60</v>
      </c>
      <c r="AI67" s="6" t="s">
        <v>40</v>
      </c>
      <c r="AJ67" s="6" t="s">
        <v>238</v>
      </c>
      <c r="AK67" s="6"/>
      <c r="AL67" s="6" t="s">
        <v>41</v>
      </c>
      <c r="AM67" s="6"/>
      <c r="AN67" s="6"/>
    </row>
    <row r="68" spans="1:40" s="3" customFormat="1" x14ac:dyDescent="0.25">
      <c r="A68" s="4">
        <v>45944</v>
      </c>
      <c r="B68" s="6" t="s">
        <v>111</v>
      </c>
      <c r="C68" s="6" t="str">
        <f>_xlfn.XLOOKUP([1]!Table3[[#This Row],[station]],[1]station_waterbody_county!A:A, [1]station_waterbody_county!B:B)</f>
        <v>Marie Joseph Harbour</v>
      </c>
      <c r="D68" s="3" t="str">
        <f>_xlfn.XLOOKUP([1]!Table3[[#This Row],[station]],[1]station_waterbody_county!A:A, [1]station_waterbody_county!C:C)</f>
        <v>Guysborough</v>
      </c>
      <c r="E68" s="6"/>
      <c r="F68" s="6" t="s">
        <v>34</v>
      </c>
      <c r="G68" s="10">
        <v>45924</v>
      </c>
      <c r="H68" s="5">
        <v>0.70486111111111116</v>
      </c>
      <c r="I68" s="4"/>
      <c r="J68" s="5"/>
      <c r="K68" s="8"/>
      <c r="L68" s="8"/>
      <c r="M68" s="8"/>
      <c r="N68" s="8"/>
      <c r="O68" s="6" t="s">
        <v>946</v>
      </c>
      <c r="P68" s="6" t="s">
        <v>947</v>
      </c>
      <c r="Q68" s="6"/>
      <c r="R68" s="6"/>
      <c r="S68" s="6" t="s">
        <v>239</v>
      </c>
      <c r="T68" s="9">
        <v>20820324</v>
      </c>
      <c r="U68" s="7">
        <v>15</v>
      </c>
      <c r="V68" s="6" t="s">
        <v>36</v>
      </c>
      <c r="W68" s="7"/>
      <c r="X68" s="6" t="s">
        <v>35</v>
      </c>
      <c r="Y68" s="7">
        <v>1</v>
      </c>
      <c r="Z68" s="7">
        <v>0.5</v>
      </c>
      <c r="AA68" s="6" t="s">
        <v>244</v>
      </c>
      <c r="AB68" s="6" t="s">
        <v>258</v>
      </c>
      <c r="AC68" s="6"/>
      <c r="AD68" s="6" t="s">
        <v>39</v>
      </c>
      <c r="AE68" s="6" t="s">
        <v>40</v>
      </c>
      <c r="AF68" s="9"/>
      <c r="AG68" s="6" t="s">
        <v>37</v>
      </c>
      <c r="AH68" s="7">
        <v>60</v>
      </c>
      <c r="AI68" s="6" t="s">
        <v>40</v>
      </c>
      <c r="AJ68" s="6" t="s">
        <v>238</v>
      </c>
      <c r="AK68" s="6"/>
      <c r="AL68" s="6" t="s">
        <v>41</v>
      </c>
      <c r="AM68" s="6"/>
      <c r="AN68" s="6"/>
    </row>
    <row r="69" spans="1:40" s="3" customFormat="1" x14ac:dyDescent="0.25">
      <c r="A69" s="4">
        <v>45944</v>
      </c>
      <c r="B69" s="6" t="s">
        <v>110</v>
      </c>
      <c r="C69" s="6" t="str">
        <f>_xlfn.XLOOKUP([1]!Table3[[#This Row],[station]],[1]station_waterbody_county!A:A, [1]station_waterbody_county!B:B)</f>
        <v>Indian Harbour</v>
      </c>
      <c r="D69" s="3" t="str">
        <f>_xlfn.XLOOKUP([1]!Table3[[#This Row],[station]],[1]station_waterbody_county!A:A, [1]station_waterbody_county!C:C)</f>
        <v>Guysborough</v>
      </c>
      <c r="E69" s="6"/>
      <c r="F69" s="6" t="s">
        <v>34</v>
      </c>
      <c r="G69" s="10">
        <v>45924</v>
      </c>
      <c r="H69" s="5">
        <v>0.81388888888888888</v>
      </c>
      <c r="I69" s="4"/>
      <c r="J69" s="5"/>
      <c r="K69" s="8"/>
      <c r="L69" s="8"/>
      <c r="M69" s="8"/>
      <c r="N69" s="8"/>
      <c r="O69" s="6" t="s">
        <v>950</v>
      </c>
      <c r="P69" s="6" t="s">
        <v>951</v>
      </c>
      <c r="Q69" s="6"/>
      <c r="R69" s="6"/>
      <c r="S69" s="6" t="s">
        <v>239</v>
      </c>
      <c r="T69" s="9">
        <v>20495256</v>
      </c>
      <c r="U69" s="7">
        <v>2</v>
      </c>
      <c r="V69" s="6" t="s">
        <v>36</v>
      </c>
      <c r="W69" s="7">
        <v>13.7</v>
      </c>
      <c r="X69" s="6" t="s">
        <v>35</v>
      </c>
      <c r="Y69" s="7">
        <v>0.5</v>
      </c>
      <c r="Z69" s="7">
        <v>1</v>
      </c>
      <c r="AA69" s="6" t="s">
        <v>256</v>
      </c>
      <c r="AB69" s="6" t="s">
        <v>952</v>
      </c>
      <c r="AC69" s="6"/>
      <c r="AD69" s="6" t="s">
        <v>39</v>
      </c>
      <c r="AE69" s="6" t="s">
        <v>40</v>
      </c>
      <c r="AF69" s="9"/>
      <c r="AG69" s="6" t="s">
        <v>37</v>
      </c>
      <c r="AH69" s="7">
        <v>60</v>
      </c>
      <c r="AI69" s="6" t="s">
        <v>40</v>
      </c>
      <c r="AJ69" s="6" t="s">
        <v>238</v>
      </c>
      <c r="AK69" s="6"/>
      <c r="AL69" s="6" t="s">
        <v>41</v>
      </c>
      <c r="AM69" s="6"/>
      <c r="AN69" s="6"/>
    </row>
    <row r="70" spans="1:40" s="3" customFormat="1" x14ac:dyDescent="0.25">
      <c r="A70" s="4">
        <v>45944</v>
      </c>
      <c r="B70" s="6" t="s">
        <v>110</v>
      </c>
      <c r="C70" s="6" t="str">
        <f>_xlfn.XLOOKUP([1]!Table3[[#This Row],[station]],[1]station_waterbody_county!A:A, [1]station_waterbody_county!B:B)</f>
        <v>Indian Harbour</v>
      </c>
      <c r="D70" s="3" t="str">
        <f>_xlfn.XLOOKUP([1]!Table3[[#This Row],[station]],[1]station_waterbody_county!A:A, [1]station_waterbody_county!C:C)</f>
        <v>Guysborough</v>
      </c>
      <c r="E70" s="6"/>
      <c r="F70" s="6" t="s">
        <v>34</v>
      </c>
      <c r="G70" s="10">
        <v>45924</v>
      </c>
      <c r="H70" s="5">
        <v>0.81388888888888888</v>
      </c>
      <c r="I70" s="4"/>
      <c r="J70" s="5"/>
      <c r="K70" s="8"/>
      <c r="L70" s="8"/>
      <c r="M70" s="8"/>
      <c r="N70" s="8"/>
      <c r="O70" s="6" t="s">
        <v>950</v>
      </c>
      <c r="P70" s="6" t="s">
        <v>951</v>
      </c>
      <c r="Q70" s="6"/>
      <c r="R70" s="6"/>
      <c r="S70" s="6" t="s">
        <v>240</v>
      </c>
      <c r="T70" s="9">
        <v>671379</v>
      </c>
      <c r="U70" s="7">
        <v>5</v>
      </c>
      <c r="V70" s="6" t="s">
        <v>36</v>
      </c>
      <c r="W70" s="7">
        <v>13.7</v>
      </c>
      <c r="X70" s="6" t="s">
        <v>35</v>
      </c>
      <c r="Y70" s="7">
        <v>0.5</v>
      </c>
      <c r="Z70" s="7">
        <v>1</v>
      </c>
      <c r="AA70" s="6" t="s">
        <v>256</v>
      </c>
      <c r="AB70" s="6" t="s">
        <v>952</v>
      </c>
      <c r="AC70" s="6"/>
      <c r="AD70" s="6" t="s">
        <v>39</v>
      </c>
      <c r="AE70" s="6" t="s">
        <v>40</v>
      </c>
      <c r="AF70" s="9"/>
      <c r="AG70" s="6" t="s">
        <v>37</v>
      </c>
      <c r="AH70" s="7">
        <v>60</v>
      </c>
      <c r="AI70" s="6" t="s">
        <v>40</v>
      </c>
      <c r="AJ70" s="6" t="s">
        <v>238</v>
      </c>
      <c r="AK70" s="6"/>
      <c r="AL70" s="6" t="s">
        <v>41</v>
      </c>
      <c r="AM70" s="6"/>
      <c r="AN70" s="6"/>
    </row>
    <row r="71" spans="1:40" s="3" customFormat="1" x14ac:dyDescent="0.25">
      <c r="A71" s="4">
        <v>45944</v>
      </c>
      <c r="B71" s="6" t="s">
        <v>110</v>
      </c>
      <c r="C71" s="6" t="str">
        <f>_xlfn.XLOOKUP([1]!Table3[[#This Row],[station]],[1]station_waterbody_county!A:A, [1]station_waterbody_county!B:B)</f>
        <v>Indian Harbour</v>
      </c>
      <c r="D71" s="3" t="str">
        <f>_xlfn.XLOOKUP([1]!Table3[[#This Row],[station]],[1]station_waterbody_county!A:A, [1]station_waterbody_county!C:C)</f>
        <v>Guysborough</v>
      </c>
      <c r="E71" s="6"/>
      <c r="F71" s="6" t="s">
        <v>34</v>
      </c>
      <c r="G71" s="10">
        <v>45924</v>
      </c>
      <c r="H71" s="5">
        <v>0.81388888888888888</v>
      </c>
      <c r="I71" s="4"/>
      <c r="J71" s="5"/>
      <c r="K71" s="8"/>
      <c r="L71" s="8"/>
      <c r="M71" s="8"/>
      <c r="N71" s="8"/>
      <c r="O71" s="6" t="s">
        <v>950</v>
      </c>
      <c r="P71" s="6" t="s">
        <v>951</v>
      </c>
      <c r="Q71" s="6"/>
      <c r="R71" s="6"/>
      <c r="S71" s="6" t="s">
        <v>245</v>
      </c>
      <c r="T71" s="9">
        <v>686255</v>
      </c>
      <c r="U71" s="7">
        <v>5</v>
      </c>
      <c r="V71" s="6" t="s">
        <v>36</v>
      </c>
      <c r="W71" s="7">
        <v>13.7</v>
      </c>
      <c r="X71" s="6" t="s">
        <v>35</v>
      </c>
      <c r="Y71" s="7">
        <v>0.5</v>
      </c>
      <c r="Z71" s="7">
        <v>1</v>
      </c>
      <c r="AA71" s="6" t="s">
        <v>256</v>
      </c>
      <c r="AB71" s="6" t="s">
        <v>952</v>
      </c>
      <c r="AC71" s="6"/>
      <c r="AD71" s="6" t="s">
        <v>39</v>
      </c>
      <c r="AE71" s="6" t="s">
        <v>40</v>
      </c>
      <c r="AF71" s="9"/>
      <c r="AG71" s="6" t="s">
        <v>37</v>
      </c>
      <c r="AH71" s="7">
        <v>60</v>
      </c>
      <c r="AI71" s="6" t="s">
        <v>40</v>
      </c>
      <c r="AJ71" s="6" t="s">
        <v>238</v>
      </c>
      <c r="AK71" s="6"/>
      <c r="AL71" s="6" t="s">
        <v>41</v>
      </c>
      <c r="AM71" s="6"/>
      <c r="AN71" s="6"/>
    </row>
    <row r="72" spans="1:40" s="3" customFormat="1" x14ac:dyDescent="0.25">
      <c r="A72" s="4">
        <v>45944</v>
      </c>
      <c r="B72" s="6" t="s">
        <v>110</v>
      </c>
      <c r="C72" s="6" t="str">
        <f>_xlfn.XLOOKUP([1]!Table3[[#This Row],[station]],[1]station_waterbody_county!A:A, [1]station_waterbody_county!B:B)</f>
        <v>Indian Harbour</v>
      </c>
      <c r="D72" s="3" t="str">
        <f>_xlfn.XLOOKUP([1]!Table3[[#This Row],[station]],[1]station_waterbody_county!A:A, [1]station_waterbody_county!C:C)</f>
        <v>Guysborough</v>
      </c>
      <c r="E72" s="6"/>
      <c r="F72" s="6" t="s">
        <v>34</v>
      </c>
      <c r="G72" s="10">
        <v>45924</v>
      </c>
      <c r="H72" s="5">
        <v>0.81388888888888888</v>
      </c>
      <c r="I72" s="4"/>
      <c r="J72" s="5"/>
      <c r="K72" s="8"/>
      <c r="L72" s="8"/>
      <c r="M72" s="8"/>
      <c r="N72" s="8"/>
      <c r="O72" s="6" t="s">
        <v>950</v>
      </c>
      <c r="P72" s="6" t="s">
        <v>951</v>
      </c>
      <c r="Q72" s="6"/>
      <c r="R72" s="6"/>
      <c r="S72" s="6" t="s">
        <v>42</v>
      </c>
      <c r="T72" s="9">
        <v>548553</v>
      </c>
      <c r="U72" s="7">
        <v>10</v>
      </c>
      <c r="V72" s="6" t="s">
        <v>36</v>
      </c>
      <c r="W72" s="7">
        <v>13.7</v>
      </c>
      <c r="X72" s="6" t="s">
        <v>35</v>
      </c>
      <c r="Y72" s="7">
        <v>0.5</v>
      </c>
      <c r="Z72" s="7">
        <v>1</v>
      </c>
      <c r="AA72" s="6" t="s">
        <v>256</v>
      </c>
      <c r="AB72" s="6" t="s">
        <v>952</v>
      </c>
      <c r="AC72" s="6"/>
      <c r="AD72" s="6" t="s">
        <v>39</v>
      </c>
      <c r="AE72" s="6" t="s">
        <v>40</v>
      </c>
      <c r="AF72" s="9"/>
      <c r="AG72" s="6" t="s">
        <v>37</v>
      </c>
      <c r="AH72" s="7">
        <v>60</v>
      </c>
      <c r="AI72" s="6" t="s">
        <v>40</v>
      </c>
      <c r="AJ72" s="6" t="s">
        <v>238</v>
      </c>
      <c r="AK72" s="6"/>
      <c r="AL72" s="6" t="s">
        <v>41</v>
      </c>
      <c r="AM72" s="6"/>
      <c r="AN72" s="6"/>
    </row>
    <row r="73" spans="1:40" s="3" customFormat="1" x14ac:dyDescent="0.25">
      <c r="A73" s="4">
        <v>45944</v>
      </c>
      <c r="B73" s="6" t="s">
        <v>110</v>
      </c>
      <c r="C73" s="6" t="str">
        <f>_xlfn.XLOOKUP([1]!Table3[[#This Row],[station]],[1]station_waterbody_county!A:A, [1]station_waterbody_county!B:B)</f>
        <v>Indian Harbour</v>
      </c>
      <c r="D73" s="3" t="str">
        <f>_xlfn.XLOOKUP([1]!Table3[[#This Row],[station]],[1]station_waterbody_county!A:A, [1]station_waterbody_county!C:C)</f>
        <v>Guysborough</v>
      </c>
      <c r="E73" s="6"/>
      <c r="F73" s="6" t="s">
        <v>34</v>
      </c>
      <c r="G73" s="10">
        <v>45924</v>
      </c>
      <c r="H73" s="5">
        <v>0.81388888888888888</v>
      </c>
      <c r="I73" s="4"/>
      <c r="J73" s="5"/>
      <c r="K73" s="8"/>
      <c r="L73" s="8"/>
      <c r="M73" s="8"/>
      <c r="N73" s="8"/>
      <c r="O73" s="6" t="s">
        <v>950</v>
      </c>
      <c r="P73" s="6" t="s">
        <v>951</v>
      </c>
      <c r="Q73" s="6"/>
      <c r="R73" s="6"/>
      <c r="S73" s="6" t="s">
        <v>239</v>
      </c>
      <c r="T73" s="9">
        <v>22285881</v>
      </c>
      <c r="U73" s="7">
        <v>10</v>
      </c>
      <c r="V73" s="6" t="s">
        <v>36</v>
      </c>
      <c r="W73" s="7">
        <v>13.7</v>
      </c>
      <c r="X73" s="6" t="s">
        <v>35</v>
      </c>
      <c r="Y73" s="7">
        <v>0.5</v>
      </c>
      <c r="Z73" s="7">
        <v>1</v>
      </c>
      <c r="AA73" s="6" t="s">
        <v>256</v>
      </c>
      <c r="AB73" s="6" t="s">
        <v>952</v>
      </c>
      <c r="AC73" s="6"/>
      <c r="AD73" s="6" t="s">
        <v>39</v>
      </c>
      <c r="AE73" s="6" t="s">
        <v>40</v>
      </c>
      <c r="AF73" s="9"/>
      <c r="AG73" s="6" t="s">
        <v>37</v>
      </c>
      <c r="AH73" s="7">
        <v>60</v>
      </c>
      <c r="AI73" s="6" t="s">
        <v>40</v>
      </c>
      <c r="AJ73" s="6" t="s">
        <v>238</v>
      </c>
      <c r="AK73" s="6"/>
      <c r="AL73" s="6" t="s">
        <v>41</v>
      </c>
      <c r="AM73" s="6"/>
      <c r="AN73" s="6"/>
    </row>
    <row r="74" spans="1:40" s="3" customFormat="1" x14ac:dyDescent="0.25">
      <c r="A74" s="4">
        <v>45944</v>
      </c>
      <c r="B74" s="6" t="s">
        <v>178</v>
      </c>
      <c r="C74" s="6" t="str">
        <f>_xlfn.XLOOKUP([1]!Table3[[#This Row],[station]],[1]station_waterbody_county!A:A, [1]station_waterbody_county!B:B)</f>
        <v>Fishermans Harbour</v>
      </c>
      <c r="D74" s="3" t="str">
        <f>_xlfn.XLOOKUP([1]!Table3[[#This Row],[station]],[1]station_waterbody_county!A:A, [1]station_waterbody_county!C:C)</f>
        <v>Guysborough</v>
      </c>
      <c r="E74" s="6"/>
      <c r="F74" s="6" t="s">
        <v>34</v>
      </c>
      <c r="G74" s="10">
        <v>45924</v>
      </c>
      <c r="H74" s="5">
        <v>0.85347222222222219</v>
      </c>
      <c r="I74" s="4"/>
      <c r="J74" s="5"/>
      <c r="K74" s="8"/>
      <c r="L74" s="8"/>
      <c r="M74" s="8"/>
      <c r="N74" s="8"/>
      <c r="O74" s="6" t="s">
        <v>954</v>
      </c>
      <c r="P74" s="6" t="s">
        <v>955</v>
      </c>
      <c r="Q74" s="6"/>
      <c r="R74" s="6"/>
      <c r="S74" s="6" t="s">
        <v>239</v>
      </c>
      <c r="T74" s="9">
        <v>22285890</v>
      </c>
      <c r="U74" s="7">
        <v>2</v>
      </c>
      <c r="V74" s="6" t="s">
        <v>36</v>
      </c>
      <c r="W74" s="7">
        <v>22.6</v>
      </c>
      <c r="X74" s="6" t="s">
        <v>35</v>
      </c>
      <c r="Y74" s="7">
        <v>0.5</v>
      </c>
      <c r="Z74" s="7">
        <v>0.5</v>
      </c>
      <c r="AA74" s="6" t="s">
        <v>242</v>
      </c>
      <c r="AB74" s="6" t="s">
        <v>258</v>
      </c>
      <c r="AC74" s="6"/>
      <c r="AD74" s="6" t="s">
        <v>39</v>
      </c>
      <c r="AE74" s="6" t="s">
        <v>40</v>
      </c>
      <c r="AF74" s="9"/>
      <c r="AG74" s="6" t="s">
        <v>37</v>
      </c>
      <c r="AH74" s="7">
        <v>60</v>
      </c>
      <c r="AI74" s="6" t="s">
        <v>40</v>
      </c>
      <c r="AJ74" s="6" t="s">
        <v>238</v>
      </c>
      <c r="AK74" s="6"/>
      <c r="AL74" s="6" t="s">
        <v>41</v>
      </c>
      <c r="AM74" s="6"/>
      <c r="AN74" s="6"/>
    </row>
    <row r="75" spans="1:40" s="3" customFormat="1" x14ac:dyDescent="0.25">
      <c r="A75" s="4">
        <v>45944</v>
      </c>
      <c r="B75" s="6" t="s">
        <v>178</v>
      </c>
      <c r="C75" s="6" t="str">
        <f>_xlfn.XLOOKUP([1]!Table3[[#This Row],[station]],[1]station_waterbody_county!A:A, [1]station_waterbody_county!B:B)</f>
        <v>Fishermans Harbour</v>
      </c>
      <c r="D75" s="3" t="str">
        <f>_xlfn.XLOOKUP([1]!Table3[[#This Row],[station]],[1]station_waterbody_county!A:A, [1]station_waterbody_county!C:C)</f>
        <v>Guysborough</v>
      </c>
      <c r="E75" s="6"/>
      <c r="F75" s="6" t="s">
        <v>34</v>
      </c>
      <c r="G75" s="10">
        <v>45924</v>
      </c>
      <c r="H75" s="5">
        <v>0.85347222222222219</v>
      </c>
      <c r="I75" s="4"/>
      <c r="J75" s="5"/>
      <c r="K75" s="8"/>
      <c r="L75" s="8"/>
      <c r="M75" s="8"/>
      <c r="N75" s="8"/>
      <c r="O75" s="6" t="s">
        <v>954</v>
      </c>
      <c r="P75" s="6" t="s">
        <v>955</v>
      </c>
      <c r="Q75" s="6"/>
      <c r="R75" s="6"/>
      <c r="S75" s="6" t="s">
        <v>239</v>
      </c>
      <c r="T75" s="9">
        <v>21650143</v>
      </c>
      <c r="U75" s="7">
        <v>5</v>
      </c>
      <c r="V75" s="6" t="s">
        <v>36</v>
      </c>
      <c r="W75" s="7">
        <v>22.6</v>
      </c>
      <c r="X75" s="6" t="s">
        <v>35</v>
      </c>
      <c r="Y75" s="7">
        <v>0.5</v>
      </c>
      <c r="Z75" s="7">
        <v>0.5</v>
      </c>
      <c r="AA75" s="6" t="s">
        <v>242</v>
      </c>
      <c r="AB75" s="6" t="s">
        <v>258</v>
      </c>
      <c r="AC75" s="6"/>
      <c r="AD75" s="6" t="s">
        <v>39</v>
      </c>
      <c r="AE75" s="6" t="s">
        <v>40</v>
      </c>
      <c r="AF75" s="9"/>
      <c r="AG75" s="6" t="s">
        <v>37</v>
      </c>
      <c r="AH75" s="7">
        <v>60</v>
      </c>
      <c r="AI75" s="6" t="s">
        <v>40</v>
      </c>
      <c r="AJ75" s="6" t="s">
        <v>238</v>
      </c>
      <c r="AK75" s="6"/>
      <c r="AL75" s="6" t="s">
        <v>41</v>
      </c>
      <c r="AM75" s="6"/>
      <c r="AN75" s="6"/>
    </row>
    <row r="76" spans="1:40" s="3" customFormat="1" x14ac:dyDescent="0.25">
      <c r="A76" s="4">
        <v>45944</v>
      </c>
      <c r="B76" s="6" t="s">
        <v>178</v>
      </c>
      <c r="C76" s="6" t="str">
        <f>_xlfn.XLOOKUP([1]!Table3[[#This Row],[station]],[1]station_waterbody_county!A:A, [1]station_waterbody_county!B:B)</f>
        <v>Fishermans Harbour</v>
      </c>
      <c r="D76" s="3" t="str">
        <f>_xlfn.XLOOKUP([1]!Table3[[#This Row],[station]],[1]station_waterbody_county!A:A, [1]station_waterbody_county!C:C)</f>
        <v>Guysborough</v>
      </c>
      <c r="E76" s="6"/>
      <c r="F76" s="6" t="s">
        <v>34</v>
      </c>
      <c r="G76" s="10">
        <v>45924</v>
      </c>
      <c r="H76" s="5">
        <v>0.85347222222222219</v>
      </c>
      <c r="I76" s="4"/>
      <c r="J76" s="5"/>
      <c r="K76" s="8"/>
      <c r="L76" s="8"/>
      <c r="M76" s="8"/>
      <c r="N76" s="8"/>
      <c r="O76" s="6" t="s">
        <v>954</v>
      </c>
      <c r="P76" s="6" t="s">
        <v>955</v>
      </c>
      <c r="Q76" s="6"/>
      <c r="R76" s="6"/>
      <c r="S76" s="6" t="s">
        <v>239</v>
      </c>
      <c r="T76" s="9">
        <v>22285913</v>
      </c>
      <c r="U76" s="7">
        <v>10</v>
      </c>
      <c r="V76" s="6" t="s">
        <v>36</v>
      </c>
      <c r="W76" s="7">
        <v>22.6</v>
      </c>
      <c r="X76" s="6" t="s">
        <v>35</v>
      </c>
      <c r="Y76" s="7">
        <v>0.5</v>
      </c>
      <c r="Z76" s="7">
        <v>0.5</v>
      </c>
      <c r="AA76" s="6" t="s">
        <v>242</v>
      </c>
      <c r="AB76" s="6" t="s">
        <v>258</v>
      </c>
      <c r="AC76" s="6"/>
      <c r="AD76" s="6" t="s">
        <v>39</v>
      </c>
      <c r="AE76" s="6" t="s">
        <v>40</v>
      </c>
      <c r="AF76" s="9"/>
      <c r="AG76" s="6" t="s">
        <v>37</v>
      </c>
      <c r="AH76" s="7">
        <v>60</v>
      </c>
      <c r="AI76" s="6" t="s">
        <v>40</v>
      </c>
      <c r="AJ76" s="6" t="s">
        <v>238</v>
      </c>
      <c r="AK76" s="6"/>
      <c r="AL76" s="6" t="s">
        <v>41</v>
      </c>
      <c r="AM76" s="6"/>
      <c r="AN76" s="6"/>
    </row>
    <row r="77" spans="1:40" s="3" customFormat="1" x14ac:dyDescent="0.25">
      <c r="A77" s="4">
        <v>45944</v>
      </c>
      <c r="B77" s="6" t="s">
        <v>178</v>
      </c>
      <c r="C77" s="6" t="str">
        <f>_xlfn.XLOOKUP([1]!Table3[[#This Row],[station]],[1]station_waterbody_county!A:A, [1]station_waterbody_county!B:B)</f>
        <v>Fishermans Harbour</v>
      </c>
      <c r="D77" s="3" t="str">
        <f>_xlfn.XLOOKUP([1]!Table3[[#This Row],[station]],[1]station_waterbody_county!A:A, [1]station_waterbody_county!C:C)</f>
        <v>Guysborough</v>
      </c>
      <c r="E77" s="6"/>
      <c r="F77" s="6" t="s">
        <v>34</v>
      </c>
      <c r="G77" s="10">
        <v>45924</v>
      </c>
      <c r="H77" s="5">
        <v>0.85347222222222219</v>
      </c>
      <c r="I77" s="4"/>
      <c r="J77" s="5"/>
      <c r="K77" s="8"/>
      <c r="L77" s="8"/>
      <c r="M77" s="8"/>
      <c r="N77" s="8"/>
      <c r="O77" s="6" t="s">
        <v>954</v>
      </c>
      <c r="P77" s="6" t="s">
        <v>955</v>
      </c>
      <c r="Q77" s="6"/>
      <c r="R77" s="6"/>
      <c r="S77" s="6" t="s">
        <v>239</v>
      </c>
      <c r="T77" s="9">
        <v>21488192</v>
      </c>
      <c r="U77" s="7">
        <v>15</v>
      </c>
      <c r="V77" s="6" t="s">
        <v>36</v>
      </c>
      <c r="W77" s="7">
        <v>22.6</v>
      </c>
      <c r="X77" s="6" t="s">
        <v>35</v>
      </c>
      <c r="Y77" s="7">
        <v>0.5</v>
      </c>
      <c r="Z77" s="7">
        <v>0.5</v>
      </c>
      <c r="AA77" s="6" t="s">
        <v>242</v>
      </c>
      <c r="AB77" s="6" t="s">
        <v>258</v>
      </c>
      <c r="AC77" s="6"/>
      <c r="AD77" s="6" t="s">
        <v>39</v>
      </c>
      <c r="AE77" s="6" t="s">
        <v>40</v>
      </c>
      <c r="AF77" s="9"/>
      <c r="AG77" s="6" t="s">
        <v>37</v>
      </c>
      <c r="AH77" s="7">
        <v>60</v>
      </c>
      <c r="AI77" s="6" t="s">
        <v>40</v>
      </c>
      <c r="AJ77" s="6" t="s">
        <v>238</v>
      </c>
      <c r="AK77" s="6"/>
      <c r="AL77" s="6" t="s">
        <v>41</v>
      </c>
      <c r="AM77" s="6"/>
      <c r="AN77" s="6"/>
    </row>
    <row r="78" spans="1:40" s="3" customFormat="1" x14ac:dyDescent="0.25">
      <c r="A78" s="4">
        <v>45944</v>
      </c>
      <c r="B78" s="6" t="s">
        <v>178</v>
      </c>
      <c r="C78" s="6" t="str">
        <f>_xlfn.XLOOKUP([1]!Table3[[#This Row],[station]],[1]station_waterbody_county!A:A, [1]station_waterbody_county!B:B)</f>
        <v>Fishermans Harbour</v>
      </c>
      <c r="D78" s="3" t="str">
        <f>_xlfn.XLOOKUP([1]!Table3[[#This Row],[station]],[1]station_waterbody_county!A:A, [1]station_waterbody_county!C:C)</f>
        <v>Guysborough</v>
      </c>
      <c r="E78" s="6"/>
      <c r="F78" s="6" t="s">
        <v>34</v>
      </c>
      <c r="G78" s="10">
        <v>45924</v>
      </c>
      <c r="H78" s="5">
        <v>0.85347222222222219</v>
      </c>
      <c r="I78" s="4"/>
      <c r="J78" s="5"/>
      <c r="K78" s="8"/>
      <c r="L78" s="8"/>
      <c r="M78" s="8"/>
      <c r="N78" s="8"/>
      <c r="O78" s="6" t="s">
        <v>954</v>
      </c>
      <c r="P78" s="6" t="s">
        <v>955</v>
      </c>
      <c r="Q78" s="6"/>
      <c r="R78" s="6"/>
      <c r="S78" s="6" t="s">
        <v>42</v>
      </c>
      <c r="T78" s="9">
        <v>548549</v>
      </c>
      <c r="U78" s="7">
        <v>20</v>
      </c>
      <c r="V78" s="6" t="s">
        <v>36</v>
      </c>
      <c r="W78" s="7">
        <v>22.6</v>
      </c>
      <c r="X78" s="6" t="s">
        <v>35</v>
      </c>
      <c r="Y78" s="7">
        <v>0.5</v>
      </c>
      <c r="Z78" s="7">
        <v>0.5</v>
      </c>
      <c r="AA78" s="6" t="s">
        <v>242</v>
      </c>
      <c r="AB78" s="6" t="s">
        <v>258</v>
      </c>
      <c r="AC78" s="6"/>
      <c r="AD78" s="6" t="s">
        <v>39</v>
      </c>
      <c r="AE78" s="6" t="s">
        <v>40</v>
      </c>
      <c r="AF78" s="9"/>
      <c r="AG78" s="6" t="s">
        <v>37</v>
      </c>
      <c r="AH78" s="7">
        <v>60</v>
      </c>
      <c r="AI78" s="6" t="s">
        <v>40</v>
      </c>
      <c r="AJ78" s="6" t="s">
        <v>238</v>
      </c>
      <c r="AK78" s="6"/>
      <c r="AL78" s="6" t="s">
        <v>41</v>
      </c>
      <c r="AM78" s="6"/>
      <c r="AN78" s="6"/>
    </row>
    <row r="79" spans="1:40" s="3" customFormat="1" x14ac:dyDescent="0.25">
      <c r="A79" s="4">
        <v>45944</v>
      </c>
      <c r="B79" s="6" t="s">
        <v>178</v>
      </c>
      <c r="C79" s="6" t="str">
        <f>_xlfn.XLOOKUP([1]!Table3[[#This Row],[station]],[1]station_waterbody_county!A:A, [1]station_waterbody_county!B:B)</f>
        <v>Fishermans Harbour</v>
      </c>
      <c r="D79" s="3" t="str">
        <f>_xlfn.XLOOKUP([1]!Table3[[#This Row],[station]],[1]station_waterbody_county!A:A, [1]station_waterbody_county!C:C)</f>
        <v>Guysborough</v>
      </c>
      <c r="E79" s="6"/>
      <c r="F79" s="6" t="s">
        <v>34</v>
      </c>
      <c r="G79" s="10">
        <v>45924</v>
      </c>
      <c r="H79" s="5">
        <v>0.85347222222222219</v>
      </c>
      <c r="I79" s="4"/>
      <c r="J79" s="5"/>
      <c r="K79" s="8"/>
      <c r="L79" s="8"/>
      <c r="M79" s="8"/>
      <c r="N79" s="8"/>
      <c r="O79" s="6" t="s">
        <v>954</v>
      </c>
      <c r="P79" s="6" t="s">
        <v>955</v>
      </c>
      <c r="Q79" s="6"/>
      <c r="R79" s="6"/>
      <c r="S79" s="6" t="s">
        <v>239</v>
      </c>
      <c r="T79" s="9">
        <v>22285919</v>
      </c>
      <c r="U79" s="7">
        <v>20</v>
      </c>
      <c r="V79" s="6" t="s">
        <v>36</v>
      </c>
      <c r="W79" s="7">
        <v>22.6</v>
      </c>
      <c r="X79" s="6" t="s">
        <v>35</v>
      </c>
      <c r="Y79" s="7">
        <v>0.5</v>
      </c>
      <c r="Z79" s="7">
        <v>0.5</v>
      </c>
      <c r="AA79" s="6" t="s">
        <v>242</v>
      </c>
      <c r="AB79" s="6" t="s">
        <v>258</v>
      </c>
      <c r="AC79" s="6"/>
      <c r="AD79" s="6" t="s">
        <v>39</v>
      </c>
      <c r="AE79" s="6" t="s">
        <v>40</v>
      </c>
      <c r="AF79" s="9"/>
      <c r="AG79" s="6" t="s">
        <v>37</v>
      </c>
      <c r="AH79" s="7">
        <v>60</v>
      </c>
      <c r="AI79" s="6" t="s">
        <v>40</v>
      </c>
      <c r="AJ79" s="6" t="s">
        <v>238</v>
      </c>
      <c r="AK79" s="6"/>
      <c r="AL79" s="6" t="s">
        <v>41</v>
      </c>
      <c r="AM79" s="6"/>
      <c r="AN79" s="6"/>
    </row>
    <row r="80" spans="1:40" s="3" customFormat="1" x14ac:dyDescent="0.25">
      <c r="A80" s="4">
        <v>45944</v>
      </c>
      <c r="B80" s="6" t="s">
        <v>126</v>
      </c>
      <c r="C80" s="6" t="str">
        <f>_xlfn.XLOOKUP([1]!Table3[[#This Row],[station]],[1]station_waterbody_county!A:A, [1]station_waterbody_county!B:B)</f>
        <v>Tor Bay</v>
      </c>
      <c r="D80" s="3" t="str">
        <f>_xlfn.XLOOKUP([1]!Table3[[#This Row],[station]],[1]station_waterbody_county!A:A, [1]station_waterbody_county!C:C)</f>
        <v>Guysborough</v>
      </c>
      <c r="E80" s="6"/>
      <c r="F80" s="6" t="s">
        <v>34</v>
      </c>
      <c r="G80" s="10">
        <v>45925</v>
      </c>
      <c r="H80" s="5">
        <v>0.53749999999999998</v>
      </c>
      <c r="I80" s="4"/>
      <c r="J80" s="5"/>
      <c r="K80" s="8"/>
      <c r="L80" s="8"/>
      <c r="M80" s="8"/>
      <c r="N80" s="8"/>
      <c r="O80" s="6" t="s">
        <v>957</v>
      </c>
      <c r="P80" s="6" t="s">
        <v>288</v>
      </c>
      <c r="Q80" s="6"/>
      <c r="R80" s="6"/>
      <c r="S80" s="6" t="s">
        <v>239</v>
      </c>
      <c r="T80" s="9">
        <v>20495219</v>
      </c>
      <c r="U80" s="7">
        <v>2</v>
      </c>
      <c r="V80" s="6" t="s">
        <v>36</v>
      </c>
      <c r="W80" s="7">
        <v>24.1</v>
      </c>
      <c r="X80" s="6" t="s">
        <v>35</v>
      </c>
      <c r="Y80" s="7">
        <v>1.4</v>
      </c>
      <c r="Z80" s="7">
        <v>0.5</v>
      </c>
      <c r="AA80" s="6" t="s">
        <v>242</v>
      </c>
      <c r="AB80" s="6" t="s">
        <v>38</v>
      </c>
      <c r="AC80" s="6"/>
      <c r="AD80" s="6" t="s">
        <v>39</v>
      </c>
      <c r="AE80" s="6" t="s">
        <v>40</v>
      </c>
      <c r="AF80" s="9"/>
      <c r="AG80" s="6" t="s">
        <v>37</v>
      </c>
      <c r="AH80" s="7">
        <v>60</v>
      </c>
      <c r="AI80" s="6" t="s">
        <v>40</v>
      </c>
      <c r="AJ80" s="6" t="s">
        <v>238</v>
      </c>
      <c r="AK80" s="6"/>
      <c r="AL80" s="6" t="s">
        <v>41</v>
      </c>
      <c r="AM80" s="6"/>
      <c r="AN80" s="6"/>
    </row>
    <row r="81" spans="1:40" s="3" customFormat="1" x14ac:dyDescent="0.25">
      <c r="A81" s="4">
        <v>45944</v>
      </c>
      <c r="B81" s="6" t="s">
        <v>126</v>
      </c>
      <c r="C81" s="6" t="str">
        <f>_xlfn.XLOOKUP([1]!Table3[[#This Row],[station]],[1]station_waterbody_county!A:A, [1]station_waterbody_county!B:B)</f>
        <v>Tor Bay</v>
      </c>
      <c r="D81" s="3" t="str">
        <f>_xlfn.XLOOKUP([1]!Table3[[#This Row],[station]],[1]station_waterbody_county!A:A, [1]station_waterbody_county!C:C)</f>
        <v>Guysborough</v>
      </c>
      <c r="E81" s="6"/>
      <c r="F81" s="6" t="s">
        <v>34</v>
      </c>
      <c r="G81" s="10">
        <v>45925</v>
      </c>
      <c r="H81" s="5">
        <v>0.53749999999999998</v>
      </c>
      <c r="I81" s="4"/>
      <c r="J81" s="5"/>
      <c r="K81" s="8"/>
      <c r="L81" s="8"/>
      <c r="M81" s="8"/>
      <c r="N81" s="8"/>
      <c r="O81" s="6" t="s">
        <v>957</v>
      </c>
      <c r="P81" s="6" t="s">
        <v>288</v>
      </c>
      <c r="Q81" s="6"/>
      <c r="R81" s="6"/>
      <c r="S81" s="6" t="s">
        <v>239</v>
      </c>
      <c r="T81" s="9">
        <v>20291428</v>
      </c>
      <c r="U81" s="7">
        <v>5</v>
      </c>
      <c r="V81" s="6" t="s">
        <v>36</v>
      </c>
      <c r="W81" s="7">
        <v>24.1</v>
      </c>
      <c r="X81" s="6" t="s">
        <v>35</v>
      </c>
      <c r="Y81" s="7">
        <v>1.4</v>
      </c>
      <c r="Z81" s="7">
        <v>0.5</v>
      </c>
      <c r="AA81" s="6" t="s">
        <v>242</v>
      </c>
      <c r="AB81" s="6" t="s">
        <v>38</v>
      </c>
      <c r="AC81" s="6"/>
      <c r="AD81" s="6" t="s">
        <v>39</v>
      </c>
      <c r="AE81" s="6" t="s">
        <v>40</v>
      </c>
      <c r="AF81" s="9"/>
      <c r="AG81" s="6" t="s">
        <v>37</v>
      </c>
      <c r="AH81" s="7">
        <v>60</v>
      </c>
      <c r="AI81" s="6" t="s">
        <v>40</v>
      </c>
      <c r="AJ81" s="6" t="s">
        <v>238</v>
      </c>
      <c r="AK81" s="6"/>
      <c r="AL81" s="6" t="s">
        <v>41</v>
      </c>
      <c r="AM81" s="6"/>
      <c r="AN81" s="6"/>
    </row>
    <row r="82" spans="1:40" s="3" customFormat="1" x14ac:dyDescent="0.25">
      <c r="A82" s="4">
        <v>45944</v>
      </c>
      <c r="B82" s="6" t="s">
        <v>126</v>
      </c>
      <c r="C82" s="6" t="str">
        <f>_xlfn.XLOOKUP([1]!Table3[[#This Row],[station]],[1]station_waterbody_county!A:A, [1]station_waterbody_county!B:B)</f>
        <v>Tor Bay</v>
      </c>
      <c r="D82" s="3" t="str">
        <f>_xlfn.XLOOKUP([1]!Table3[[#This Row],[station]],[1]station_waterbody_county!A:A, [1]station_waterbody_county!C:C)</f>
        <v>Guysborough</v>
      </c>
      <c r="E82" s="6"/>
      <c r="F82" s="6" t="s">
        <v>34</v>
      </c>
      <c r="G82" s="10">
        <v>45925</v>
      </c>
      <c r="H82" s="5">
        <v>0.53749999999999998</v>
      </c>
      <c r="I82" s="4"/>
      <c r="J82" s="5"/>
      <c r="K82" s="8"/>
      <c r="L82" s="8"/>
      <c r="M82" s="8"/>
      <c r="N82" s="8"/>
      <c r="O82" s="6" t="s">
        <v>957</v>
      </c>
      <c r="P82" s="6" t="s">
        <v>288</v>
      </c>
      <c r="Q82" s="6"/>
      <c r="R82" s="6"/>
      <c r="S82" s="6" t="s">
        <v>239</v>
      </c>
      <c r="T82" s="9">
        <v>20495228</v>
      </c>
      <c r="U82" s="7">
        <v>10</v>
      </c>
      <c r="V82" s="6" t="s">
        <v>36</v>
      </c>
      <c r="W82" s="7">
        <v>24.1</v>
      </c>
      <c r="X82" s="6" t="s">
        <v>35</v>
      </c>
      <c r="Y82" s="7">
        <v>1.4</v>
      </c>
      <c r="Z82" s="7">
        <v>0.5</v>
      </c>
      <c r="AA82" s="6" t="s">
        <v>242</v>
      </c>
      <c r="AB82" s="6" t="s">
        <v>38</v>
      </c>
      <c r="AC82" s="6"/>
      <c r="AD82" s="6" t="s">
        <v>39</v>
      </c>
      <c r="AE82" s="6" t="s">
        <v>40</v>
      </c>
      <c r="AF82" s="9"/>
      <c r="AG82" s="6" t="s">
        <v>37</v>
      </c>
      <c r="AH82" s="7">
        <v>60</v>
      </c>
      <c r="AI82" s="6" t="s">
        <v>40</v>
      </c>
      <c r="AJ82" s="6" t="s">
        <v>238</v>
      </c>
      <c r="AK82" s="6"/>
      <c r="AL82" s="6" t="s">
        <v>41</v>
      </c>
      <c r="AM82" s="6"/>
      <c r="AN82" s="6"/>
    </row>
    <row r="83" spans="1:40" s="3" customFormat="1" x14ac:dyDescent="0.25">
      <c r="A83" s="4">
        <v>45944</v>
      </c>
      <c r="B83" s="6" t="s">
        <v>126</v>
      </c>
      <c r="C83" s="6" t="str">
        <f>_xlfn.XLOOKUP([1]!Table3[[#This Row],[station]],[1]station_waterbody_county!A:A, [1]station_waterbody_county!B:B)</f>
        <v>Tor Bay</v>
      </c>
      <c r="D83" s="3" t="str">
        <f>_xlfn.XLOOKUP([1]!Table3[[#This Row],[station]],[1]station_waterbody_county!A:A, [1]station_waterbody_county!C:C)</f>
        <v>Guysborough</v>
      </c>
      <c r="E83" s="6"/>
      <c r="F83" s="6" t="s">
        <v>34</v>
      </c>
      <c r="G83" s="10">
        <v>45925</v>
      </c>
      <c r="H83" s="5">
        <v>0.53749999999999998</v>
      </c>
      <c r="I83" s="4"/>
      <c r="J83" s="5"/>
      <c r="K83" s="8"/>
      <c r="L83" s="8"/>
      <c r="M83" s="8"/>
      <c r="N83" s="8"/>
      <c r="O83" s="6" t="s">
        <v>957</v>
      </c>
      <c r="P83" s="6" t="s">
        <v>288</v>
      </c>
      <c r="Q83" s="6"/>
      <c r="R83" s="6"/>
      <c r="S83" s="6" t="s">
        <v>239</v>
      </c>
      <c r="T83" s="9">
        <v>22285950</v>
      </c>
      <c r="U83" s="7">
        <v>15</v>
      </c>
      <c r="V83" s="6" t="s">
        <v>36</v>
      </c>
      <c r="W83" s="7">
        <v>24.1</v>
      </c>
      <c r="X83" s="6" t="s">
        <v>35</v>
      </c>
      <c r="Y83" s="7">
        <v>1.4</v>
      </c>
      <c r="Z83" s="7">
        <v>0.5</v>
      </c>
      <c r="AA83" s="6" t="s">
        <v>242</v>
      </c>
      <c r="AB83" s="6" t="s">
        <v>38</v>
      </c>
      <c r="AC83" s="6"/>
      <c r="AD83" s="6" t="s">
        <v>39</v>
      </c>
      <c r="AE83" s="6" t="s">
        <v>40</v>
      </c>
      <c r="AF83" s="9"/>
      <c r="AG83" s="6" t="s">
        <v>37</v>
      </c>
      <c r="AH83" s="7">
        <v>60</v>
      </c>
      <c r="AI83" s="6" t="s">
        <v>40</v>
      </c>
      <c r="AJ83" s="6" t="s">
        <v>238</v>
      </c>
      <c r="AK83" s="6"/>
      <c r="AL83" s="6" t="s">
        <v>41</v>
      </c>
      <c r="AM83" s="6"/>
      <c r="AN83" s="6"/>
    </row>
    <row r="84" spans="1:40" s="3" customFormat="1" x14ac:dyDescent="0.25">
      <c r="A84" s="4">
        <v>45944</v>
      </c>
      <c r="B84" s="6" t="s">
        <v>126</v>
      </c>
      <c r="C84" s="6" t="str">
        <f>_xlfn.XLOOKUP([1]!Table3[[#This Row],[station]],[1]station_waterbody_county!A:A, [1]station_waterbody_county!B:B)</f>
        <v>Tor Bay</v>
      </c>
      <c r="D84" s="3" t="str">
        <f>_xlfn.XLOOKUP([1]!Table3[[#This Row],[station]],[1]station_waterbody_county!A:A, [1]station_waterbody_county!C:C)</f>
        <v>Guysborough</v>
      </c>
      <c r="E84" s="6"/>
      <c r="F84" s="6" t="s">
        <v>34</v>
      </c>
      <c r="G84" s="10">
        <v>45925</v>
      </c>
      <c r="H84" s="5">
        <v>0.53749999999999998</v>
      </c>
      <c r="I84" s="4"/>
      <c r="J84" s="5"/>
      <c r="K84" s="8"/>
      <c r="L84" s="8"/>
      <c r="M84" s="8"/>
      <c r="N84" s="8"/>
      <c r="O84" s="6" t="s">
        <v>957</v>
      </c>
      <c r="P84" s="6" t="s">
        <v>288</v>
      </c>
      <c r="Q84" s="6"/>
      <c r="R84" s="6"/>
      <c r="S84" s="6" t="s">
        <v>42</v>
      </c>
      <c r="T84" s="9">
        <v>548582</v>
      </c>
      <c r="U84" s="7">
        <v>20</v>
      </c>
      <c r="V84" s="6" t="s">
        <v>36</v>
      </c>
      <c r="W84" s="7">
        <v>24.1</v>
      </c>
      <c r="X84" s="6" t="s">
        <v>35</v>
      </c>
      <c r="Y84" s="7">
        <v>1.4</v>
      </c>
      <c r="Z84" s="7">
        <v>0.5</v>
      </c>
      <c r="AA84" s="6" t="s">
        <v>242</v>
      </c>
      <c r="AB84" s="6" t="s">
        <v>38</v>
      </c>
      <c r="AC84" s="6"/>
      <c r="AD84" s="6" t="s">
        <v>39</v>
      </c>
      <c r="AE84" s="6" t="s">
        <v>40</v>
      </c>
      <c r="AF84" s="9"/>
      <c r="AG84" s="6" t="s">
        <v>37</v>
      </c>
      <c r="AH84" s="7">
        <v>60</v>
      </c>
      <c r="AI84" s="6" t="s">
        <v>40</v>
      </c>
      <c r="AJ84" s="6" t="s">
        <v>238</v>
      </c>
      <c r="AK84" s="6"/>
      <c r="AL84" s="6" t="s">
        <v>41</v>
      </c>
      <c r="AM84" s="6"/>
      <c r="AN84" s="6"/>
    </row>
    <row r="85" spans="1:40" s="3" customFormat="1" x14ac:dyDescent="0.25">
      <c r="A85" s="4">
        <v>45944</v>
      </c>
      <c r="B85" s="6" t="s">
        <v>126</v>
      </c>
      <c r="C85" s="6" t="str">
        <f>_xlfn.XLOOKUP([1]!Table3[[#This Row],[station]],[1]station_waterbody_county!A:A, [1]station_waterbody_county!B:B)</f>
        <v>Tor Bay</v>
      </c>
      <c r="D85" s="3" t="str">
        <f>_xlfn.XLOOKUP([1]!Table3[[#This Row],[station]],[1]station_waterbody_county!A:A, [1]station_waterbody_county!C:C)</f>
        <v>Guysborough</v>
      </c>
      <c r="E85" s="6"/>
      <c r="F85" s="6" t="s">
        <v>34</v>
      </c>
      <c r="G85" s="10">
        <v>45925</v>
      </c>
      <c r="H85" s="5">
        <v>0.53749999999999998</v>
      </c>
      <c r="I85" s="4"/>
      <c r="J85" s="5"/>
      <c r="K85" s="8"/>
      <c r="L85" s="8"/>
      <c r="M85" s="8"/>
      <c r="N85" s="8"/>
      <c r="O85" s="6" t="s">
        <v>957</v>
      </c>
      <c r="P85" s="6" t="s">
        <v>288</v>
      </c>
      <c r="Q85" s="6"/>
      <c r="R85" s="6"/>
      <c r="S85" s="6" t="s">
        <v>239</v>
      </c>
      <c r="T85" s="9">
        <v>22285938</v>
      </c>
      <c r="U85" s="7">
        <v>20</v>
      </c>
      <c r="V85" s="6" t="s">
        <v>36</v>
      </c>
      <c r="W85" s="7">
        <v>24.1</v>
      </c>
      <c r="X85" s="6" t="s">
        <v>35</v>
      </c>
      <c r="Y85" s="7">
        <v>1.4</v>
      </c>
      <c r="Z85" s="7">
        <v>0.5</v>
      </c>
      <c r="AA85" s="6" t="s">
        <v>242</v>
      </c>
      <c r="AB85" s="6" t="s">
        <v>38</v>
      </c>
      <c r="AC85" s="6"/>
      <c r="AD85" s="6" t="s">
        <v>39</v>
      </c>
      <c r="AE85" s="6" t="s">
        <v>40</v>
      </c>
      <c r="AF85" s="9"/>
      <c r="AG85" s="6" t="s">
        <v>37</v>
      </c>
      <c r="AH85" s="7">
        <v>60</v>
      </c>
      <c r="AI85" s="6" t="s">
        <v>40</v>
      </c>
      <c r="AJ85" s="6" t="s">
        <v>238</v>
      </c>
      <c r="AK85" s="6"/>
      <c r="AL85" s="6" t="s">
        <v>41</v>
      </c>
      <c r="AM85" s="6"/>
      <c r="AN85" s="6"/>
    </row>
    <row r="86" spans="1:40" s="3" customFormat="1" x14ac:dyDescent="0.25">
      <c r="A86" s="4">
        <v>45944</v>
      </c>
      <c r="B86" s="6" t="s">
        <v>208</v>
      </c>
      <c r="C86" s="6" t="str">
        <f>_xlfn.XLOOKUP([1]!Table3[[#This Row],[station]],[1]station_waterbody_county!A:A, [1]station_waterbody_county!B:B)</f>
        <v>Dover Bay</v>
      </c>
      <c r="D86" s="3" t="str">
        <f>_xlfn.XLOOKUP([1]!Table3[[#This Row],[station]],[1]station_waterbody_county!A:A, [1]station_waterbody_county!C:C)</f>
        <v>Guysborough</v>
      </c>
      <c r="E86" s="6"/>
      <c r="F86" s="6" t="s">
        <v>34</v>
      </c>
      <c r="G86" s="10">
        <v>45925</v>
      </c>
      <c r="H86" s="5">
        <v>0.59444444444444444</v>
      </c>
      <c r="I86" s="4"/>
      <c r="J86" s="5"/>
      <c r="K86" s="8"/>
      <c r="L86" s="8"/>
      <c r="M86" s="8"/>
      <c r="N86" s="8"/>
      <c r="O86" s="6" t="s">
        <v>959</v>
      </c>
      <c r="P86" s="6" t="s">
        <v>960</v>
      </c>
      <c r="Q86" s="6"/>
      <c r="R86" s="6"/>
      <c r="S86" s="6" t="s">
        <v>239</v>
      </c>
      <c r="T86" s="9">
        <v>22285923</v>
      </c>
      <c r="U86" s="7">
        <v>2</v>
      </c>
      <c r="V86" s="6" t="s">
        <v>36</v>
      </c>
      <c r="W86" s="7">
        <v>19.2</v>
      </c>
      <c r="X86" s="6" t="s">
        <v>35</v>
      </c>
      <c r="Y86" s="7">
        <v>1.5</v>
      </c>
      <c r="Z86" s="7">
        <v>1</v>
      </c>
      <c r="AA86" s="6" t="s">
        <v>244</v>
      </c>
      <c r="AB86" s="6" t="s">
        <v>922</v>
      </c>
      <c r="AC86" s="6"/>
      <c r="AD86" s="6" t="s">
        <v>39</v>
      </c>
      <c r="AE86" s="6" t="s">
        <v>40</v>
      </c>
      <c r="AF86" s="9"/>
      <c r="AG86" s="6" t="s">
        <v>37</v>
      </c>
      <c r="AH86" s="7">
        <v>60</v>
      </c>
      <c r="AI86" s="6" t="s">
        <v>40</v>
      </c>
      <c r="AJ86" s="6" t="s">
        <v>238</v>
      </c>
      <c r="AK86" s="6"/>
      <c r="AL86" s="6" t="s">
        <v>41</v>
      </c>
      <c r="AM86" s="6"/>
      <c r="AN86" s="6"/>
    </row>
    <row r="87" spans="1:40" s="3" customFormat="1" x14ac:dyDescent="0.25">
      <c r="A87" s="4">
        <v>45944</v>
      </c>
      <c r="B87" s="6" t="s">
        <v>208</v>
      </c>
      <c r="C87" s="6" t="str">
        <f>_xlfn.XLOOKUP([1]!Table3[[#This Row],[station]],[1]station_waterbody_county!A:A, [1]station_waterbody_county!B:B)</f>
        <v>Dover Bay</v>
      </c>
      <c r="D87" s="3" t="str">
        <f>_xlfn.XLOOKUP([1]!Table3[[#This Row],[station]],[1]station_waterbody_county!A:A, [1]station_waterbody_county!C:C)</f>
        <v>Guysborough</v>
      </c>
      <c r="E87" s="6"/>
      <c r="F87" s="6" t="s">
        <v>34</v>
      </c>
      <c r="G87" s="10">
        <v>45925</v>
      </c>
      <c r="H87" s="5">
        <v>0.59444444444444444</v>
      </c>
      <c r="I87" s="4"/>
      <c r="J87" s="5"/>
      <c r="K87" s="8"/>
      <c r="L87" s="8"/>
      <c r="M87" s="8"/>
      <c r="N87" s="8"/>
      <c r="O87" s="6" t="s">
        <v>959</v>
      </c>
      <c r="P87" s="6" t="s">
        <v>960</v>
      </c>
      <c r="Q87" s="6"/>
      <c r="R87" s="6"/>
      <c r="S87" s="6" t="s">
        <v>239</v>
      </c>
      <c r="T87" s="9">
        <v>22285925</v>
      </c>
      <c r="U87" s="7">
        <v>5</v>
      </c>
      <c r="V87" s="6" t="s">
        <v>36</v>
      </c>
      <c r="W87" s="7">
        <v>19.2</v>
      </c>
      <c r="X87" s="6" t="s">
        <v>35</v>
      </c>
      <c r="Y87" s="7">
        <v>1.5</v>
      </c>
      <c r="Z87" s="7">
        <v>1</v>
      </c>
      <c r="AA87" s="6" t="s">
        <v>244</v>
      </c>
      <c r="AB87" s="6" t="s">
        <v>922</v>
      </c>
      <c r="AC87" s="6"/>
      <c r="AD87" s="6" t="s">
        <v>39</v>
      </c>
      <c r="AE87" s="6" t="s">
        <v>40</v>
      </c>
      <c r="AF87" s="9"/>
      <c r="AG87" s="6" t="s">
        <v>37</v>
      </c>
      <c r="AH87" s="7">
        <v>60</v>
      </c>
      <c r="AI87" s="6" t="s">
        <v>40</v>
      </c>
      <c r="AJ87" s="6" t="s">
        <v>238</v>
      </c>
      <c r="AK87" s="6"/>
      <c r="AL87" s="6" t="s">
        <v>41</v>
      </c>
      <c r="AM87" s="6"/>
      <c r="AN87" s="6"/>
    </row>
    <row r="88" spans="1:40" s="3" customFormat="1" x14ac:dyDescent="0.25">
      <c r="A88" s="4">
        <v>45944</v>
      </c>
      <c r="B88" s="6" t="s">
        <v>208</v>
      </c>
      <c r="C88" s="6" t="str">
        <f>_xlfn.XLOOKUP([1]!Table3[[#This Row],[station]],[1]station_waterbody_county!A:A, [1]station_waterbody_county!B:B)</f>
        <v>Dover Bay</v>
      </c>
      <c r="D88" s="3" t="str">
        <f>_xlfn.XLOOKUP([1]!Table3[[#This Row],[station]],[1]station_waterbody_county!A:A, [1]station_waterbody_county!C:C)</f>
        <v>Guysborough</v>
      </c>
      <c r="E88" s="6"/>
      <c r="F88" s="6" t="s">
        <v>34</v>
      </c>
      <c r="G88" s="10">
        <v>45925</v>
      </c>
      <c r="H88" s="5">
        <v>0.59444444444444444</v>
      </c>
      <c r="I88" s="4"/>
      <c r="J88" s="5"/>
      <c r="K88" s="8"/>
      <c r="L88" s="8"/>
      <c r="M88" s="8"/>
      <c r="N88" s="8"/>
      <c r="O88" s="6" t="s">
        <v>959</v>
      </c>
      <c r="P88" s="6" t="s">
        <v>960</v>
      </c>
      <c r="Q88" s="6"/>
      <c r="R88" s="6"/>
      <c r="S88" s="6" t="s">
        <v>239</v>
      </c>
      <c r="T88" s="9">
        <v>22310002</v>
      </c>
      <c r="U88" s="7">
        <v>10</v>
      </c>
      <c r="V88" s="6" t="s">
        <v>36</v>
      </c>
      <c r="W88" s="7">
        <v>19.2</v>
      </c>
      <c r="X88" s="6" t="s">
        <v>35</v>
      </c>
      <c r="Y88" s="7">
        <v>1.5</v>
      </c>
      <c r="Z88" s="7">
        <v>1</v>
      </c>
      <c r="AA88" s="6" t="s">
        <v>244</v>
      </c>
      <c r="AB88" s="6" t="s">
        <v>922</v>
      </c>
      <c r="AC88" s="6"/>
      <c r="AD88" s="6" t="s">
        <v>39</v>
      </c>
      <c r="AE88" s="6" t="s">
        <v>40</v>
      </c>
      <c r="AF88" s="9"/>
      <c r="AG88" s="6" t="s">
        <v>37</v>
      </c>
      <c r="AH88" s="7">
        <v>60</v>
      </c>
      <c r="AI88" s="6" t="s">
        <v>40</v>
      </c>
      <c r="AJ88" s="6" t="s">
        <v>238</v>
      </c>
      <c r="AK88" s="6"/>
      <c r="AL88" s="6" t="s">
        <v>41</v>
      </c>
      <c r="AM88" s="6"/>
      <c r="AN88" s="6"/>
    </row>
    <row r="89" spans="1:40" s="3" customFormat="1" x14ac:dyDescent="0.25">
      <c r="A89" s="4">
        <v>45944</v>
      </c>
      <c r="B89" s="6" t="s">
        <v>208</v>
      </c>
      <c r="C89" s="6" t="str">
        <f>_xlfn.XLOOKUP([1]!Table3[[#This Row],[station]],[1]station_waterbody_county!A:A, [1]station_waterbody_county!B:B)</f>
        <v>Dover Bay</v>
      </c>
      <c r="D89" s="3" t="str">
        <f>_xlfn.XLOOKUP([1]!Table3[[#This Row],[station]],[1]station_waterbody_county!A:A, [1]station_waterbody_county!C:C)</f>
        <v>Guysborough</v>
      </c>
      <c r="E89" s="6"/>
      <c r="F89" s="6" t="s">
        <v>34</v>
      </c>
      <c r="G89" s="10">
        <v>45925</v>
      </c>
      <c r="H89" s="5">
        <v>0.59444444444444444</v>
      </c>
      <c r="I89" s="4"/>
      <c r="J89" s="5"/>
      <c r="K89" s="8"/>
      <c r="L89" s="8"/>
      <c r="M89" s="8"/>
      <c r="N89" s="8"/>
      <c r="O89" s="6" t="s">
        <v>959</v>
      </c>
      <c r="P89" s="6" t="s">
        <v>960</v>
      </c>
      <c r="Q89" s="6"/>
      <c r="R89" s="6"/>
      <c r="S89" s="6" t="s">
        <v>239</v>
      </c>
      <c r="T89" s="9">
        <v>21043075</v>
      </c>
      <c r="U89" s="7">
        <v>15</v>
      </c>
      <c r="V89" s="6" t="s">
        <v>36</v>
      </c>
      <c r="W89" s="7">
        <v>19.2</v>
      </c>
      <c r="X89" s="6" t="s">
        <v>35</v>
      </c>
      <c r="Y89" s="7">
        <v>1.5</v>
      </c>
      <c r="Z89" s="7">
        <v>1</v>
      </c>
      <c r="AA89" s="6" t="s">
        <v>244</v>
      </c>
      <c r="AB89" s="6" t="s">
        <v>922</v>
      </c>
      <c r="AC89" s="6"/>
      <c r="AD89" s="6" t="s">
        <v>39</v>
      </c>
      <c r="AE89" s="6" t="s">
        <v>40</v>
      </c>
      <c r="AF89" s="9"/>
      <c r="AG89" s="6" t="s">
        <v>37</v>
      </c>
      <c r="AH89" s="7">
        <v>60</v>
      </c>
      <c r="AI89" s="6" t="s">
        <v>40</v>
      </c>
      <c r="AJ89" s="6" t="s">
        <v>238</v>
      </c>
      <c r="AK89" s="6"/>
      <c r="AL89" s="6" t="s">
        <v>41</v>
      </c>
      <c r="AM89" s="6"/>
      <c r="AN89" s="6"/>
    </row>
    <row r="90" spans="1:40" s="3" customFormat="1" x14ac:dyDescent="0.25">
      <c r="A90" s="4">
        <v>45944</v>
      </c>
      <c r="B90" s="6" t="s">
        <v>208</v>
      </c>
      <c r="C90" s="6" t="str">
        <f>_xlfn.XLOOKUP([1]!Table3[[#This Row],[station]],[1]station_waterbody_county!A:A, [1]station_waterbody_county!B:B)</f>
        <v>Dover Bay</v>
      </c>
      <c r="D90" s="3" t="str">
        <f>_xlfn.XLOOKUP([1]!Table3[[#This Row],[station]],[1]station_waterbody_county!A:A, [1]station_waterbody_county!C:C)</f>
        <v>Guysborough</v>
      </c>
      <c r="E90" s="6"/>
      <c r="F90" s="6" t="s">
        <v>34</v>
      </c>
      <c r="G90" s="10">
        <v>45925</v>
      </c>
      <c r="H90" s="5">
        <v>0.59444444444444444</v>
      </c>
      <c r="I90" s="4"/>
      <c r="J90" s="5"/>
      <c r="K90" s="8"/>
      <c r="L90" s="8"/>
      <c r="M90" s="8"/>
      <c r="N90" s="8"/>
      <c r="O90" s="6" t="s">
        <v>959</v>
      </c>
      <c r="P90" s="6" t="s">
        <v>960</v>
      </c>
      <c r="Q90" s="6"/>
      <c r="R90" s="6"/>
      <c r="S90" s="6" t="s">
        <v>42</v>
      </c>
      <c r="T90" s="9">
        <v>550756</v>
      </c>
      <c r="U90" s="7">
        <v>24</v>
      </c>
      <c r="V90" s="6" t="s">
        <v>36</v>
      </c>
      <c r="W90" s="7">
        <v>19.2</v>
      </c>
      <c r="X90" s="6" t="s">
        <v>35</v>
      </c>
      <c r="Y90" s="7">
        <v>1.5</v>
      </c>
      <c r="Z90" s="7">
        <v>1</v>
      </c>
      <c r="AA90" s="6" t="s">
        <v>244</v>
      </c>
      <c r="AB90" s="6" t="s">
        <v>922</v>
      </c>
      <c r="AC90" s="6"/>
      <c r="AD90" s="6" t="s">
        <v>39</v>
      </c>
      <c r="AE90" s="6" t="s">
        <v>40</v>
      </c>
      <c r="AF90" s="9"/>
      <c r="AG90" s="6" t="s">
        <v>37</v>
      </c>
      <c r="AH90" s="7">
        <v>60</v>
      </c>
      <c r="AI90" s="6" t="s">
        <v>40</v>
      </c>
      <c r="AJ90" s="6" t="s">
        <v>238</v>
      </c>
      <c r="AK90" s="6"/>
      <c r="AL90" s="6" t="s">
        <v>41</v>
      </c>
      <c r="AM90" s="6"/>
      <c r="AN90" s="6"/>
    </row>
    <row r="91" spans="1:40" s="3" customFormat="1" x14ac:dyDescent="0.25">
      <c r="A91" s="4">
        <v>45944</v>
      </c>
      <c r="B91" s="6" t="s">
        <v>208</v>
      </c>
      <c r="C91" s="6" t="str">
        <f>_xlfn.XLOOKUP([1]!Table3[[#This Row],[station]],[1]station_waterbody_county!A:A, [1]station_waterbody_county!B:B)</f>
        <v>Dover Bay</v>
      </c>
      <c r="D91" s="3" t="str">
        <f>_xlfn.XLOOKUP([1]!Table3[[#This Row],[station]],[1]station_waterbody_county!A:A, [1]station_waterbody_county!C:C)</f>
        <v>Guysborough</v>
      </c>
      <c r="E91" s="6"/>
      <c r="F91" s="6" t="s">
        <v>34</v>
      </c>
      <c r="G91" s="10">
        <v>45925</v>
      </c>
      <c r="H91" s="5">
        <v>0.59444444444444444</v>
      </c>
      <c r="I91" s="4"/>
      <c r="J91" s="5"/>
      <c r="K91" s="8"/>
      <c r="L91" s="8"/>
      <c r="M91" s="8"/>
      <c r="N91" s="8"/>
      <c r="O91" s="6" t="s">
        <v>959</v>
      </c>
      <c r="P91" s="6" t="s">
        <v>960</v>
      </c>
      <c r="Q91" s="6"/>
      <c r="R91" s="6"/>
      <c r="S91" s="6" t="s">
        <v>239</v>
      </c>
      <c r="T91" s="9">
        <v>20900985</v>
      </c>
      <c r="U91" s="7">
        <v>24</v>
      </c>
      <c r="V91" s="6" t="s">
        <v>36</v>
      </c>
      <c r="W91" s="7">
        <v>19.2</v>
      </c>
      <c r="X91" s="6" t="s">
        <v>35</v>
      </c>
      <c r="Y91" s="7">
        <v>1.5</v>
      </c>
      <c r="Z91" s="7">
        <v>1</v>
      </c>
      <c r="AA91" s="6" t="s">
        <v>244</v>
      </c>
      <c r="AB91" s="6" t="s">
        <v>922</v>
      </c>
      <c r="AC91" s="6"/>
      <c r="AD91" s="6" t="s">
        <v>39</v>
      </c>
      <c r="AE91" s="6" t="s">
        <v>40</v>
      </c>
      <c r="AF91" s="9"/>
      <c r="AG91" s="6" t="s">
        <v>37</v>
      </c>
      <c r="AH91" s="7">
        <v>60</v>
      </c>
      <c r="AI91" s="6" t="s">
        <v>40</v>
      </c>
      <c r="AJ91" s="6" t="s">
        <v>238</v>
      </c>
      <c r="AK91" s="6"/>
      <c r="AL91" s="6" t="s">
        <v>41</v>
      </c>
      <c r="AM91" s="6"/>
      <c r="AN91" s="6"/>
    </row>
  </sheetData>
  <conditionalFormatting sqref="B2:B91">
    <cfRule type="containsBlanks" dxfId="1" priority="1">
      <formula>LEN(TRIM(B2))=0</formula>
    </cfRule>
  </conditionalFormatting>
  <conditionalFormatting sqref="B2:B91">
    <cfRule type="expression" dxfId="0" priority="2">
      <formula>ISNA(MATCH($B2,STATION_LIST,0))</formula>
    </cfRule>
  </conditionalFormatting>
  <dataValidations count="11">
    <dataValidation type="list" allowBlank="1" showInputMessage="1" showErrorMessage="1" sqref="AC2:AD91" xr:uid="{23D676F6-639B-49C5-A9D0-E1DE3C37D7AB}">
      <formula1>"11"" hard vinyl, 8"" hard vinyl"</formula1>
    </dataValidation>
    <dataValidation type="list" allowBlank="1" showInputMessage="1" showErrorMessage="1" sqref="AB2:AB91" xr:uid="{D276364C-507E-4F20-A4A9-C5EB30270878}">
      <formula1>"16"" hard vinyl, 14"" hard vinyl, 14"" hard vinyl (white), 14"" hard vinyl (orange), 11"" hard vinyl, 8"" hard vinyl, nav buoy, vinyl"</formula1>
    </dataValidation>
    <dataValidation type="list" allowBlank="1" showInputMessage="1" showErrorMessage="1" sqref="AE2:AE91" xr:uid="{A66873AD-A7C6-4D3C-8B80-E6840FFA39CC}">
      <formula1>"none, SSL link, Fundy loop"</formula1>
    </dataValidation>
    <dataValidation type="list" allowBlank="1" showInputMessage="1" showErrorMessage="1" sqref="AI1:AI91" xr:uid="{B16FF2FB-40B4-4D29-AB66-C6D79D4DACF1}">
      <formula1>"none, copper tape, copper cage, PME miniWIPER, pvc pipe, uv light, Hobo DO antifouling protective guard"</formula1>
    </dataValidation>
    <dataValidation type="list" allowBlank="1" showInputMessage="1" showErrorMessage="1" sqref="F1:F91" xr:uid="{944DD11C-E496-4455-94B6-9F16A90513F5}">
      <formula1>"deployed, retrieved, lost"</formula1>
    </dataValidation>
    <dataValidation type="date" operator="greaterThan" allowBlank="1" showInputMessage="1" showErrorMessage="1" sqref="A2:A91" xr:uid="{A32CA505-BEAA-4079-A713-B8842BD26F1A}">
      <formula1>43831</formula1>
    </dataValidation>
    <dataValidation type="list" allowBlank="1" showInputMessage="1" showErrorMessage="1" sqref="X1:X91 AK1:AK91" xr:uid="{7175B856-E39A-4D94-B889-94338C26D7BF}">
      <formula1>"y,n"</formula1>
    </dataValidation>
    <dataValidation type="list" allowBlank="1" showInputMessage="1" showErrorMessage="1" sqref="AA1:AA91" xr:uid="{7A287870-AE1C-4570-A0BC-D73B17E17EBE}">
      <formula1>"rising,falling,slack high, slack low"</formula1>
    </dataValidation>
    <dataValidation type="list" allowBlank="1" showInputMessage="1" showErrorMessage="1" sqref="V1:V91" xr:uid="{3F172628-60DE-48CA-85D5-F4174289D935}">
      <formula1>"sub-surface buoy, surface buoy, attached to fixed structure, attached to gear, floating dock, unknown"</formula1>
    </dataValidation>
    <dataValidation type="list" allowBlank="1" showInputMessage="1" showErrorMessage="1" sqref="AB1:AD1" xr:uid="{C20949BC-AC24-4A99-A12E-5463BAEEFC3B}">
      <formula1>"11"" hard vinyl, 14"" hard vinyl, 8"" hard vinyl"</formula1>
    </dataValidation>
    <dataValidation type="list" allowBlank="1" showInputMessage="1" showErrorMessage="1" sqref="S1:S91" xr:uid="{A5BB639E-E758-4FF8-8638-DD13EB5D742A}">
      <formula1>"aquaMeasure DOT, aquaMeasure SAL, aquaMeasure CHL, HOBO DO, HOBO Pro V2, HOBO Level Logger, TidbiT MX 2203, miniDOT, VR2AR, VR2ARX"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78D97-480E-4A1C-A868-3FF779D47BC0}">
  <dimension ref="A1:I231"/>
  <sheetViews>
    <sheetView topLeftCell="A211" zoomScale="115" zoomScaleNormal="115" workbookViewId="0">
      <selection activeCell="F231" sqref="F231:G231"/>
    </sheetView>
  </sheetViews>
  <sheetFormatPr defaultRowHeight="15" x14ac:dyDescent="0.25"/>
  <cols>
    <col min="1" max="1" width="29.140625" style="18" bestFit="1" customWidth="1"/>
    <col min="2" max="2" width="24" bestFit="1" customWidth="1"/>
    <col min="3" max="3" width="14.7109375" bestFit="1" customWidth="1"/>
    <col min="4" max="4" width="12" hidden="1" customWidth="1"/>
    <col min="5" max="5" width="12.7109375" hidden="1" customWidth="1"/>
    <col min="6" max="6" width="13.140625" bestFit="1" customWidth="1"/>
    <col min="7" max="7" width="14.7109375" bestFit="1" customWidth="1"/>
    <col min="8" max="8" width="14.7109375" customWidth="1"/>
  </cols>
  <sheetData>
    <row r="1" spans="1:9" s="2" customFormat="1" x14ac:dyDescent="0.25">
      <c r="A1" s="17" t="s">
        <v>1</v>
      </c>
      <c r="B1" s="2" t="s">
        <v>0</v>
      </c>
      <c r="C1" s="2" t="s">
        <v>405</v>
      </c>
      <c r="D1" s="2" t="s">
        <v>434</v>
      </c>
      <c r="E1" s="2" t="s">
        <v>435</v>
      </c>
      <c r="F1" s="2" t="s">
        <v>436</v>
      </c>
      <c r="G1" s="2" t="s">
        <v>437</v>
      </c>
      <c r="H1" s="2" t="s">
        <v>3</v>
      </c>
      <c r="I1" s="2" t="s">
        <v>31</v>
      </c>
    </row>
    <row r="2" spans="1:9" x14ac:dyDescent="0.25">
      <c r="A2" s="18">
        <v>1042</v>
      </c>
      <c r="B2" t="s">
        <v>48</v>
      </c>
      <c r="C2" t="s">
        <v>407</v>
      </c>
      <c r="D2">
        <v>44.652859999999997</v>
      </c>
      <c r="E2">
        <v>-65.674530000000004</v>
      </c>
      <c r="F2" t="s">
        <v>438</v>
      </c>
      <c r="G2" t="s">
        <v>439</v>
      </c>
      <c r="H2" t="s">
        <v>894</v>
      </c>
    </row>
    <row r="3" spans="1:9" x14ac:dyDescent="0.25">
      <c r="A3" s="18">
        <v>5004</v>
      </c>
      <c r="B3" t="s">
        <v>48</v>
      </c>
      <c r="C3" t="s">
        <v>407</v>
      </c>
      <c r="D3">
        <v>44.676569999999998</v>
      </c>
      <c r="E3">
        <v>-65.691180000000003</v>
      </c>
      <c r="F3" t="s">
        <v>440</v>
      </c>
      <c r="G3" t="s">
        <v>441</v>
      </c>
      <c r="H3" t="s">
        <v>894</v>
      </c>
    </row>
    <row r="4" spans="1:9" x14ac:dyDescent="0.25">
      <c r="A4" s="18">
        <v>5005</v>
      </c>
      <c r="B4" t="s">
        <v>48</v>
      </c>
      <c r="C4" t="s">
        <v>407</v>
      </c>
      <c r="D4">
        <v>44.634169999999997</v>
      </c>
      <c r="E4">
        <v>-65.711929999999995</v>
      </c>
      <c r="F4" t="s">
        <v>442</v>
      </c>
      <c r="G4" t="s">
        <v>443</v>
      </c>
      <c r="H4" t="s">
        <v>894</v>
      </c>
    </row>
    <row r="5" spans="1:9" x14ac:dyDescent="0.25">
      <c r="A5" s="18">
        <v>5006</v>
      </c>
      <c r="B5" t="s">
        <v>48</v>
      </c>
      <c r="C5" t="s">
        <v>407</v>
      </c>
      <c r="D5">
        <v>44.669580000000003</v>
      </c>
      <c r="E5">
        <v>-65.647729999999996</v>
      </c>
      <c r="F5" t="s">
        <v>444</v>
      </c>
      <c r="G5" t="s">
        <v>445</v>
      </c>
      <c r="H5" t="s">
        <v>894</v>
      </c>
    </row>
    <row r="6" spans="1:9" x14ac:dyDescent="0.25">
      <c r="A6" s="18" t="s">
        <v>131</v>
      </c>
      <c r="B6" t="s">
        <v>48</v>
      </c>
      <c r="C6" t="s">
        <v>407</v>
      </c>
      <c r="D6">
        <v>44.669400000000003</v>
      </c>
      <c r="E6">
        <v>-65.644779999999997</v>
      </c>
      <c r="F6" t="s">
        <v>446</v>
      </c>
      <c r="G6" t="s">
        <v>447</v>
      </c>
      <c r="H6" t="s">
        <v>894</v>
      </c>
    </row>
    <row r="7" spans="1:9" x14ac:dyDescent="0.25">
      <c r="A7" s="18" t="s">
        <v>162</v>
      </c>
      <c r="B7" t="s">
        <v>48</v>
      </c>
      <c r="C7" t="s">
        <v>407</v>
      </c>
      <c r="D7">
        <v>44.67821</v>
      </c>
      <c r="E7">
        <v>-65.683350000000004</v>
      </c>
      <c r="F7" t="s">
        <v>448</v>
      </c>
      <c r="G7" t="s">
        <v>449</v>
      </c>
      <c r="H7" t="s">
        <v>894</v>
      </c>
    </row>
    <row r="8" spans="1:9" x14ac:dyDescent="0.25">
      <c r="A8" s="18">
        <v>1442</v>
      </c>
      <c r="B8" t="s">
        <v>95</v>
      </c>
      <c r="C8" t="s">
        <v>406</v>
      </c>
      <c r="D8">
        <v>45.671616999999998</v>
      </c>
      <c r="E8">
        <v>-61.892617000000001</v>
      </c>
      <c r="F8" t="s">
        <v>450</v>
      </c>
      <c r="G8" t="s">
        <v>451</v>
      </c>
      <c r="H8" t="s">
        <v>894</v>
      </c>
    </row>
    <row r="9" spans="1:9" x14ac:dyDescent="0.25">
      <c r="A9" s="18">
        <v>1443</v>
      </c>
      <c r="B9" t="s">
        <v>95</v>
      </c>
      <c r="C9" t="s">
        <v>406</v>
      </c>
      <c r="D9">
        <v>45.679016670000003</v>
      </c>
      <c r="E9">
        <v>-61.895583330000001</v>
      </c>
      <c r="F9" t="s">
        <v>452</v>
      </c>
      <c r="G9" t="s">
        <v>453</v>
      </c>
      <c r="H9" t="s">
        <v>894</v>
      </c>
    </row>
    <row r="10" spans="1:9" x14ac:dyDescent="0.25">
      <c r="A10" s="18" t="s">
        <v>213</v>
      </c>
      <c r="B10" t="s">
        <v>95</v>
      </c>
      <c r="C10" t="s">
        <v>406</v>
      </c>
      <c r="D10">
        <v>45.659770000000002</v>
      </c>
      <c r="E10">
        <v>-61.904260000000001</v>
      </c>
      <c r="F10" t="s">
        <v>454</v>
      </c>
      <c r="G10" t="s">
        <v>455</v>
      </c>
      <c r="H10" t="s">
        <v>895</v>
      </c>
    </row>
    <row r="11" spans="1:9" x14ac:dyDescent="0.25">
      <c r="A11" s="18">
        <v>667</v>
      </c>
      <c r="B11" t="s">
        <v>46</v>
      </c>
      <c r="C11" t="s">
        <v>408</v>
      </c>
      <c r="D11">
        <v>45.493409999999997</v>
      </c>
      <c r="E11">
        <v>-61.019469999999998</v>
      </c>
      <c r="F11" t="s">
        <v>456</v>
      </c>
      <c r="G11" t="s">
        <v>457</v>
      </c>
      <c r="H11" t="s">
        <v>894</v>
      </c>
    </row>
    <row r="12" spans="1:9" x14ac:dyDescent="0.25">
      <c r="A12" s="18" t="s">
        <v>103</v>
      </c>
      <c r="B12" t="s">
        <v>46</v>
      </c>
      <c r="C12" t="s">
        <v>408</v>
      </c>
      <c r="D12">
        <v>45.501350000000002</v>
      </c>
      <c r="E12">
        <v>-61.041969999999999</v>
      </c>
      <c r="F12" t="s">
        <v>458</v>
      </c>
      <c r="G12" t="s">
        <v>459</v>
      </c>
      <c r="H12" t="s">
        <v>894</v>
      </c>
    </row>
    <row r="13" spans="1:9" x14ac:dyDescent="0.25">
      <c r="A13" s="18" t="s">
        <v>122</v>
      </c>
      <c r="B13" t="s">
        <v>46</v>
      </c>
      <c r="C13" t="s">
        <v>408</v>
      </c>
      <c r="D13">
        <v>45.498199999999997</v>
      </c>
      <c r="E13">
        <v>-61.019170000000003</v>
      </c>
      <c r="F13" t="s">
        <v>460</v>
      </c>
      <c r="G13" t="s">
        <v>461</v>
      </c>
      <c r="H13" t="s">
        <v>894</v>
      </c>
    </row>
    <row r="14" spans="1:9" x14ac:dyDescent="0.25">
      <c r="A14" s="18" t="s">
        <v>123</v>
      </c>
      <c r="B14" t="s">
        <v>46</v>
      </c>
      <c r="C14" t="s">
        <v>408</v>
      </c>
      <c r="D14">
        <v>45.500360000000001</v>
      </c>
      <c r="E14">
        <v>-61.018700000000003</v>
      </c>
      <c r="F14" t="s">
        <v>462</v>
      </c>
      <c r="G14" t="s">
        <v>463</v>
      </c>
      <c r="H14" t="s">
        <v>894</v>
      </c>
    </row>
    <row r="15" spans="1:9" x14ac:dyDescent="0.25">
      <c r="A15" s="18" t="s">
        <v>138</v>
      </c>
      <c r="B15" t="s">
        <v>46</v>
      </c>
      <c r="C15" t="s">
        <v>408</v>
      </c>
      <c r="D15">
        <v>45.490279999999998</v>
      </c>
      <c r="E15">
        <v>-61.038310000000003</v>
      </c>
      <c r="F15" t="s">
        <v>464</v>
      </c>
      <c r="G15" t="s">
        <v>465</v>
      </c>
      <c r="H15" t="s">
        <v>894</v>
      </c>
    </row>
    <row r="16" spans="1:9" x14ac:dyDescent="0.25">
      <c r="A16" s="18" t="s">
        <v>152</v>
      </c>
      <c r="B16" t="s">
        <v>46</v>
      </c>
      <c r="C16" t="s">
        <v>408</v>
      </c>
      <c r="D16">
        <v>45.498170000000002</v>
      </c>
      <c r="E16">
        <v>-61.044649999999997</v>
      </c>
      <c r="F16" t="s">
        <v>466</v>
      </c>
      <c r="G16" t="s">
        <v>467</v>
      </c>
      <c r="H16" t="s">
        <v>895</v>
      </c>
    </row>
    <row r="17" spans="1:9" x14ac:dyDescent="0.25">
      <c r="A17" s="18" t="s">
        <v>154</v>
      </c>
      <c r="B17" t="s">
        <v>46</v>
      </c>
      <c r="C17" t="s">
        <v>408</v>
      </c>
      <c r="D17">
        <v>45.498240000000003</v>
      </c>
      <c r="E17">
        <v>-61.019309999999997</v>
      </c>
      <c r="F17" t="s">
        <v>468</v>
      </c>
      <c r="G17" t="s">
        <v>469</v>
      </c>
      <c r="H17" t="s">
        <v>895</v>
      </c>
    </row>
    <row r="18" spans="1:9" x14ac:dyDescent="0.25">
      <c r="A18" s="18" t="s">
        <v>205</v>
      </c>
      <c r="B18" t="s">
        <v>92</v>
      </c>
      <c r="C18" t="s">
        <v>409</v>
      </c>
      <c r="D18">
        <v>44.503349999999998</v>
      </c>
      <c r="E18">
        <v>-64.049899999999994</v>
      </c>
      <c r="F18" t="s">
        <v>470</v>
      </c>
      <c r="G18" t="s">
        <v>471</v>
      </c>
      <c r="H18" t="s">
        <v>894</v>
      </c>
    </row>
    <row r="19" spans="1:9" x14ac:dyDescent="0.25">
      <c r="A19" s="18" t="s">
        <v>187</v>
      </c>
      <c r="B19" t="s">
        <v>89</v>
      </c>
      <c r="C19" t="s">
        <v>410</v>
      </c>
      <c r="D19">
        <v>46.911230000000003</v>
      </c>
      <c r="E19">
        <v>-60.474780000000003</v>
      </c>
      <c r="F19" t="s">
        <v>472</v>
      </c>
      <c r="G19" t="s">
        <v>473</v>
      </c>
      <c r="H19" t="s">
        <v>894</v>
      </c>
    </row>
    <row r="20" spans="1:9" x14ac:dyDescent="0.25">
      <c r="A20" s="18" t="s">
        <v>474</v>
      </c>
      <c r="B20" t="s">
        <v>89</v>
      </c>
      <c r="C20" t="s">
        <v>410</v>
      </c>
      <c r="D20">
        <v>46.926288999999997</v>
      </c>
      <c r="E20">
        <v>-60.448709000000001</v>
      </c>
      <c r="F20" t="s">
        <v>475</v>
      </c>
      <c r="G20" t="s">
        <v>476</v>
      </c>
      <c r="H20" t="s">
        <v>896</v>
      </c>
    </row>
    <row r="21" spans="1:9" x14ac:dyDescent="0.25">
      <c r="A21" s="18" t="s">
        <v>156</v>
      </c>
      <c r="B21" t="s">
        <v>76</v>
      </c>
      <c r="C21" t="s">
        <v>408</v>
      </c>
      <c r="D21">
        <v>45.529040000000002</v>
      </c>
      <c r="E21">
        <v>-60.926009999999998</v>
      </c>
      <c r="F21" t="s">
        <v>477</v>
      </c>
      <c r="G21" t="s">
        <v>478</v>
      </c>
      <c r="H21" t="s">
        <v>894</v>
      </c>
    </row>
    <row r="22" spans="1:9" x14ac:dyDescent="0.25">
      <c r="A22" s="18" t="s">
        <v>343</v>
      </c>
      <c r="B22" t="s">
        <v>343</v>
      </c>
      <c r="C22" t="s">
        <v>410</v>
      </c>
      <c r="D22">
        <v>47.013967000000001</v>
      </c>
      <c r="E22">
        <v>-60.488549999999996</v>
      </c>
      <c r="F22" t="s">
        <v>479</v>
      </c>
      <c r="G22" t="s">
        <v>480</v>
      </c>
      <c r="H22" t="s">
        <v>896</v>
      </c>
    </row>
    <row r="23" spans="1:9" x14ac:dyDescent="0.25">
      <c r="A23" s="18" t="s">
        <v>113</v>
      </c>
      <c r="B23" t="s">
        <v>59</v>
      </c>
      <c r="C23" t="s">
        <v>411</v>
      </c>
      <c r="D23">
        <v>44.876849999999997</v>
      </c>
      <c r="E23">
        <v>-62.399850000000001</v>
      </c>
      <c r="F23" t="s">
        <v>481</v>
      </c>
      <c r="G23" t="s">
        <v>482</v>
      </c>
      <c r="H23" t="s">
        <v>894</v>
      </c>
    </row>
    <row r="24" spans="1:9" x14ac:dyDescent="0.25">
      <c r="A24" s="18" t="s">
        <v>318</v>
      </c>
      <c r="B24" t="s">
        <v>301</v>
      </c>
      <c r="C24" t="s">
        <v>412</v>
      </c>
      <c r="D24">
        <v>45.903139000000003</v>
      </c>
      <c r="E24">
        <v>-60.72325</v>
      </c>
      <c r="I24" t="s">
        <v>483</v>
      </c>
    </row>
    <row r="25" spans="1:9" x14ac:dyDescent="0.25">
      <c r="A25" s="18" t="s">
        <v>323</v>
      </c>
      <c r="B25" t="s">
        <v>306</v>
      </c>
      <c r="C25" t="s">
        <v>413</v>
      </c>
      <c r="D25">
        <v>45.900416999999997</v>
      </c>
      <c r="E25">
        <v>-61.081139</v>
      </c>
      <c r="I25" t="s">
        <v>483</v>
      </c>
    </row>
    <row r="26" spans="1:9" x14ac:dyDescent="0.25">
      <c r="A26" s="18" t="s">
        <v>338</v>
      </c>
      <c r="B26" t="s">
        <v>337</v>
      </c>
      <c r="C26" t="s">
        <v>414</v>
      </c>
      <c r="D26">
        <v>45.673656000000001</v>
      </c>
      <c r="E26">
        <v>-62.637242000000001</v>
      </c>
      <c r="F26" t="s">
        <v>484</v>
      </c>
      <c r="G26" t="s">
        <v>485</v>
      </c>
      <c r="H26" t="s">
        <v>894</v>
      </c>
      <c r="I26" t="s">
        <v>486</v>
      </c>
    </row>
    <row r="27" spans="1:9" x14ac:dyDescent="0.25">
      <c r="A27" s="18" t="s">
        <v>487</v>
      </c>
      <c r="B27" t="s">
        <v>57</v>
      </c>
      <c r="C27" t="s">
        <v>410</v>
      </c>
      <c r="D27">
        <v>45.965449999999997</v>
      </c>
      <c r="E27">
        <v>-60.79936</v>
      </c>
      <c r="F27" t="s">
        <v>488</v>
      </c>
      <c r="G27" t="s">
        <v>489</v>
      </c>
      <c r="H27" t="s">
        <v>894</v>
      </c>
    </row>
    <row r="28" spans="1:9" x14ac:dyDescent="0.25">
      <c r="A28" s="18" t="s">
        <v>490</v>
      </c>
      <c r="B28" t="s">
        <v>57</v>
      </c>
      <c r="C28" t="s">
        <v>410</v>
      </c>
      <c r="D28">
        <v>45.946980000000003</v>
      </c>
      <c r="E28">
        <v>-60.809190000000001</v>
      </c>
      <c r="F28" t="s">
        <v>491</v>
      </c>
      <c r="G28" t="s">
        <v>492</v>
      </c>
      <c r="H28" t="s">
        <v>894</v>
      </c>
    </row>
    <row r="29" spans="1:9" x14ac:dyDescent="0.25">
      <c r="A29" s="18" t="s">
        <v>898</v>
      </c>
      <c r="B29" t="s">
        <v>527</v>
      </c>
      <c r="C29" t="s">
        <v>413</v>
      </c>
      <c r="F29" t="s">
        <v>906</v>
      </c>
      <c r="G29" t="s">
        <v>907</v>
      </c>
      <c r="H29" t="s">
        <v>895</v>
      </c>
    </row>
    <row r="30" spans="1:9" x14ac:dyDescent="0.25">
      <c r="A30" s="18" t="s">
        <v>133</v>
      </c>
      <c r="B30" t="s">
        <v>57</v>
      </c>
      <c r="C30" t="s">
        <v>413</v>
      </c>
      <c r="D30">
        <v>45.90399</v>
      </c>
      <c r="E30">
        <v>-60.994860000000003</v>
      </c>
      <c r="F30" t="s">
        <v>493</v>
      </c>
      <c r="G30" t="s">
        <v>494</v>
      </c>
      <c r="H30" t="s">
        <v>894</v>
      </c>
    </row>
    <row r="31" spans="1:9" x14ac:dyDescent="0.25">
      <c r="A31" s="18" t="s">
        <v>134</v>
      </c>
      <c r="B31" t="s">
        <v>57</v>
      </c>
      <c r="C31" t="s">
        <v>413</v>
      </c>
      <c r="D31">
        <v>45.901029999999999</v>
      </c>
      <c r="E31">
        <v>-61.028660000000002</v>
      </c>
      <c r="F31" t="s">
        <v>495</v>
      </c>
      <c r="G31" t="s">
        <v>496</v>
      </c>
      <c r="H31" t="s">
        <v>894</v>
      </c>
    </row>
    <row r="32" spans="1:9" x14ac:dyDescent="0.25">
      <c r="A32" s="18" t="s">
        <v>908</v>
      </c>
      <c r="B32" t="s">
        <v>300</v>
      </c>
      <c r="C32" t="s">
        <v>412</v>
      </c>
      <c r="D32">
        <v>45.973419999999997</v>
      </c>
      <c r="E32">
        <v>-60.470199999999998</v>
      </c>
      <c r="F32" t="s">
        <v>497</v>
      </c>
      <c r="G32" t="s">
        <v>498</v>
      </c>
      <c r="H32" t="s">
        <v>895</v>
      </c>
    </row>
    <row r="33" spans="1:8" x14ac:dyDescent="0.25">
      <c r="A33" s="18" t="s">
        <v>913</v>
      </c>
      <c r="B33" t="s">
        <v>914</v>
      </c>
      <c r="C33" t="s">
        <v>409</v>
      </c>
      <c r="F33" t="s">
        <v>915</v>
      </c>
      <c r="G33" t="s">
        <v>916</v>
      </c>
      <c r="H33" t="s">
        <v>895</v>
      </c>
    </row>
    <row r="34" spans="1:8" x14ac:dyDescent="0.25">
      <c r="A34" s="18" t="s">
        <v>144</v>
      </c>
      <c r="B34" t="s">
        <v>57</v>
      </c>
      <c r="C34" t="s">
        <v>410</v>
      </c>
      <c r="D34">
        <v>46.251370000000001</v>
      </c>
      <c r="E34">
        <v>-60.46452</v>
      </c>
      <c r="F34" t="s">
        <v>499</v>
      </c>
      <c r="G34" t="s">
        <v>500</v>
      </c>
      <c r="H34" t="s">
        <v>894</v>
      </c>
    </row>
    <row r="35" spans="1:8" x14ac:dyDescent="0.25">
      <c r="A35" s="18" t="s">
        <v>145</v>
      </c>
      <c r="B35" t="s">
        <v>57</v>
      </c>
      <c r="C35" t="s">
        <v>410</v>
      </c>
      <c r="D35">
        <v>46.255479999999999</v>
      </c>
      <c r="E35">
        <v>-60.47119</v>
      </c>
      <c r="F35" t="s">
        <v>501</v>
      </c>
      <c r="G35" t="s">
        <v>502</v>
      </c>
      <c r="H35" t="s">
        <v>894</v>
      </c>
    </row>
    <row r="36" spans="1:8" x14ac:dyDescent="0.25">
      <c r="A36" s="18" t="s">
        <v>146</v>
      </c>
      <c r="B36" t="s">
        <v>57</v>
      </c>
      <c r="C36" t="s">
        <v>410</v>
      </c>
      <c r="D36">
        <v>46.118409999999997</v>
      </c>
      <c r="E36">
        <v>-60.62659</v>
      </c>
      <c r="F36" t="s">
        <v>503</v>
      </c>
      <c r="G36" t="s">
        <v>504</v>
      </c>
      <c r="H36" t="s">
        <v>894</v>
      </c>
    </row>
    <row r="37" spans="1:8" x14ac:dyDescent="0.25">
      <c r="A37" s="18" t="s">
        <v>147</v>
      </c>
      <c r="B37" t="s">
        <v>57</v>
      </c>
      <c r="C37" t="s">
        <v>410</v>
      </c>
      <c r="D37">
        <v>46.12059</v>
      </c>
      <c r="E37">
        <v>-60.633960000000002</v>
      </c>
      <c r="F37" t="s">
        <v>505</v>
      </c>
      <c r="G37" t="s">
        <v>506</v>
      </c>
      <c r="H37" t="s">
        <v>894</v>
      </c>
    </row>
    <row r="38" spans="1:8" x14ac:dyDescent="0.25">
      <c r="A38" s="18" t="s">
        <v>158</v>
      </c>
      <c r="B38" t="s">
        <v>57</v>
      </c>
      <c r="C38" t="s">
        <v>412</v>
      </c>
      <c r="D38">
        <v>46.296259999999997</v>
      </c>
      <c r="E38">
        <v>-60.287689999999998</v>
      </c>
      <c r="F38" t="s">
        <v>507</v>
      </c>
      <c r="G38" t="s">
        <v>508</v>
      </c>
      <c r="H38" t="s">
        <v>894</v>
      </c>
    </row>
    <row r="39" spans="1:8" x14ac:dyDescent="0.25">
      <c r="A39" s="18" t="s">
        <v>159</v>
      </c>
      <c r="B39" t="s">
        <v>57</v>
      </c>
      <c r="C39" t="s">
        <v>410</v>
      </c>
      <c r="D39">
        <v>45.998980000000003</v>
      </c>
      <c r="E39">
        <v>-60.974339999999998</v>
      </c>
      <c r="F39" t="s">
        <v>509</v>
      </c>
      <c r="G39" t="s">
        <v>510</v>
      </c>
      <c r="H39" t="s">
        <v>894</v>
      </c>
    </row>
    <row r="40" spans="1:8" x14ac:dyDescent="0.25">
      <c r="A40" s="18" t="s">
        <v>160</v>
      </c>
      <c r="B40" t="s">
        <v>57</v>
      </c>
      <c r="C40" t="s">
        <v>410</v>
      </c>
      <c r="D40">
        <v>45.986409999999999</v>
      </c>
      <c r="E40">
        <v>-60.990279999999998</v>
      </c>
      <c r="F40" t="s">
        <v>511</v>
      </c>
      <c r="G40" t="s">
        <v>512</v>
      </c>
      <c r="H40" t="s">
        <v>894</v>
      </c>
    </row>
    <row r="41" spans="1:8" x14ac:dyDescent="0.25">
      <c r="A41" s="18" t="s">
        <v>897</v>
      </c>
      <c r="B41" t="s">
        <v>527</v>
      </c>
      <c r="C41" t="s">
        <v>413</v>
      </c>
      <c r="F41" t="s">
        <v>904</v>
      </c>
      <c r="G41" t="s">
        <v>905</v>
      </c>
      <c r="H41" t="s">
        <v>895</v>
      </c>
    </row>
    <row r="42" spans="1:8" x14ac:dyDescent="0.25">
      <c r="A42" s="18" t="s">
        <v>900</v>
      </c>
      <c r="B42" t="s">
        <v>911</v>
      </c>
      <c r="C42" t="s">
        <v>412</v>
      </c>
      <c r="F42" t="s">
        <v>909</v>
      </c>
      <c r="G42" t="s">
        <v>910</v>
      </c>
      <c r="H42" t="s">
        <v>895</v>
      </c>
    </row>
    <row r="43" spans="1:8" x14ac:dyDescent="0.25">
      <c r="A43" s="18" t="s">
        <v>190</v>
      </c>
      <c r="B43" t="s">
        <v>57</v>
      </c>
      <c r="C43" t="s">
        <v>410</v>
      </c>
      <c r="D43">
        <v>46.065240000000003</v>
      </c>
      <c r="E43">
        <v>-60.894829999999999</v>
      </c>
      <c r="F43" t="s">
        <v>513</v>
      </c>
      <c r="G43" t="s">
        <v>514</v>
      </c>
      <c r="H43" t="s">
        <v>894</v>
      </c>
    </row>
    <row r="44" spans="1:8" x14ac:dyDescent="0.25">
      <c r="A44" s="18" t="s">
        <v>191</v>
      </c>
      <c r="B44" t="s">
        <v>57</v>
      </c>
      <c r="C44" t="s">
        <v>410</v>
      </c>
      <c r="D44">
        <v>46.064779999999999</v>
      </c>
      <c r="E44">
        <v>-60.902360000000002</v>
      </c>
      <c r="F44" t="s">
        <v>515</v>
      </c>
      <c r="G44" t="s">
        <v>516</v>
      </c>
      <c r="H44" t="s">
        <v>894</v>
      </c>
    </row>
    <row r="45" spans="1:8" x14ac:dyDescent="0.25">
      <c r="A45" s="18" t="s">
        <v>899</v>
      </c>
      <c r="B45" t="s">
        <v>912</v>
      </c>
      <c r="C45" t="s">
        <v>410</v>
      </c>
      <c r="F45" t="s">
        <v>901</v>
      </c>
      <c r="G45" t="s">
        <v>902</v>
      </c>
      <c r="H45" t="s">
        <v>895</v>
      </c>
    </row>
    <row r="46" spans="1:8" x14ac:dyDescent="0.25">
      <c r="A46" s="18" t="s">
        <v>215</v>
      </c>
      <c r="B46" t="s">
        <v>57</v>
      </c>
      <c r="C46" t="s">
        <v>412</v>
      </c>
      <c r="D46">
        <v>46.243290000000002</v>
      </c>
      <c r="E46">
        <v>-60.303109999999997</v>
      </c>
      <c r="F46" t="s">
        <v>517</v>
      </c>
      <c r="G46" t="s">
        <v>518</v>
      </c>
      <c r="H46" t="s">
        <v>894</v>
      </c>
    </row>
    <row r="47" spans="1:8" x14ac:dyDescent="0.25">
      <c r="A47" s="18" t="s">
        <v>216</v>
      </c>
      <c r="B47" t="s">
        <v>57</v>
      </c>
      <c r="C47" t="s">
        <v>408</v>
      </c>
      <c r="D47">
        <v>45.659550000000003</v>
      </c>
      <c r="E47">
        <v>-60.864510000000003</v>
      </c>
      <c r="F47" t="s">
        <v>519</v>
      </c>
      <c r="G47" t="s">
        <v>520</v>
      </c>
      <c r="H47" t="s">
        <v>894</v>
      </c>
    </row>
    <row r="48" spans="1:8" x14ac:dyDescent="0.25">
      <c r="A48" s="18" t="s">
        <v>217</v>
      </c>
      <c r="B48" t="s">
        <v>57</v>
      </c>
      <c r="C48" t="s">
        <v>408</v>
      </c>
      <c r="D48">
        <v>45.650790000000001</v>
      </c>
      <c r="E48">
        <v>-60.874079999999999</v>
      </c>
      <c r="F48" t="s">
        <v>521</v>
      </c>
      <c r="G48" t="s">
        <v>522</v>
      </c>
      <c r="H48" t="s">
        <v>894</v>
      </c>
    </row>
    <row r="49" spans="1:9" x14ac:dyDescent="0.25">
      <c r="A49" s="18" t="s">
        <v>527</v>
      </c>
      <c r="B49" t="s">
        <v>903</v>
      </c>
      <c r="C49" t="s">
        <v>408</v>
      </c>
      <c r="D49">
        <v>45.710729999999998</v>
      </c>
      <c r="E49">
        <v>-61.139620000000001</v>
      </c>
      <c r="F49" t="s">
        <v>528</v>
      </c>
      <c r="G49" t="s">
        <v>529</v>
      </c>
      <c r="H49" t="s">
        <v>895</v>
      </c>
    </row>
    <row r="50" spans="1:9" x14ac:dyDescent="0.25">
      <c r="A50" s="18" t="s">
        <v>329</v>
      </c>
      <c r="B50" t="s">
        <v>310</v>
      </c>
      <c r="C50" t="s">
        <v>410</v>
      </c>
      <c r="D50">
        <v>46.025167000000003</v>
      </c>
      <c r="E50">
        <v>-60.863</v>
      </c>
      <c r="I50" t="s">
        <v>483</v>
      </c>
    </row>
    <row r="51" spans="1:9" x14ac:dyDescent="0.25">
      <c r="A51" s="18" t="s">
        <v>237</v>
      </c>
      <c r="B51" t="s">
        <v>102</v>
      </c>
      <c r="C51" t="s">
        <v>416</v>
      </c>
      <c r="D51">
        <v>43.831530000000001</v>
      </c>
      <c r="E51">
        <v>-66.173209999999997</v>
      </c>
      <c r="F51" t="s">
        <v>530</v>
      </c>
      <c r="G51" t="s">
        <v>531</v>
      </c>
      <c r="H51" t="s">
        <v>895</v>
      </c>
    </row>
    <row r="52" spans="1:9" x14ac:dyDescent="0.25">
      <c r="A52" s="18" t="s">
        <v>232</v>
      </c>
      <c r="B52" t="s">
        <v>100</v>
      </c>
      <c r="C52" t="s">
        <v>414</v>
      </c>
      <c r="D52">
        <v>45.756250000000001</v>
      </c>
      <c r="E52">
        <v>-62.770310000000002</v>
      </c>
      <c r="F52" t="s">
        <v>532</v>
      </c>
      <c r="G52" t="s">
        <v>533</v>
      </c>
      <c r="H52" t="s">
        <v>894</v>
      </c>
    </row>
    <row r="53" spans="1:9" x14ac:dyDescent="0.25">
      <c r="A53" s="18" t="s">
        <v>74</v>
      </c>
      <c r="B53" t="s">
        <v>74</v>
      </c>
      <c r="C53" t="s">
        <v>414</v>
      </c>
      <c r="D53">
        <v>45.669069999999998</v>
      </c>
      <c r="E53">
        <v>-62.571899999999999</v>
      </c>
      <c r="F53" t="s">
        <v>534</v>
      </c>
      <c r="G53" t="s">
        <v>535</v>
      </c>
      <c r="H53" t="s">
        <v>894</v>
      </c>
    </row>
    <row r="54" spans="1:9" x14ac:dyDescent="0.25">
      <c r="A54" s="18" t="s">
        <v>151</v>
      </c>
      <c r="B54" t="s">
        <v>74</v>
      </c>
      <c r="C54" t="s">
        <v>414</v>
      </c>
      <c r="D54">
        <v>45.669119999999999</v>
      </c>
      <c r="E54">
        <v>-62.572499999999998</v>
      </c>
      <c r="F54" t="s">
        <v>536</v>
      </c>
      <c r="G54" t="s">
        <v>537</v>
      </c>
      <c r="H54" t="s">
        <v>894</v>
      </c>
    </row>
    <row r="55" spans="1:9" x14ac:dyDescent="0.25">
      <c r="A55" s="18" t="s">
        <v>114</v>
      </c>
      <c r="B55" t="s">
        <v>60</v>
      </c>
      <c r="C55" t="s">
        <v>416</v>
      </c>
      <c r="D55">
        <v>43.770389999999999</v>
      </c>
      <c r="E55">
        <v>-66.135180000000005</v>
      </c>
      <c r="F55" t="s">
        <v>538</v>
      </c>
      <c r="G55" t="s">
        <v>539</v>
      </c>
      <c r="H55" t="s">
        <v>895</v>
      </c>
    </row>
    <row r="56" spans="1:9" x14ac:dyDescent="0.25">
      <c r="A56" s="18" t="s">
        <v>135</v>
      </c>
      <c r="B56" t="s">
        <v>69</v>
      </c>
      <c r="C56" t="s">
        <v>417</v>
      </c>
      <c r="D56">
        <v>45.359050000000003</v>
      </c>
      <c r="E56">
        <v>-61.41966</v>
      </c>
      <c r="F56" t="s">
        <v>540</v>
      </c>
      <c r="G56" t="s">
        <v>541</v>
      </c>
      <c r="H56" t="s">
        <v>894</v>
      </c>
    </row>
    <row r="57" spans="1:9" x14ac:dyDescent="0.25">
      <c r="A57" s="18" t="s">
        <v>136</v>
      </c>
      <c r="B57" t="s">
        <v>69</v>
      </c>
      <c r="C57" t="s">
        <v>417</v>
      </c>
      <c r="D57">
        <v>45.360849999999999</v>
      </c>
      <c r="E57">
        <v>-61.407029999999999</v>
      </c>
      <c r="F57" t="s">
        <v>542</v>
      </c>
      <c r="G57" t="s">
        <v>543</v>
      </c>
      <c r="H57" t="s">
        <v>895</v>
      </c>
      <c r="I57" t="s">
        <v>544</v>
      </c>
    </row>
    <row r="58" spans="1:9" x14ac:dyDescent="0.25">
      <c r="A58" s="18" t="s">
        <v>183</v>
      </c>
      <c r="B58" t="s">
        <v>69</v>
      </c>
      <c r="C58" t="s">
        <v>417</v>
      </c>
      <c r="D58">
        <v>45.399799999999999</v>
      </c>
      <c r="E58">
        <v>-61.420720000000003</v>
      </c>
      <c r="F58" t="s">
        <v>545</v>
      </c>
      <c r="G58" t="s">
        <v>546</v>
      </c>
      <c r="H58" t="s">
        <v>894</v>
      </c>
    </row>
    <row r="59" spans="1:9" x14ac:dyDescent="0.25">
      <c r="A59" s="18" t="s">
        <v>184</v>
      </c>
      <c r="B59" t="s">
        <v>69</v>
      </c>
      <c r="C59" t="s">
        <v>417</v>
      </c>
      <c r="D59">
        <v>45.395000000000003</v>
      </c>
      <c r="E59">
        <v>-61.409509999999997</v>
      </c>
      <c r="F59" t="s">
        <v>547</v>
      </c>
      <c r="G59" t="s">
        <v>548</v>
      </c>
      <c r="H59" t="s">
        <v>895</v>
      </c>
      <c r="I59" t="s">
        <v>549</v>
      </c>
    </row>
    <row r="60" spans="1:9" x14ac:dyDescent="0.25">
      <c r="A60" s="18" t="s">
        <v>200</v>
      </c>
      <c r="B60" t="s">
        <v>69</v>
      </c>
      <c r="C60" t="s">
        <v>417</v>
      </c>
      <c r="D60">
        <v>45.350879999999997</v>
      </c>
      <c r="E60">
        <v>-61.26811</v>
      </c>
      <c r="F60" t="s">
        <v>550</v>
      </c>
      <c r="G60" t="s">
        <v>551</v>
      </c>
      <c r="H60" t="s">
        <v>894</v>
      </c>
    </row>
    <row r="61" spans="1:9" x14ac:dyDescent="0.25">
      <c r="A61" s="18" t="s">
        <v>201</v>
      </c>
      <c r="B61" t="s">
        <v>69</v>
      </c>
      <c r="C61" t="s">
        <v>417</v>
      </c>
      <c r="D61">
        <v>45.352319999999999</v>
      </c>
      <c r="E61">
        <v>-61.28687</v>
      </c>
      <c r="F61" t="s">
        <v>552</v>
      </c>
      <c r="G61" t="s">
        <v>553</v>
      </c>
      <c r="H61" t="s">
        <v>895</v>
      </c>
      <c r="I61" t="s">
        <v>554</v>
      </c>
    </row>
    <row r="62" spans="1:9" x14ac:dyDescent="0.25">
      <c r="A62" s="18" t="s">
        <v>224</v>
      </c>
      <c r="B62" t="s">
        <v>69</v>
      </c>
      <c r="C62" t="s">
        <v>417</v>
      </c>
      <c r="D62">
        <v>45.354930000000003</v>
      </c>
      <c r="E62">
        <v>-61.037930000000003</v>
      </c>
      <c r="F62" t="s">
        <v>555</v>
      </c>
      <c r="G62" t="s">
        <v>556</v>
      </c>
      <c r="H62" t="s">
        <v>894</v>
      </c>
    </row>
    <row r="63" spans="1:9" x14ac:dyDescent="0.25">
      <c r="A63" s="18" t="s">
        <v>225</v>
      </c>
      <c r="B63" t="s">
        <v>69</v>
      </c>
      <c r="C63" t="s">
        <v>417</v>
      </c>
      <c r="D63">
        <v>45.361800000000002</v>
      </c>
      <c r="E63">
        <v>-61.043999999999997</v>
      </c>
      <c r="F63" t="s">
        <v>557</v>
      </c>
      <c r="G63" t="s">
        <v>558</v>
      </c>
      <c r="H63" t="s">
        <v>895</v>
      </c>
      <c r="I63" t="s">
        <v>559</v>
      </c>
    </row>
    <row r="64" spans="1:9" x14ac:dyDescent="0.25">
      <c r="A64" s="18">
        <v>1</v>
      </c>
      <c r="B64" t="s">
        <v>43</v>
      </c>
      <c r="C64" t="s">
        <v>417</v>
      </c>
      <c r="D64">
        <v>45.185609999999997</v>
      </c>
      <c r="E64">
        <v>-61.716760000000001</v>
      </c>
      <c r="F64" t="s">
        <v>560</v>
      </c>
      <c r="G64" t="s">
        <v>561</v>
      </c>
      <c r="H64" t="s">
        <v>894</v>
      </c>
    </row>
    <row r="65" spans="1:9" x14ac:dyDescent="0.25">
      <c r="A65" s="18">
        <v>622</v>
      </c>
      <c r="B65" t="s">
        <v>43</v>
      </c>
      <c r="C65" t="s">
        <v>417</v>
      </c>
      <c r="D65">
        <v>45.231940000000002</v>
      </c>
      <c r="E65">
        <v>-61.76</v>
      </c>
      <c r="F65" t="s">
        <v>562</v>
      </c>
      <c r="G65" t="s">
        <v>563</v>
      </c>
      <c r="H65" t="s">
        <v>894</v>
      </c>
    </row>
    <row r="66" spans="1:9" x14ac:dyDescent="0.25">
      <c r="A66" s="18">
        <v>1307</v>
      </c>
      <c r="B66" t="s">
        <v>43</v>
      </c>
      <c r="C66" t="s">
        <v>417</v>
      </c>
      <c r="D66">
        <v>45.160069999999997</v>
      </c>
      <c r="E66">
        <v>-61.680059999999997</v>
      </c>
      <c r="F66" t="s">
        <v>564</v>
      </c>
      <c r="G66" t="s">
        <v>565</v>
      </c>
      <c r="H66" t="s">
        <v>894</v>
      </c>
    </row>
    <row r="67" spans="1:9" x14ac:dyDescent="0.25">
      <c r="A67" s="18" t="s">
        <v>234</v>
      </c>
      <c r="B67" t="s">
        <v>43</v>
      </c>
      <c r="C67" t="s">
        <v>417</v>
      </c>
      <c r="D67">
        <v>45.173900000000003</v>
      </c>
      <c r="E67">
        <v>-61.707540000000002</v>
      </c>
      <c r="F67" t="s">
        <v>566</v>
      </c>
      <c r="G67" t="s">
        <v>567</v>
      </c>
      <c r="H67" t="s">
        <v>894</v>
      </c>
    </row>
    <row r="68" spans="1:9" x14ac:dyDescent="0.25">
      <c r="A68" s="18">
        <v>193</v>
      </c>
      <c r="B68" t="s">
        <v>45</v>
      </c>
      <c r="C68" t="s">
        <v>413</v>
      </c>
      <c r="D68">
        <v>46.007179999999998</v>
      </c>
      <c r="E68">
        <v>-60.98854</v>
      </c>
      <c r="F68" t="s">
        <v>568</v>
      </c>
      <c r="G68" t="s">
        <v>569</v>
      </c>
      <c r="H68" t="s">
        <v>894</v>
      </c>
    </row>
    <row r="69" spans="1:9" x14ac:dyDescent="0.25">
      <c r="A69" s="18" t="s">
        <v>324</v>
      </c>
      <c r="B69" t="s">
        <v>45</v>
      </c>
      <c r="C69" t="s">
        <v>413</v>
      </c>
      <c r="D69">
        <v>46.008028000000003</v>
      </c>
      <c r="E69">
        <v>-60.989249999999998</v>
      </c>
      <c r="I69" t="s">
        <v>483</v>
      </c>
    </row>
    <row r="70" spans="1:9" x14ac:dyDescent="0.25">
      <c r="A70" s="18" t="s">
        <v>171</v>
      </c>
      <c r="B70" t="s">
        <v>82</v>
      </c>
      <c r="C70" t="s">
        <v>417</v>
      </c>
      <c r="D70">
        <v>45.267670000000003</v>
      </c>
      <c r="E70">
        <v>-60.979390000000002</v>
      </c>
      <c r="F70" t="s">
        <v>570</v>
      </c>
      <c r="G70" t="s">
        <v>571</v>
      </c>
      <c r="H70" t="s">
        <v>894</v>
      </c>
    </row>
    <row r="71" spans="1:9" x14ac:dyDescent="0.25">
      <c r="A71" s="18" t="s">
        <v>172</v>
      </c>
      <c r="B71" t="s">
        <v>82</v>
      </c>
      <c r="C71" t="s">
        <v>417</v>
      </c>
      <c r="D71">
        <v>45.265799999999999</v>
      </c>
      <c r="E71">
        <v>-60.960850000000001</v>
      </c>
      <c r="F71" t="s">
        <v>572</v>
      </c>
      <c r="G71" t="s">
        <v>573</v>
      </c>
      <c r="H71" t="s">
        <v>895</v>
      </c>
      <c r="I71" t="s">
        <v>574</v>
      </c>
    </row>
    <row r="72" spans="1:9" x14ac:dyDescent="0.25">
      <c r="A72" s="18" t="s">
        <v>207</v>
      </c>
      <c r="B72" t="s">
        <v>82</v>
      </c>
      <c r="C72" t="s">
        <v>417</v>
      </c>
      <c r="D72">
        <v>45.258589999999998</v>
      </c>
      <c r="E72">
        <v>-60.999470000000002</v>
      </c>
      <c r="F72" t="s">
        <v>575</v>
      </c>
      <c r="G72" t="s">
        <v>576</v>
      </c>
      <c r="H72" t="s">
        <v>894</v>
      </c>
    </row>
    <row r="73" spans="1:9" x14ac:dyDescent="0.25">
      <c r="A73" s="18" t="s">
        <v>208</v>
      </c>
      <c r="B73" t="s">
        <v>82</v>
      </c>
      <c r="C73" t="s">
        <v>417</v>
      </c>
      <c r="D73">
        <v>45.252470000000002</v>
      </c>
      <c r="E73">
        <v>-61.017870000000002</v>
      </c>
      <c r="F73" t="s">
        <v>577</v>
      </c>
      <c r="G73" t="s">
        <v>578</v>
      </c>
      <c r="H73" t="s">
        <v>895</v>
      </c>
      <c r="I73" t="s">
        <v>579</v>
      </c>
    </row>
    <row r="74" spans="1:9" x14ac:dyDescent="0.25">
      <c r="A74" s="18" t="s">
        <v>317</v>
      </c>
      <c r="B74" t="s">
        <v>300</v>
      </c>
      <c r="C74" t="s">
        <v>412</v>
      </c>
      <c r="D74">
        <v>46.015694000000003</v>
      </c>
      <c r="E74">
        <v>-60.393000000000001</v>
      </c>
      <c r="I74" t="s">
        <v>483</v>
      </c>
    </row>
    <row r="75" spans="1:9" x14ac:dyDescent="0.25">
      <c r="A75" s="18" t="s">
        <v>267</v>
      </c>
      <c r="B75" t="s">
        <v>86</v>
      </c>
      <c r="C75" t="s">
        <v>417</v>
      </c>
      <c r="D75">
        <v>45.083765999999997</v>
      </c>
      <c r="E75">
        <v>-61.646531000000003</v>
      </c>
      <c r="F75" t="s">
        <v>580</v>
      </c>
      <c r="G75" t="s">
        <v>581</v>
      </c>
      <c r="H75" t="s">
        <v>894</v>
      </c>
    </row>
    <row r="76" spans="1:9" x14ac:dyDescent="0.25">
      <c r="A76" s="18" t="s">
        <v>178</v>
      </c>
      <c r="B76" t="s">
        <v>86</v>
      </c>
      <c r="C76" t="s">
        <v>417</v>
      </c>
      <c r="D76">
        <v>45.101990000000001</v>
      </c>
      <c r="E76">
        <v>-61.629950000000001</v>
      </c>
      <c r="F76" t="s">
        <v>582</v>
      </c>
      <c r="G76" t="s">
        <v>583</v>
      </c>
      <c r="H76" t="s">
        <v>895</v>
      </c>
    </row>
    <row r="77" spans="1:9" x14ac:dyDescent="0.25">
      <c r="A77" s="18" t="s">
        <v>584</v>
      </c>
      <c r="B77" t="s">
        <v>418</v>
      </c>
      <c r="C77" t="s">
        <v>412</v>
      </c>
      <c r="D77">
        <v>45.731496</v>
      </c>
      <c r="E77">
        <v>-60.209156</v>
      </c>
      <c r="F77" t="s">
        <v>585</v>
      </c>
      <c r="G77" t="s">
        <v>586</v>
      </c>
      <c r="H77" t="s">
        <v>896</v>
      </c>
      <c r="I77" t="s">
        <v>433</v>
      </c>
    </row>
    <row r="78" spans="1:9" x14ac:dyDescent="0.25">
      <c r="A78" s="18" t="s">
        <v>199</v>
      </c>
      <c r="B78" t="s">
        <v>91</v>
      </c>
      <c r="C78" t="s">
        <v>414</v>
      </c>
      <c r="D78">
        <v>45.66</v>
      </c>
      <c r="E78">
        <v>-62.411670000000001</v>
      </c>
      <c r="F78" t="s">
        <v>587</v>
      </c>
      <c r="G78" t="s">
        <v>588</v>
      </c>
      <c r="H78" t="s">
        <v>894</v>
      </c>
    </row>
    <row r="79" spans="1:9" x14ac:dyDescent="0.25">
      <c r="A79" s="18" t="s">
        <v>105</v>
      </c>
      <c r="B79" t="s">
        <v>54</v>
      </c>
      <c r="C79" t="s">
        <v>406</v>
      </c>
      <c r="D79">
        <v>45.677680000000002</v>
      </c>
      <c r="E79">
        <v>-61.912480000000002</v>
      </c>
      <c r="F79" t="s">
        <v>589</v>
      </c>
      <c r="G79" t="s">
        <v>590</v>
      </c>
      <c r="H79" t="s">
        <v>894</v>
      </c>
    </row>
    <row r="80" spans="1:9" x14ac:dyDescent="0.25">
      <c r="A80" s="18" t="s">
        <v>106</v>
      </c>
      <c r="B80" t="s">
        <v>54</v>
      </c>
      <c r="C80" t="s">
        <v>406</v>
      </c>
      <c r="D80">
        <v>45.677619999999997</v>
      </c>
      <c r="E80">
        <v>-61.912649999999999</v>
      </c>
      <c r="F80" t="s">
        <v>591</v>
      </c>
      <c r="G80" t="s">
        <v>592</v>
      </c>
      <c r="H80" t="s">
        <v>894</v>
      </c>
    </row>
    <row r="81" spans="1:9" x14ac:dyDescent="0.25">
      <c r="A81" s="18" t="s">
        <v>107</v>
      </c>
      <c r="B81" t="s">
        <v>54</v>
      </c>
      <c r="C81" t="s">
        <v>406</v>
      </c>
      <c r="D81">
        <v>45.67756</v>
      </c>
      <c r="E81">
        <v>-61.912820000000004</v>
      </c>
      <c r="F81" t="s">
        <v>593</v>
      </c>
      <c r="G81" t="s">
        <v>594</v>
      </c>
      <c r="H81" t="s">
        <v>894</v>
      </c>
    </row>
    <row r="82" spans="1:9" x14ac:dyDescent="0.25">
      <c r="A82" s="18" t="s">
        <v>124</v>
      </c>
      <c r="B82" t="s">
        <v>54</v>
      </c>
      <c r="C82" t="s">
        <v>406</v>
      </c>
      <c r="D82">
        <v>45.674799999999998</v>
      </c>
      <c r="E82">
        <v>-61.907859999999999</v>
      </c>
      <c r="F82" t="s">
        <v>595</v>
      </c>
      <c r="G82" t="s">
        <v>596</v>
      </c>
      <c r="H82" t="s">
        <v>895</v>
      </c>
    </row>
    <row r="83" spans="1:9" x14ac:dyDescent="0.25">
      <c r="A83" s="18" t="s">
        <v>112</v>
      </c>
      <c r="B83" t="s">
        <v>58</v>
      </c>
      <c r="C83" t="s">
        <v>419</v>
      </c>
      <c r="D83">
        <v>44.010190000000001</v>
      </c>
      <c r="E83">
        <v>-66.186179999999993</v>
      </c>
      <c r="F83" t="s">
        <v>597</v>
      </c>
      <c r="G83" t="s">
        <v>598</v>
      </c>
      <c r="H83" t="s">
        <v>895</v>
      </c>
    </row>
    <row r="84" spans="1:9" x14ac:dyDescent="0.25">
      <c r="A84" s="18" t="s">
        <v>117</v>
      </c>
      <c r="B84" t="s">
        <v>63</v>
      </c>
      <c r="C84" t="s">
        <v>420</v>
      </c>
      <c r="D84">
        <v>43.686279999999996</v>
      </c>
      <c r="E84">
        <v>-65.167810000000003</v>
      </c>
      <c r="F84" t="s">
        <v>599</v>
      </c>
      <c r="G84" t="s">
        <v>600</v>
      </c>
      <c r="H84" t="s">
        <v>895</v>
      </c>
    </row>
    <row r="85" spans="1:9" x14ac:dyDescent="0.25">
      <c r="A85" s="18" t="s">
        <v>298</v>
      </c>
      <c r="B85" t="s">
        <v>299</v>
      </c>
      <c r="C85" t="s">
        <v>411</v>
      </c>
      <c r="D85">
        <v>44.623361000000003</v>
      </c>
      <c r="E85">
        <v>-63.521050000000002</v>
      </c>
      <c r="F85" t="s">
        <v>601</v>
      </c>
      <c r="G85" t="s">
        <v>602</v>
      </c>
      <c r="H85" t="s">
        <v>894</v>
      </c>
    </row>
    <row r="86" spans="1:9" x14ac:dyDescent="0.25">
      <c r="A86" s="18" t="s">
        <v>149</v>
      </c>
      <c r="B86" t="s">
        <v>72</v>
      </c>
      <c r="C86" t="s">
        <v>406</v>
      </c>
      <c r="D86">
        <v>45.690309999999997</v>
      </c>
      <c r="E86">
        <v>-61.517310000000002</v>
      </c>
      <c r="F86" t="s">
        <v>603</v>
      </c>
      <c r="G86" t="s">
        <v>604</v>
      </c>
      <c r="H86" t="s">
        <v>894</v>
      </c>
    </row>
    <row r="87" spans="1:9" x14ac:dyDescent="0.25">
      <c r="A87" s="18" t="s">
        <v>110</v>
      </c>
      <c r="B87" t="s">
        <v>56</v>
      </c>
      <c r="C87" t="s">
        <v>417</v>
      </c>
      <c r="D87">
        <v>45.084809999999997</v>
      </c>
      <c r="E87">
        <v>-61.823639999999997</v>
      </c>
      <c r="F87" t="s">
        <v>605</v>
      </c>
      <c r="G87" t="s">
        <v>606</v>
      </c>
      <c r="H87" t="s">
        <v>895</v>
      </c>
    </row>
    <row r="88" spans="1:9" x14ac:dyDescent="0.25">
      <c r="A88" s="18" t="s">
        <v>209</v>
      </c>
      <c r="B88" t="s">
        <v>94</v>
      </c>
      <c r="C88" t="s">
        <v>416</v>
      </c>
      <c r="D88">
        <v>43.930929999999996</v>
      </c>
      <c r="E88">
        <v>-66.16798</v>
      </c>
      <c r="F88" t="s">
        <v>607</v>
      </c>
      <c r="G88" t="s">
        <v>608</v>
      </c>
      <c r="H88" t="s">
        <v>895</v>
      </c>
    </row>
    <row r="89" spans="1:9" x14ac:dyDescent="0.25">
      <c r="A89" s="18" t="s">
        <v>75</v>
      </c>
      <c r="B89" t="s">
        <v>75</v>
      </c>
      <c r="C89" t="s">
        <v>411</v>
      </c>
      <c r="D89">
        <v>44.634320000000002</v>
      </c>
      <c r="E89">
        <v>-63.337209999999999</v>
      </c>
      <c r="F89" t="s">
        <v>609</v>
      </c>
      <c r="G89" t="s">
        <v>610</v>
      </c>
      <c r="H89" t="s">
        <v>894</v>
      </c>
    </row>
    <row r="90" spans="1:9" x14ac:dyDescent="0.25">
      <c r="A90" s="18" t="s">
        <v>125</v>
      </c>
      <c r="B90" t="s">
        <v>67</v>
      </c>
      <c r="C90" t="s">
        <v>408</v>
      </c>
      <c r="D90">
        <v>45.611289999999997</v>
      </c>
      <c r="E90">
        <v>-60.984409999999997</v>
      </c>
      <c r="F90" t="s">
        <v>611</v>
      </c>
      <c r="G90" t="s">
        <v>612</v>
      </c>
      <c r="H90" t="s">
        <v>894</v>
      </c>
    </row>
    <row r="91" spans="1:9" x14ac:dyDescent="0.25">
      <c r="A91" s="18" t="s">
        <v>143</v>
      </c>
      <c r="B91" t="s">
        <v>67</v>
      </c>
      <c r="C91" t="s">
        <v>408</v>
      </c>
      <c r="D91">
        <v>45.602600000000002</v>
      </c>
      <c r="E91">
        <v>-60.902439999999999</v>
      </c>
      <c r="F91" t="s">
        <v>613</v>
      </c>
      <c r="G91" t="s">
        <v>614</v>
      </c>
      <c r="H91" t="s">
        <v>894</v>
      </c>
    </row>
    <row r="92" spans="1:9" x14ac:dyDescent="0.25">
      <c r="A92" s="18" t="s">
        <v>330</v>
      </c>
      <c r="B92" t="s">
        <v>311</v>
      </c>
      <c r="C92" t="s">
        <v>413</v>
      </c>
      <c r="D92">
        <v>45.904888999999997</v>
      </c>
      <c r="E92">
        <v>-61.018250000000002</v>
      </c>
      <c r="I92" t="s">
        <v>483</v>
      </c>
    </row>
    <row r="93" spans="1:9" x14ac:dyDescent="0.25">
      <c r="A93" s="18" t="s">
        <v>78</v>
      </c>
      <c r="B93" t="s">
        <v>78</v>
      </c>
      <c r="C93" t="s">
        <v>420</v>
      </c>
      <c r="D93">
        <v>43.715719999999997</v>
      </c>
      <c r="E93">
        <v>-65.008399999999995</v>
      </c>
      <c r="F93" t="s">
        <v>615</v>
      </c>
      <c r="G93" t="s">
        <v>616</v>
      </c>
      <c r="H93" t="s">
        <v>894</v>
      </c>
    </row>
    <row r="94" spans="1:9" x14ac:dyDescent="0.25">
      <c r="A94" s="18" t="s">
        <v>179</v>
      </c>
      <c r="B94" t="s">
        <v>78</v>
      </c>
      <c r="C94" t="s">
        <v>414</v>
      </c>
      <c r="D94">
        <v>45.650100000000002</v>
      </c>
      <c r="E94">
        <v>-62.525089999999999</v>
      </c>
      <c r="F94" t="s">
        <v>617</v>
      </c>
      <c r="G94" t="s">
        <v>618</v>
      </c>
      <c r="H94" t="s">
        <v>894</v>
      </c>
      <c r="I94" t="s">
        <v>619</v>
      </c>
    </row>
    <row r="95" spans="1:9" x14ac:dyDescent="0.25">
      <c r="A95" s="18" t="s">
        <v>198</v>
      </c>
      <c r="B95" t="s">
        <v>78</v>
      </c>
      <c r="C95" t="s">
        <v>408</v>
      </c>
      <c r="D95">
        <v>45.560859999999998</v>
      </c>
      <c r="E95">
        <v>-60.76126</v>
      </c>
      <c r="F95" t="s">
        <v>620</v>
      </c>
      <c r="G95" t="s">
        <v>621</v>
      </c>
      <c r="H95" t="s">
        <v>894</v>
      </c>
    </row>
    <row r="96" spans="1:9" x14ac:dyDescent="0.25">
      <c r="A96" s="18" t="s">
        <v>202</v>
      </c>
      <c r="B96" t="s">
        <v>78</v>
      </c>
      <c r="C96" t="s">
        <v>414</v>
      </c>
      <c r="D96">
        <v>45.660400000000003</v>
      </c>
      <c r="E96">
        <v>-62.51482</v>
      </c>
      <c r="F96" t="s">
        <v>622</v>
      </c>
      <c r="G96" t="s">
        <v>623</v>
      </c>
      <c r="H96" t="s">
        <v>894</v>
      </c>
    </row>
    <row r="97" spans="1:9" x14ac:dyDescent="0.25">
      <c r="A97" s="18" t="s">
        <v>203</v>
      </c>
      <c r="B97" t="s">
        <v>78</v>
      </c>
      <c r="C97" t="s">
        <v>414</v>
      </c>
      <c r="D97">
        <v>45.660429999999998</v>
      </c>
      <c r="E97">
        <v>-62.514870000000002</v>
      </c>
      <c r="F97" t="s">
        <v>624</v>
      </c>
      <c r="G97" t="s">
        <v>625</v>
      </c>
      <c r="H97" t="s">
        <v>894</v>
      </c>
    </row>
    <row r="98" spans="1:9" x14ac:dyDescent="0.25">
      <c r="A98" s="18" t="s">
        <v>204</v>
      </c>
      <c r="B98" t="s">
        <v>78</v>
      </c>
      <c r="C98" t="s">
        <v>414</v>
      </c>
      <c r="D98">
        <v>45.66046</v>
      </c>
      <c r="E98">
        <v>-62.514919999999996</v>
      </c>
      <c r="F98" t="s">
        <v>626</v>
      </c>
      <c r="G98" t="s">
        <v>627</v>
      </c>
      <c r="H98" t="s">
        <v>894</v>
      </c>
    </row>
    <row r="99" spans="1:9" x14ac:dyDescent="0.25">
      <c r="A99" s="18" t="s">
        <v>628</v>
      </c>
      <c r="B99" t="s">
        <v>79</v>
      </c>
      <c r="C99" t="s">
        <v>410</v>
      </c>
      <c r="D99">
        <v>46.002760000000002</v>
      </c>
      <c r="E99">
        <v>-60.96011</v>
      </c>
      <c r="F99" t="s">
        <v>629</v>
      </c>
      <c r="G99" t="s">
        <v>630</v>
      </c>
      <c r="H99" t="s">
        <v>894</v>
      </c>
    </row>
    <row r="100" spans="1:9" x14ac:dyDescent="0.25">
      <c r="A100" s="18" t="s">
        <v>180</v>
      </c>
      <c r="B100" t="s">
        <v>87</v>
      </c>
      <c r="C100" t="s">
        <v>415</v>
      </c>
      <c r="D100">
        <v>44.026119999999999</v>
      </c>
      <c r="E100">
        <v>-64.665760000000006</v>
      </c>
      <c r="F100" t="s">
        <v>631</v>
      </c>
      <c r="G100" t="s">
        <v>632</v>
      </c>
      <c r="H100" t="s">
        <v>895</v>
      </c>
    </row>
    <row r="101" spans="1:9" x14ac:dyDescent="0.25">
      <c r="A101" s="18" t="s">
        <v>80</v>
      </c>
      <c r="B101" t="s">
        <v>80</v>
      </c>
      <c r="C101" t="s">
        <v>416</v>
      </c>
      <c r="D101">
        <v>43.679020000000001</v>
      </c>
      <c r="E101">
        <v>-65.897800000000004</v>
      </c>
      <c r="F101" t="s">
        <v>633</v>
      </c>
      <c r="G101" t="s">
        <v>634</v>
      </c>
      <c r="H101" t="s">
        <v>895</v>
      </c>
    </row>
    <row r="102" spans="1:9" x14ac:dyDescent="0.25">
      <c r="A102" s="18" t="s">
        <v>185</v>
      </c>
      <c r="B102" t="s">
        <v>80</v>
      </c>
      <c r="C102" t="s">
        <v>416</v>
      </c>
      <c r="D102">
        <v>43.79083</v>
      </c>
      <c r="E102">
        <v>-65.9114</v>
      </c>
      <c r="F102" t="s">
        <v>635</v>
      </c>
      <c r="G102" t="s">
        <v>636</v>
      </c>
      <c r="H102" t="s">
        <v>894</v>
      </c>
    </row>
    <row r="103" spans="1:9" x14ac:dyDescent="0.25">
      <c r="A103" s="18" t="s">
        <v>192</v>
      </c>
      <c r="B103" t="s">
        <v>80</v>
      </c>
      <c r="C103" t="s">
        <v>416</v>
      </c>
      <c r="D103">
        <v>43.72101</v>
      </c>
      <c r="E103">
        <v>-65.845730000000003</v>
      </c>
      <c r="F103" t="s">
        <v>637</v>
      </c>
      <c r="G103" t="s">
        <v>638</v>
      </c>
      <c r="H103" t="s">
        <v>894</v>
      </c>
    </row>
    <row r="104" spans="1:9" x14ac:dyDescent="0.25">
      <c r="A104" s="18" t="s">
        <v>639</v>
      </c>
      <c r="B104" t="s">
        <v>80</v>
      </c>
      <c r="C104" t="s">
        <v>416</v>
      </c>
      <c r="D104">
        <v>43.633560000000003</v>
      </c>
      <c r="E104">
        <v>-66.030330000000006</v>
      </c>
      <c r="F104" t="s">
        <v>640</v>
      </c>
      <c r="G104" t="s">
        <v>641</v>
      </c>
      <c r="H104" t="s">
        <v>894</v>
      </c>
    </row>
    <row r="105" spans="1:9" x14ac:dyDescent="0.25">
      <c r="A105" s="18" t="s">
        <v>197</v>
      </c>
      <c r="B105" t="s">
        <v>80</v>
      </c>
      <c r="C105" t="s">
        <v>416</v>
      </c>
      <c r="D105">
        <v>43.68282</v>
      </c>
      <c r="E105">
        <v>-65.835809999999995</v>
      </c>
      <c r="F105" t="s">
        <v>642</v>
      </c>
      <c r="G105" t="s">
        <v>643</v>
      </c>
      <c r="H105" t="s">
        <v>895</v>
      </c>
    </row>
    <row r="106" spans="1:9" x14ac:dyDescent="0.25">
      <c r="A106" s="18" t="s">
        <v>644</v>
      </c>
      <c r="B106" t="s">
        <v>80</v>
      </c>
      <c r="C106" t="s">
        <v>416</v>
      </c>
      <c r="D106">
        <v>43.637329999999999</v>
      </c>
      <c r="E106">
        <v>-65.821860000000001</v>
      </c>
      <c r="F106" t="s">
        <v>645</v>
      </c>
      <c r="G106" t="s">
        <v>646</v>
      </c>
      <c r="H106" t="s">
        <v>894</v>
      </c>
    </row>
    <row r="107" spans="1:9" x14ac:dyDescent="0.25">
      <c r="A107" s="18" t="s">
        <v>230</v>
      </c>
      <c r="B107" t="s">
        <v>80</v>
      </c>
      <c r="C107" t="s">
        <v>416</v>
      </c>
      <c r="D107">
        <v>43.716079999999998</v>
      </c>
      <c r="E107">
        <v>-65.942689999999999</v>
      </c>
      <c r="F107" t="s">
        <v>647</v>
      </c>
      <c r="G107" t="s">
        <v>648</v>
      </c>
      <c r="H107" t="s">
        <v>894</v>
      </c>
    </row>
    <row r="108" spans="1:9" x14ac:dyDescent="0.25">
      <c r="A108" s="18" t="s">
        <v>233</v>
      </c>
      <c r="B108" t="s">
        <v>80</v>
      </c>
      <c r="C108" t="s">
        <v>416</v>
      </c>
      <c r="D108">
        <v>43.694020000000002</v>
      </c>
      <c r="E108">
        <v>-65.959419999999994</v>
      </c>
      <c r="F108" t="s">
        <v>649</v>
      </c>
      <c r="G108" t="s">
        <v>650</v>
      </c>
      <c r="H108" t="s">
        <v>895</v>
      </c>
    </row>
    <row r="109" spans="1:9" x14ac:dyDescent="0.25">
      <c r="A109" s="18" t="s">
        <v>320</v>
      </c>
      <c r="B109" t="s">
        <v>303</v>
      </c>
      <c r="C109" t="s">
        <v>412</v>
      </c>
      <c r="D109">
        <v>45.894472</v>
      </c>
      <c r="E109">
        <v>-60.572277999999997</v>
      </c>
      <c r="I109" t="s">
        <v>483</v>
      </c>
    </row>
    <row r="110" spans="1:9" x14ac:dyDescent="0.25">
      <c r="A110" s="18">
        <v>1330</v>
      </c>
      <c r="B110" t="s">
        <v>51</v>
      </c>
      <c r="C110" t="s">
        <v>413</v>
      </c>
      <c r="D110">
        <v>46.08417</v>
      </c>
      <c r="E110">
        <v>-61.45722</v>
      </c>
      <c r="F110" t="s">
        <v>651</v>
      </c>
      <c r="G110" t="s">
        <v>652</v>
      </c>
      <c r="H110" t="s">
        <v>894</v>
      </c>
    </row>
    <row r="111" spans="1:9" x14ac:dyDescent="0.25">
      <c r="A111" s="18">
        <v>1331</v>
      </c>
      <c r="B111" t="s">
        <v>51</v>
      </c>
      <c r="C111" t="s">
        <v>413</v>
      </c>
      <c r="D111">
        <v>46.075470000000003</v>
      </c>
      <c r="E111">
        <v>-61.447360000000003</v>
      </c>
      <c r="F111" t="s">
        <v>653</v>
      </c>
      <c r="G111" t="s">
        <v>654</v>
      </c>
      <c r="H111" t="s">
        <v>894</v>
      </c>
    </row>
    <row r="112" spans="1:9" x14ac:dyDescent="0.25">
      <c r="A112" s="18" t="s">
        <v>327</v>
      </c>
      <c r="B112" t="s">
        <v>308</v>
      </c>
      <c r="C112" t="s">
        <v>413</v>
      </c>
      <c r="D112">
        <v>45.938861000000003</v>
      </c>
      <c r="E112">
        <v>-61.107694000000002</v>
      </c>
      <c r="I112" t="s">
        <v>483</v>
      </c>
    </row>
    <row r="113" spans="1:9" x14ac:dyDescent="0.25">
      <c r="A113" s="18" t="s">
        <v>328</v>
      </c>
      <c r="B113" t="s">
        <v>309</v>
      </c>
      <c r="C113" t="s">
        <v>410</v>
      </c>
      <c r="D113">
        <v>46.048194000000002</v>
      </c>
      <c r="E113">
        <v>-60.826582999999999</v>
      </c>
      <c r="I113" t="s">
        <v>483</v>
      </c>
    </row>
    <row r="114" spans="1:9" x14ac:dyDescent="0.25">
      <c r="A114" s="18" t="s">
        <v>325</v>
      </c>
      <c r="B114" t="s">
        <v>307</v>
      </c>
      <c r="C114" t="s">
        <v>410</v>
      </c>
      <c r="D114">
        <v>46.216917000000002</v>
      </c>
      <c r="E114">
        <v>-60.597250000000003</v>
      </c>
      <c r="I114" t="s">
        <v>483</v>
      </c>
    </row>
    <row r="115" spans="1:9" x14ac:dyDescent="0.25">
      <c r="A115" s="18" t="s">
        <v>332</v>
      </c>
      <c r="B115" t="s">
        <v>313</v>
      </c>
      <c r="C115" t="s">
        <v>413</v>
      </c>
      <c r="D115">
        <v>45.874305999999997</v>
      </c>
      <c r="E115">
        <v>-60.996583000000001</v>
      </c>
      <c r="I115" t="s">
        <v>483</v>
      </c>
    </row>
    <row r="116" spans="1:9" x14ac:dyDescent="0.25">
      <c r="A116" s="18" t="s">
        <v>334</v>
      </c>
      <c r="B116" t="s">
        <v>315</v>
      </c>
      <c r="C116" t="s">
        <v>413</v>
      </c>
      <c r="D116">
        <v>45.866</v>
      </c>
      <c r="E116">
        <v>-61.059193999999998</v>
      </c>
      <c r="I116" t="s">
        <v>483</v>
      </c>
    </row>
    <row r="117" spans="1:9" x14ac:dyDescent="0.25">
      <c r="A117" s="18" t="s">
        <v>333</v>
      </c>
      <c r="B117" t="s">
        <v>314</v>
      </c>
      <c r="C117" t="s">
        <v>413</v>
      </c>
      <c r="D117">
        <v>45.870610999999997</v>
      </c>
      <c r="E117">
        <v>-60.933971999999997</v>
      </c>
      <c r="I117" t="s">
        <v>483</v>
      </c>
    </row>
    <row r="118" spans="1:9" x14ac:dyDescent="0.25">
      <c r="A118" s="18" t="s">
        <v>142</v>
      </c>
      <c r="B118" t="s">
        <v>71</v>
      </c>
      <c r="C118" t="s">
        <v>409</v>
      </c>
      <c r="D118">
        <v>44.433439999999997</v>
      </c>
      <c r="E118">
        <v>-64.131609999999995</v>
      </c>
      <c r="F118" t="s">
        <v>655</v>
      </c>
      <c r="G118" t="s">
        <v>656</v>
      </c>
      <c r="H118" t="s">
        <v>895</v>
      </c>
    </row>
    <row r="119" spans="1:9" x14ac:dyDescent="0.25">
      <c r="A119" s="18" t="s">
        <v>161</v>
      </c>
      <c r="B119" t="s">
        <v>71</v>
      </c>
      <c r="C119" t="s">
        <v>409</v>
      </c>
      <c r="D119">
        <v>44.437199999999997</v>
      </c>
      <c r="E119">
        <v>-64.250579999999999</v>
      </c>
      <c r="F119" t="s">
        <v>657</v>
      </c>
      <c r="G119" t="s">
        <v>658</v>
      </c>
      <c r="H119" t="s">
        <v>895</v>
      </c>
    </row>
    <row r="120" spans="1:9" x14ac:dyDescent="0.25">
      <c r="A120" s="18" t="s">
        <v>211</v>
      </c>
      <c r="B120" t="s">
        <v>71</v>
      </c>
      <c r="C120" t="s">
        <v>409</v>
      </c>
      <c r="D120">
        <v>44.543570000000003</v>
      </c>
      <c r="E120">
        <v>-64.173419999999993</v>
      </c>
      <c r="F120" t="s">
        <v>659</v>
      </c>
      <c r="G120" t="s">
        <v>660</v>
      </c>
      <c r="H120" t="s">
        <v>894</v>
      </c>
    </row>
    <row r="121" spans="1:9" x14ac:dyDescent="0.25">
      <c r="A121" s="18" t="s">
        <v>231</v>
      </c>
      <c r="B121" t="s">
        <v>71</v>
      </c>
      <c r="C121" t="s">
        <v>409</v>
      </c>
      <c r="D121">
        <v>44.508870000000002</v>
      </c>
      <c r="E121">
        <v>-64.13297</v>
      </c>
      <c r="F121" t="s">
        <v>661</v>
      </c>
      <c r="G121" t="s">
        <v>662</v>
      </c>
      <c r="H121" t="s">
        <v>895</v>
      </c>
    </row>
    <row r="122" spans="1:9" x14ac:dyDescent="0.25">
      <c r="A122" s="18">
        <v>28</v>
      </c>
      <c r="B122" t="s">
        <v>44</v>
      </c>
      <c r="C122" t="s">
        <v>417</v>
      </c>
      <c r="D122">
        <v>44.962499999999999</v>
      </c>
      <c r="E122">
        <v>-62.060830000000003</v>
      </c>
      <c r="F122" t="s">
        <v>663</v>
      </c>
      <c r="G122" t="s">
        <v>664</v>
      </c>
      <c r="H122" t="s">
        <v>894</v>
      </c>
    </row>
    <row r="123" spans="1:9" x14ac:dyDescent="0.25">
      <c r="A123" s="18" t="s">
        <v>111</v>
      </c>
      <c r="B123" t="s">
        <v>44</v>
      </c>
      <c r="C123" t="s">
        <v>417</v>
      </c>
      <c r="D123">
        <v>44.950200000000002</v>
      </c>
      <c r="E123">
        <v>-62.011069999999997</v>
      </c>
      <c r="F123" t="s">
        <v>665</v>
      </c>
      <c r="G123" t="s">
        <v>666</v>
      </c>
      <c r="H123" t="s">
        <v>895</v>
      </c>
    </row>
    <row r="124" spans="1:9" x14ac:dyDescent="0.25">
      <c r="A124" s="18" t="s">
        <v>153</v>
      </c>
      <c r="B124" t="s">
        <v>44</v>
      </c>
      <c r="C124" t="s">
        <v>417</v>
      </c>
      <c r="D124">
        <v>44.962710000000001</v>
      </c>
      <c r="E124">
        <v>-62.087910000000001</v>
      </c>
      <c r="F124" t="s">
        <v>667</v>
      </c>
      <c r="G124" t="s">
        <v>668</v>
      </c>
      <c r="H124" t="s">
        <v>894</v>
      </c>
    </row>
    <row r="125" spans="1:9" x14ac:dyDescent="0.25">
      <c r="A125" s="18" t="s">
        <v>321</v>
      </c>
      <c r="B125" t="s">
        <v>304</v>
      </c>
      <c r="C125" t="s">
        <v>410</v>
      </c>
      <c r="D125">
        <v>45.930472000000002</v>
      </c>
      <c r="E125">
        <v>-60.932222000000003</v>
      </c>
      <c r="I125" t="s">
        <v>483</v>
      </c>
    </row>
    <row r="126" spans="1:9" x14ac:dyDescent="0.25">
      <c r="A126" s="18" t="s">
        <v>174</v>
      </c>
      <c r="B126" t="s">
        <v>84</v>
      </c>
      <c r="C126" t="s">
        <v>421</v>
      </c>
      <c r="D126">
        <v>45.762810000000002</v>
      </c>
      <c r="E126">
        <v>-63.351370000000003</v>
      </c>
      <c r="F126" t="s">
        <v>669</v>
      </c>
      <c r="G126" t="s">
        <v>670</v>
      </c>
      <c r="H126" t="s">
        <v>894</v>
      </c>
    </row>
    <row r="127" spans="1:9" x14ac:dyDescent="0.25">
      <c r="A127" s="18" t="s">
        <v>175</v>
      </c>
      <c r="B127" t="s">
        <v>84</v>
      </c>
      <c r="C127" t="s">
        <v>421</v>
      </c>
      <c r="D127">
        <v>45.762819999999998</v>
      </c>
      <c r="E127">
        <v>-63.351559999999999</v>
      </c>
      <c r="F127" t="s">
        <v>671</v>
      </c>
      <c r="G127" t="s">
        <v>672</v>
      </c>
      <c r="H127" t="s">
        <v>894</v>
      </c>
    </row>
    <row r="128" spans="1:9" x14ac:dyDescent="0.25">
      <c r="A128" s="18" t="s">
        <v>176</v>
      </c>
      <c r="B128" t="s">
        <v>84</v>
      </c>
      <c r="C128" t="s">
        <v>421</v>
      </c>
      <c r="D128">
        <v>45.762839999999997</v>
      </c>
      <c r="E128">
        <v>-63.351750000000003</v>
      </c>
      <c r="F128" t="s">
        <v>673</v>
      </c>
      <c r="G128" t="s">
        <v>674</v>
      </c>
      <c r="H128" t="s">
        <v>894</v>
      </c>
    </row>
    <row r="129" spans="1:9" x14ac:dyDescent="0.25">
      <c r="A129" s="18" t="s">
        <v>33</v>
      </c>
      <c r="B129" t="s">
        <v>32</v>
      </c>
      <c r="C129" t="s">
        <v>415</v>
      </c>
      <c r="D129">
        <v>44.10013</v>
      </c>
      <c r="E129">
        <v>-64.527829999999994</v>
      </c>
      <c r="F129" t="s">
        <v>675</v>
      </c>
      <c r="G129" t="s">
        <v>676</v>
      </c>
      <c r="H129" t="s">
        <v>895</v>
      </c>
    </row>
    <row r="130" spans="1:9" x14ac:dyDescent="0.25">
      <c r="A130" s="18">
        <v>1369</v>
      </c>
      <c r="B130" t="s">
        <v>55</v>
      </c>
      <c r="C130" t="s">
        <v>414</v>
      </c>
      <c r="D130">
        <v>45.654697499999997</v>
      </c>
      <c r="E130">
        <v>-62.429509400000001</v>
      </c>
      <c r="F130" t="s">
        <v>677</v>
      </c>
      <c r="G130" t="s">
        <v>678</v>
      </c>
      <c r="H130" t="s">
        <v>894</v>
      </c>
      <c r="I130" t="s">
        <v>679</v>
      </c>
    </row>
    <row r="131" spans="1:9" x14ac:dyDescent="0.25">
      <c r="A131" s="18" t="s">
        <v>108</v>
      </c>
      <c r="B131" t="s">
        <v>55</v>
      </c>
      <c r="C131" t="s">
        <v>414</v>
      </c>
      <c r="D131">
        <v>45.632129999999997</v>
      </c>
      <c r="E131">
        <v>-62.505629999999996</v>
      </c>
      <c r="F131" t="s">
        <v>680</v>
      </c>
      <c r="G131" t="s">
        <v>681</v>
      </c>
      <c r="H131" t="s">
        <v>894</v>
      </c>
    </row>
    <row r="132" spans="1:9" x14ac:dyDescent="0.25">
      <c r="A132" s="18" t="s">
        <v>193</v>
      </c>
      <c r="B132" t="s">
        <v>55</v>
      </c>
      <c r="C132" t="s">
        <v>414</v>
      </c>
      <c r="D132">
        <v>45.643929999999997</v>
      </c>
      <c r="E132">
        <v>-62.468119999999999</v>
      </c>
      <c r="F132" t="s">
        <v>682</v>
      </c>
      <c r="G132" t="s">
        <v>683</v>
      </c>
      <c r="H132" t="s">
        <v>895</v>
      </c>
    </row>
    <row r="133" spans="1:9" x14ac:dyDescent="0.25">
      <c r="A133" s="18" t="s">
        <v>339</v>
      </c>
      <c r="B133" t="s">
        <v>340</v>
      </c>
      <c r="C133" t="s">
        <v>408</v>
      </c>
      <c r="D133">
        <v>45.566183000000002</v>
      </c>
      <c r="E133">
        <v>-60.667299999999997</v>
      </c>
      <c r="F133" t="s">
        <v>684</v>
      </c>
      <c r="G133" t="s">
        <v>685</v>
      </c>
      <c r="H133" t="s">
        <v>896</v>
      </c>
    </row>
    <row r="134" spans="1:9" x14ac:dyDescent="0.25">
      <c r="A134" s="18" t="s">
        <v>182</v>
      </c>
      <c r="B134" t="s">
        <v>88</v>
      </c>
      <c r="C134" t="s">
        <v>406</v>
      </c>
      <c r="D134">
        <v>45.654890000000002</v>
      </c>
      <c r="E134">
        <v>-61.82873</v>
      </c>
      <c r="F134" t="s">
        <v>686</v>
      </c>
      <c r="G134" t="s">
        <v>687</v>
      </c>
      <c r="H134" t="s">
        <v>894</v>
      </c>
      <c r="I134" t="s">
        <v>688</v>
      </c>
    </row>
    <row r="135" spans="1:9" x14ac:dyDescent="0.25">
      <c r="A135" s="18" t="s">
        <v>335</v>
      </c>
      <c r="B135" t="s">
        <v>316</v>
      </c>
      <c r="C135" t="s">
        <v>413</v>
      </c>
      <c r="D135">
        <v>45.908332999999999</v>
      </c>
      <c r="E135">
        <v>-61.035806000000001</v>
      </c>
      <c r="I135" t="s">
        <v>483</v>
      </c>
    </row>
    <row r="136" spans="1:9" x14ac:dyDescent="0.25">
      <c r="A136" s="18" t="s">
        <v>150</v>
      </c>
      <c r="B136" t="s">
        <v>73</v>
      </c>
      <c r="C136" t="s">
        <v>420</v>
      </c>
      <c r="D136">
        <v>43.524349999999998</v>
      </c>
      <c r="E136">
        <v>-65.355500000000006</v>
      </c>
      <c r="F136" t="s">
        <v>689</v>
      </c>
      <c r="G136" t="s">
        <v>690</v>
      </c>
      <c r="H136" t="s">
        <v>895</v>
      </c>
    </row>
    <row r="137" spans="1:9" x14ac:dyDescent="0.25">
      <c r="A137" s="18" t="s">
        <v>268</v>
      </c>
      <c r="B137" t="s">
        <v>98</v>
      </c>
      <c r="C137" t="s">
        <v>417</v>
      </c>
      <c r="D137">
        <v>45.159702000000003</v>
      </c>
      <c r="E137">
        <v>-61.403179000000002</v>
      </c>
      <c r="F137" t="s">
        <v>691</v>
      </c>
      <c r="G137" t="s">
        <v>692</v>
      </c>
      <c r="H137" t="s">
        <v>894</v>
      </c>
    </row>
    <row r="138" spans="1:9" x14ac:dyDescent="0.25">
      <c r="A138" s="18" t="s">
        <v>222</v>
      </c>
      <c r="B138" t="s">
        <v>98</v>
      </c>
      <c r="C138" t="s">
        <v>417</v>
      </c>
      <c r="D138">
        <v>45.155050000000003</v>
      </c>
      <c r="E138">
        <v>-61.398519999999998</v>
      </c>
      <c r="F138" t="s">
        <v>693</v>
      </c>
      <c r="G138" t="s">
        <v>694</v>
      </c>
      <c r="H138" t="s">
        <v>895</v>
      </c>
    </row>
    <row r="139" spans="1:9" x14ac:dyDescent="0.25">
      <c r="A139" s="18" t="s">
        <v>341</v>
      </c>
      <c r="B139" t="s">
        <v>342</v>
      </c>
      <c r="C139" t="s">
        <v>410</v>
      </c>
      <c r="D139">
        <v>46.664850000000001</v>
      </c>
      <c r="E139">
        <v>-60.376649999999998</v>
      </c>
      <c r="F139" t="s">
        <v>695</v>
      </c>
      <c r="G139" t="s">
        <v>696</v>
      </c>
      <c r="H139" t="s">
        <v>896</v>
      </c>
    </row>
    <row r="140" spans="1:9" x14ac:dyDescent="0.25">
      <c r="A140" s="18" t="s">
        <v>344</v>
      </c>
      <c r="B140" t="s">
        <v>345</v>
      </c>
      <c r="C140" t="s">
        <v>413</v>
      </c>
      <c r="D140">
        <v>46.092483000000001</v>
      </c>
      <c r="E140">
        <v>-61.505282999999999</v>
      </c>
      <c r="F140" t="s">
        <v>697</v>
      </c>
      <c r="G140" t="s">
        <v>698</v>
      </c>
      <c r="H140" t="s">
        <v>896</v>
      </c>
    </row>
    <row r="141" spans="1:9" x14ac:dyDescent="0.25">
      <c r="A141" s="18">
        <v>745</v>
      </c>
      <c r="B141" t="s">
        <v>305</v>
      </c>
      <c r="C141" t="s">
        <v>410</v>
      </c>
      <c r="D141">
        <v>46.0854</v>
      </c>
      <c r="E141">
        <v>-60.89284</v>
      </c>
      <c r="F141" t="s">
        <v>699</v>
      </c>
      <c r="G141" t="s">
        <v>700</v>
      </c>
      <c r="H141" t="s">
        <v>894</v>
      </c>
    </row>
    <row r="142" spans="1:9" x14ac:dyDescent="0.25">
      <c r="A142" s="18" t="s">
        <v>322</v>
      </c>
      <c r="B142" t="s">
        <v>305</v>
      </c>
      <c r="C142" t="s">
        <v>410</v>
      </c>
      <c r="D142">
        <v>46.080249999999999</v>
      </c>
      <c r="E142">
        <v>-60.876832999999998</v>
      </c>
      <c r="I142" t="s">
        <v>483</v>
      </c>
    </row>
    <row r="143" spans="1:9" x14ac:dyDescent="0.25">
      <c r="A143" s="18" t="s">
        <v>523</v>
      </c>
      <c r="B143" t="s">
        <v>305</v>
      </c>
      <c r="C143" t="s">
        <v>410</v>
      </c>
      <c r="D143">
        <v>46.078710000000001</v>
      </c>
      <c r="E143">
        <v>-60.888930000000002</v>
      </c>
      <c r="F143" t="s">
        <v>524</v>
      </c>
      <c r="G143" t="s">
        <v>525</v>
      </c>
      <c r="H143" t="s">
        <v>895</v>
      </c>
      <c r="I143" t="s">
        <v>526</v>
      </c>
    </row>
    <row r="144" spans="1:9" x14ac:dyDescent="0.25">
      <c r="A144" s="18" t="s">
        <v>701</v>
      </c>
      <c r="B144" t="s">
        <v>422</v>
      </c>
      <c r="C144" t="s">
        <v>413</v>
      </c>
      <c r="D144">
        <v>46.676566999999999</v>
      </c>
      <c r="E144">
        <v>-60.967883</v>
      </c>
      <c r="F144" t="s">
        <v>702</v>
      </c>
      <c r="G144" t="s">
        <v>703</v>
      </c>
      <c r="H144" t="s">
        <v>896</v>
      </c>
    </row>
    <row r="145" spans="1:9" x14ac:dyDescent="0.25">
      <c r="A145" s="18" t="s">
        <v>704</v>
      </c>
      <c r="B145" t="s">
        <v>423</v>
      </c>
      <c r="C145" t="s">
        <v>413</v>
      </c>
      <c r="D145">
        <v>46.449800000000003</v>
      </c>
      <c r="E145">
        <v>-61.117100000000001</v>
      </c>
      <c r="F145" t="s">
        <v>705</v>
      </c>
      <c r="G145" t="s">
        <v>706</v>
      </c>
      <c r="H145" t="s">
        <v>896</v>
      </c>
    </row>
    <row r="146" spans="1:9" x14ac:dyDescent="0.25">
      <c r="A146" s="18" t="s">
        <v>194</v>
      </c>
      <c r="B146" t="s">
        <v>90</v>
      </c>
      <c r="C146" t="s">
        <v>411</v>
      </c>
      <c r="D146">
        <v>44.734119999999997</v>
      </c>
      <c r="E146">
        <v>-62.810119999999998</v>
      </c>
      <c r="F146" t="s">
        <v>707</v>
      </c>
      <c r="G146" t="s">
        <v>708</v>
      </c>
      <c r="H146" t="s">
        <v>894</v>
      </c>
      <c r="I146" t="s">
        <v>709</v>
      </c>
    </row>
    <row r="147" spans="1:9" x14ac:dyDescent="0.25">
      <c r="A147" s="18" t="s">
        <v>710</v>
      </c>
      <c r="B147" t="s">
        <v>424</v>
      </c>
      <c r="C147" t="s">
        <v>411</v>
      </c>
      <c r="D147">
        <v>44.463070000000002</v>
      </c>
      <c r="E147">
        <v>-63.677399999999999</v>
      </c>
      <c r="F147" t="s">
        <v>711</v>
      </c>
      <c r="G147" t="s">
        <v>712</v>
      </c>
      <c r="H147" t="s">
        <v>894</v>
      </c>
    </row>
    <row r="148" spans="1:9" x14ac:dyDescent="0.25">
      <c r="A148" s="18" t="s">
        <v>713</v>
      </c>
      <c r="B148" t="s">
        <v>425</v>
      </c>
      <c r="C148" t="s">
        <v>406</v>
      </c>
      <c r="D148">
        <v>45.611930000000001</v>
      </c>
      <c r="E148">
        <v>-61.786769999999997</v>
      </c>
      <c r="F148" t="s">
        <v>714</v>
      </c>
      <c r="G148" t="s">
        <v>715</v>
      </c>
      <c r="H148" t="s">
        <v>894</v>
      </c>
    </row>
    <row r="149" spans="1:9" x14ac:dyDescent="0.25">
      <c r="A149" s="18" t="s">
        <v>219</v>
      </c>
      <c r="B149" t="s">
        <v>97</v>
      </c>
      <c r="C149" t="s">
        <v>420</v>
      </c>
      <c r="D149">
        <v>43.468299999999999</v>
      </c>
      <c r="E149">
        <v>-65.433040000000005</v>
      </c>
      <c r="F149" t="s">
        <v>716</v>
      </c>
      <c r="G149" t="s">
        <v>717</v>
      </c>
      <c r="H149" t="s">
        <v>894</v>
      </c>
      <c r="I149" t="s">
        <v>718</v>
      </c>
    </row>
    <row r="150" spans="1:9" x14ac:dyDescent="0.25">
      <c r="A150" s="18" t="s">
        <v>220</v>
      </c>
      <c r="B150" t="s">
        <v>97</v>
      </c>
      <c r="C150" t="s">
        <v>420</v>
      </c>
      <c r="D150">
        <v>43.46743</v>
      </c>
      <c r="E150">
        <v>-65.422830000000005</v>
      </c>
      <c r="F150" t="s">
        <v>719</v>
      </c>
      <c r="G150" t="s">
        <v>720</v>
      </c>
      <c r="H150" t="s">
        <v>895</v>
      </c>
    </row>
    <row r="151" spans="1:9" x14ac:dyDescent="0.25">
      <c r="A151" s="18" t="s">
        <v>721</v>
      </c>
      <c r="B151" t="s">
        <v>426</v>
      </c>
      <c r="C151" t="s">
        <v>415</v>
      </c>
      <c r="D151">
        <v>43.942858999999999</v>
      </c>
      <c r="E151">
        <v>-64.723337000000001</v>
      </c>
      <c r="F151" t="s">
        <v>722</v>
      </c>
      <c r="G151" t="s">
        <v>723</v>
      </c>
      <c r="H151" t="s">
        <v>895</v>
      </c>
    </row>
    <row r="152" spans="1:9" x14ac:dyDescent="0.25">
      <c r="A152" s="18" t="s">
        <v>724</v>
      </c>
      <c r="B152" t="s">
        <v>427</v>
      </c>
      <c r="C152" t="s">
        <v>420</v>
      </c>
      <c r="D152">
        <v>43.685746999999999</v>
      </c>
      <c r="E152">
        <v>-65.018190000000004</v>
      </c>
      <c r="F152" t="s">
        <v>725</v>
      </c>
      <c r="G152" t="s">
        <v>726</v>
      </c>
      <c r="H152" t="s">
        <v>895</v>
      </c>
    </row>
    <row r="153" spans="1:9" x14ac:dyDescent="0.25">
      <c r="A153" s="18" t="s">
        <v>331</v>
      </c>
      <c r="B153" t="s">
        <v>312</v>
      </c>
      <c r="C153" t="s">
        <v>413</v>
      </c>
      <c r="D153">
        <v>45.751083000000001</v>
      </c>
      <c r="E153">
        <v>-61.153972000000003</v>
      </c>
      <c r="I153" t="s">
        <v>483</v>
      </c>
    </row>
    <row r="154" spans="1:9" x14ac:dyDescent="0.25">
      <c r="A154" s="18" t="s">
        <v>115</v>
      </c>
      <c r="B154" t="s">
        <v>61</v>
      </c>
      <c r="C154" t="s">
        <v>416</v>
      </c>
      <c r="D154">
        <v>43.81344</v>
      </c>
      <c r="E154">
        <v>-65.912139999999994</v>
      </c>
      <c r="F154" t="s">
        <v>727</v>
      </c>
      <c r="G154" t="s">
        <v>728</v>
      </c>
      <c r="H154" t="s">
        <v>894</v>
      </c>
    </row>
    <row r="155" spans="1:9" x14ac:dyDescent="0.25">
      <c r="A155" s="18" t="s">
        <v>157</v>
      </c>
      <c r="B155" t="s">
        <v>77</v>
      </c>
      <c r="C155" t="s">
        <v>415</v>
      </c>
      <c r="D155">
        <v>43.799370000000003</v>
      </c>
      <c r="E155">
        <v>-64.879019999999997</v>
      </c>
      <c r="F155" t="s">
        <v>729</v>
      </c>
      <c r="G155" t="s">
        <v>730</v>
      </c>
      <c r="H155" t="s">
        <v>895</v>
      </c>
    </row>
    <row r="156" spans="1:9" x14ac:dyDescent="0.25">
      <c r="A156" s="18" t="s">
        <v>93</v>
      </c>
      <c r="B156" t="s">
        <v>93</v>
      </c>
      <c r="C156" t="s">
        <v>411</v>
      </c>
      <c r="D156">
        <v>44.501170000000002</v>
      </c>
      <c r="E156">
        <v>-63.814149999999998</v>
      </c>
      <c r="F156" t="s">
        <v>731</v>
      </c>
      <c r="G156" t="s">
        <v>732</v>
      </c>
      <c r="H156" t="s">
        <v>894</v>
      </c>
    </row>
    <row r="157" spans="1:9" x14ac:dyDescent="0.25">
      <c r="A157" s="18" t="s">
        <v>733</v>
      </c>
      <c r="B157" t="s">
        <v>428</v>
      </c>
      <c r="C157" t="s">
        <v>420</v>
      </c>
      <c r="D157">
        <v>43.469050000000003</v>
      </c>
      <c r="E157">
        <v>-65.740219999999994</v>
      </c>
      <c r="F157" t="s">
        <v>734</v>
      </c>
      <c r="G157" t="s">
        <v>735</v>
      </c>
      <c r="H157" t="s">
        <v>894</v>
      </c>
    </row>
    <row r="158" spans="1:9" x14ac:dyDescent="0.25">
      <c r="A158" s="18" t="s">
        <v>137</v>
      </c>
      <c r="B158" t="s">
        <v>70</v>
      </c>
      <c r="C158" t="s">
        <v>411</v>
      </c>
      <c r="D158">
        <v>44.838590000000003</v>
      </c>
      <c r="E158">
        <v>-62.511699999999998</v>
      </c>
      <c r="F158" t="s">
        <v>736</v>
      </c>
      <c r="G158" t="s">
        <v>737</v>
      </c>
      <c r="H158" t="s">
        <v>894</v>
      </c>
    </row>
    <row r="159" spans="1:9" x14ac:dyDescent="0.25">
      <c r="A159" s="18" t="s">
        <v>177</v>
      </c>
      <c r="B159" t="s">
        <v>85</v>
      </c>
      <c r="C159" t="s">
        <v>420</v>
      </c>
      <c r="D159">
        <v>43.630749999999999</v>
      </c>
      <c r="E159">
        <v>-65.260760000000005</v>
      </c>
      <c r="F159" t="s">
        <v>738</v>
      </c>
      <c r="G159" t="s">
        <v>739</v>
      </c>
      <c r="H159" t="s">
        <v>894</v>
      </c>
    </row>
    <row r="160" spans="1:9" x14ac:dyDescent="0.25">
      <c r="A160" s="18" t="s">
        <v>740</v>
      </c>
      <c r="B160" t="s">
        <v>429</v>
      </c>
      <c r="C160" t="s">
        <v>409</v>
      </c>
      <c r="D160">
        <v>44.220357999999997</v>
      </c>
      <c r="E160">
        <v>-64.308519000000004</v>
      </c>
      <c r="F160" t="s">
        <v>741</v>
      </c>
      <c r="G160" t="s">
        <v>742</v>
      </c>
      <c r="H160" t="s">
        <v>895</v>
      </c>
    </row>
    <row r="161" spans="1:9" x14ac:dyDescent="0.25">
      <c r="A161" s="18" t="s">
        <v>118</v>
      </c>
      <c r="B161" t="s">
        <v>64</v>
      </c>
      <c r="C161" t="s">
        <v>411</v>
      </c>
      <c r="D161">
        <v>44.773110000000003</v>
      </c>
      <c r="E161">
        <v>-62.725850000000001</v>
      </c>
      <c r="F161" t="s">
        <v>743</v>
      </c>
      <c r="G161" t="s">
        <v>744</v>
      </c>
      <c r="H161" t="s">
        <v>894</v>
      </c>
    </row>
    <row r="162" spans="1:9" x14ac:dyDescent="0.25">
      <c r="A162" s="18" t="s">
        <v>276</v>
      </c>
      <c r="B162" t="s">
        <v>277</v>
      </c>
      <c r="C162" t="s">
        <v>411</v>
      </c>
      <c r="D162">
        <v>44.91053333</v>
      </c>
      <c r="E162">
        <v>-62.319983329999999</v>
      </c>
      <c r="F162" t="s">
        <v>745</v>
      </c>
      <c r="G162" t="s">
        <v>746</v>
      </c>
      <c r="H162" t="s">
        <v>894</v>
      </c>
    </row>
    <row r="163" spans="1:9" x14ac:dyDescent="0.25">
      <c r="A163" s="18">
        <v>1323</v>
      </c>
      <c r="B163" t="s">
        <v>50</v>
      </c>
      <c r="C163" t="s">
        <v>411</v>
      </c>
      <c r="D163">
        <v>44.845190000000002</v>
      </c>
      <c r="E163">
        <v>-62.466290000000001</v>
      </c>
      <c r="F163" t="s">
        <v>747</v>
      </c>
      <c r="G163" t="s">
        <v>748</v>
      </c>
      <c r="H163" t="s">
        <v>894</v>
      </c>
    </row>
    <row r="164" spans="1:9" x14ac:dyDescent="0.25">
      <c r="A164" s="18" t="s">
        <v>212</v>
      </c>
      <c r="B164" t="s">
        <v>50</v>
      </c>
      <c r="C164" t="s">
        <v>411</v>
      </c>
      <c r="D164">
        <v>44.838839999999998</v>
      </c>
      <c r="E164">
        <v>-62.471069999999997</v>
      </c>
      <c r="F164" t="s">
        <v>749</v>
      </c>
      <c r="G164" t="s">
        <v>750</v>
      </c>
      <c r="H164" t="s">
        <v>894</v>
      </c>
    </row>
    <row r="165" spans="1:9" x14ac:dyDescent="0.25">
      <c r="A165" s="18" t="s">
        <v>319</v>
      </c>
      <c r="B165" t="s">
        <v>302</v>
      </c>
      <c r="C165" t="s">
        <v>408</v>
      </c>
      <c r="D165">
        <v>45.696666999999998</v>
      </c>
      <c r="E165">
        <v>-60.7425</v>
      </c>
      <c r="I165" t="s">
        <v>483</v>
      </c>
    </row>
    <row r="166" spans="1:9" x14ac:dyDescent="0.25">
      <c r="A166" s="18" t="s">
        <v>214</v>
      </c>
      <c r="B166" t="s">
        <v>96</v>
      </c>
      <c r="C166" t="s">
        <v>411</v>
      </c>
      <c r="D166">
        <v>44.817929999999997</v>
      </c>
      <c r="E166">
        <v>-62.618989999999997</v>
      </c>
      <c r="F166" t="s">
        <v>751</v>
      </c>
      <c r="G166" t="s">
        <v>752</v>
      </c>
      <c r="H166" t="s">
        <v>895</v>
      </c>
    </row>
    <row r="167" spans="1:9" x14ac:dyDescent="0.25">
      <c r="A167" s="18" t="s">
        <v>753</v>
      </c>
      <c r="B167" t="s">
        <v>430</v>
      </c>
      <c r="C167" t="s">
        <v>410</v>
      </c>
      <c r="D167">
        <v>46.263739999999999</v>
      </c>
      <c r="E167">
        <v>-60.554929999999999</v>
      </c>
      <c r="F167" t="s">
        <v>754</v>
      </c>
      <c r="G167" t="s">
        <v>755</v>
      </c>
      <c r="H167" t="s">
        <v>894</v>
      </c>
    </row>
    <row r="168" spans="1:9" x14ac:dyDescent="0.25">
      <c r="A168" s="18" t="s">
        <v>259</v>
      </c>
      <c r="B168" t="s">
        <v>257</v>
      </c>
      <c r="C168" t="s">
        <v>406</v>
      </c>
      <c r="D168">
        <v>45.708033</v>
      </c>
      <c r="E168">
        <v>-61.856532999999999</v>
      </c>
      <c r="F168" t="s">
        <v>756</v>
      </c>
      <c r="G168" t="s">
        <v>757</v>
      </c>
      <c r="H168" t="s">
        <v>894</v>
      </c>
    </row>
    <row r="169" spans="1:9" x14ac:dyDescent="0.25">
      <c r="A169" s="18" t="s">
        <v>260</v>
      </c>
      <c r="B169" t="s">
        <v>257</v>
      </c>
      <c r="C169" t="s">
        <v>406</v>
      </c>
      <c r="D169">
        <v>45.694699999999997</v>
      </c>
      <c r="E169">
        <v>-61.850067000000003</v>
      </c>
      <c r="F169" t="s">
        <v>758</v>
      </c>
      <c r="G169" t="s">
        <v>759</v>
      </c>
      <c r="H169" t="s">
        <v>894</v>
      </c>
    </row>
    <row r="170" spans="1:9" x14ac:dyDescent="0.25">
      <c r="A170" s="18" t="s">
        <v>261</v>
      </c>
      <c r="B170" t="s">
        <v>257</v>
      </c>
      <c r="C170" t="s">
        <v>406</v>
      </c>
      <c r="D170">
        <v>45.698683000000003</v>
      </c>
      <c r="E170">
        <v>-61.863999999999997</v>
      </c>
      <c r="F170" t="s">
        <v>760</v>
      </c>
      <c r="G170" t="s">
        <v>761</v>
      </c>
      <c r="H170" t="s">
        <v>894</v>
      </c>
    </row>
    <row r="171" spans="1:9" x14ac:dyDescent="0.25">
      <c r="A171" s="18" t="s">
        <v>116</v>
      </c>
      <c r="B171" t="s">
        <v>62</v>
      </c>
      <c r="C171" t="s">
        <v>409</v>
      </c>
      <c r="D171">
        <v>44.570010000000003</v>
      </c>
      <c r="E171">
        <v>-64.034459999999996</v>
      </c>
      <c r="F171" t="s">
        <v>762</v>
      </c>
      <c r="G171" t="s">
        <v>763</v>
      </c>
      <c r="H171" t="s">
        <v>895</v>
      </c>
    </row>
    <row r="172" spans="1:9" x14ac:dyDescent="0.25">
      <c r="A172" s="18" t="s">
        <v>764</v>
      </c>
      <c r="B172" t="s">
        <v>62</v>
      </c>
      <c r="C172" t="s">
        <v>409</v>
      </c>
      <c r="D172">
        <v>44.514637999999998</v>
      </c>
      <c r="E172">
        <v>-63.977783000000002</v>
      </c>
      <c r="F172" t="s">
        <v>765</v>
      </c>
      <c r="G172" t="s">
        <v>766</v>
      </c>
      <c r="H172" t="s">
        <v>895</v>
      </c>
    </row>
    <row r="173" spans="1:9" x14ac:dyDescent="0.25">
      <c r="A173" s="18" t="s">
        <v>210</v>
      </c>
      <c r="B173" t="s">
        <v>62</v>
      </c>
      <c r="C173" t="s">
        <v>411</v>
      </c>
      <c r="D173">
        <v>44.557290000000002</v>
      </c>
      <c r="E173">
        <v>-63.954230000000003</v>
      </c>
      <c r="F173" t="s">
        <v>767</v>
      </c>
      <c r="G173" t="s">
        <v>768</v>
      </c>
      <c r="H173" t="s">
        <v>895</v>
      </c>
    </row>
    <row r="174" spans="1:9" x14ac:dyDescent="0.25">
      <c r="A174" s="18" t="s">
        <v>226</v>
      </c>
      <c r="B174" t="s">
        <v>62</v>
      </c>
      <c r="C174" t="s">
        <v>409</v>
      </c>
      <c r="D174">
        <v>44.548290000000001</v>
      </c>
      <c r="E174">
        <v>-64.017420000000001</v>
      </c>
      <c r="F174" t="s">
        <v>769</v>
      </c>
      <c r="G174" t="s">
        <v>770</v>
      </c>
      <c r="H174" t="s">
        <v>895</v>
      </c>
    </row>
    <row r="175" spans="1:9" x14ac:dyDescent="0.25">
      <c r="A175" s="18">
        <v>1012</v>
      </c>
      <c r="B175" t="s">
        <v>47</v>
      </c>
      <c r="C175" t="s">
        <v>419</v>
      </c>
      <c r="D175">
        <v>44.4071</v>
      </c>
      <c r="E175">
        <v>-66.160529999999994</v>
      </c>
      <c r="F175" t="s">
        <v>771</v>
      </c>
      <c r="G175" t="s">
        <v>772</v>
      </c>
      <c r="H175" t="s">
        <v>894</v>
      </c>
    </row>
    <row r="176" spans="1:9" x14ac:dyDescent="0.25">
      <c r="A176" s="18">
        <v>5007</v>
      </c>
      <c r="B176" t="s">
        <v>47</v>
      </c>
      <c r="C176" t="s">
        <v>419</v>
      </c>
      <c r="D176">
        <v>44.539119999999997</v>
      </c>
      <c r="E176">
        <v>-65.957980000000006</v>
      </c>
      <c r="F176" t="s">
        <v>773</v>
      </c>
      <c r="G176" t="s">
        <v>774</v>
      </c>
      <c r="H176" t="s">
        <v>894</v>
      </c>
    </row>
    <row r="177" spans="1:9" x14ac:dyDescent="0.25">
      <c r="A177" s="18">
        <v>5008</v>
      </c>
      <c r="B177" t="s">
        <v>47</v>
      </c>
      <c r="C177" t="s">
        <v>419</v>
      </c>
      <c r="D177">
        <v>44.503839999999997</v>
      </c>
      <c r="E177">
        <v>-65.932299999999998</v>
      </c>
      <c r="F177" t="s">
        <v>775</v>
      </c>
      <c r="G177" t="s">
        <v>776</v>
      </c>
      <c r="H177" t="s">
        <v>894</v>
      </c>
    </row>
    <row r="178" spans="1:9" x14ac:dyDescent="0.25">
      <c r="A178" s="18" t="s">
        <v>127</v>
      </c>
      <c r="B178" t="s">
        <v>47</v>
      </c>
      <c r="C178" t="s">
        <v>419</v>
      </c>
      <c r="D178">
        <v>44.536239999999999</v>
      </c>
      <c r="E178">
        <v>-66.001720000000006</v>
      </c>
      <c r="F178" t="s">
        <v>777</v>
      </c>
      <c r="G178" t="s">
        <v>778</v>
      </c>
      <c r="H178" t="s">
        <v>895</v>
      </c>
    </row>
    <row r="179" spans="1:9" x14ac:dyDescent="0.25">
      <c r="A179" s="18" t="s">
        <v>128</v>
      </c>
      <c r="B179" t="s">
        <v>47</v>
      </c>
      <c r="C179" t="s">
        <v>419</v>
      </c>
      <c r="D179">
        <v>44.532800000000002</v>
      </c>
      <c r="E179">
        <v>-65.984039999999993</v>
      </c>
      <c r="F179" t="s">
        <v>779</v>
      </c>
      <c r="G179" t="s">
        <v>780</v>
      </c>
      <c r="H179" t="s">
        <v>894</v>
      </c>
      <c r="I179" t="s">
        <v>781</v>
      </c>
    </row>
    <row r="180" spans="1:9" x14ac:dyDescent="0.25">
      <c r="A180" s="18" t="s">
        <v>129</v>
      </c>
      <c r="B180" t="s">
        <v>47</v>
      </c>
      <c r="C180" t="s">
        <v>419</v>
      </c>
      <c r="D180">
        <v>44.324019999999997</v>
      </c>
      <c r="E180">
        <v>-66.135679999999994</v>
      </c>
      <c r="F180" t="s">
        <v>782</v>
      </c>
      <c r="G180" t="s">
        <v>783</v>
      </c>
      <c r="H180" t="s">
        <v>894</v>
      </c>
    </row>
    <row r="181" spans="1:9" x14ac:dyDescent="0.25">
      <c r="A181" s="18" t="s">
        <v>130</v>
      </c>
      <c r="B181" t="s">
        <v>47</v>
      </c>
      <c r="C181" t="s">
        <v>419</v>
      </c>
      <c r="D181">
        <v>44.320149999999998</v>
      </c>
      <c r="E181">
        <v>-66.135069999999999</v>
      </c>
      <c r="F181" t="s">
        <v>784</v>
      </c>
      <c r="G181" t="s">
        <v>785</v>
      </c>
      <c r="H181" t="s">
        <v>894</v>
      </c>
    </row>
    <row r="182" spans="1:9" x14ac:dyDescent="0.25">
      <c r="A182" s="18" t="s">
        <v>786</v>
      </c>
      <c r="B182" t="s">
        <v>47</v>
      </c>
      <c r="C182" t="s">
        <v>419</v>
      </c>
      <c r="D182">
        <v>44.38944</v>
      </c>
      <c r="E182">
        <v>-66.176379999999995</v>
      </c>
      <c r="F182" t="s">
        <v>787</v>
      </c>
      <c r="G182" t="s">
        <v>788</v>
      </c>
      <c r="H182" t="s">
        <v>894</v>
      </c>
    </row>
    <row r="183" spans="1:9" x14ac:dyDescent="0.25">
      <c r="A183" s="18" t="s">
        <v>166</v>
      </c>
      <c r="B183" t="s">
        <v>47</v>
      </c>
      <c r="C183" t="s">
        <v>419</v>
      </c>
      <c r="D183">
        <v>44.401519999999998</v>
      </c>
      <c r="E183">
        <v>-66.161270000000002</v>
      </c>
      <c r="F183" t="s">
        <v>789</v>
      </c>
      <c r="G183" t="s">
        <v>790</v>
      </c>
      <c r="H183" t="s">
        <v>894</v>
      </c>
    </row>
    <row r="184" spans="1:9" x14ac:dyDescent="0.25">
      <c r="A184" s="18" t="s">
        <v>167</v>
      </c>
      <c r="B184" t="s">
        <v>47</v>
      </c>
      <c r="C184" t="s">
        <v>419</v>
      </c>
      <c r="D184">
        <v>44.381839999999997</v>
      </c>
      <c r="E184">
        <v>-66.177390000000003</v>
      </c>
      <c r="F184" t="s">
        <v>791</v>
      </c>
      <c r="G184" t="s">
        <v>792</v>
      </c>
      <c r="H184" t="s">
        <v>895</v>
      </c>
    </row>
    <row r="185" spans="1:9" x14ac:dyDescent="0.25">
      <c r="A185" s="18" t="s">
        <v>168</v>
      </c>
      <c r="B185" t="s">
        <v>47</v>
      </c>
      <c r="C185" t="s">
        <v>419</v>
      </c>
      <c r="D185">
        <v>44.350389999999997</v>
      </c>
      <c r="E185">
        <v>-66.224670000000003</v>
      </c>
      <c r="F185" t="s">
        <v>793</v>
      </c>
      <c r="G185" t="s">
        <v>794</v>
      </c>
      <c r="H185" t="s">
        <v>894</v>
      </c>
      <c r="I185" t="s">
        <v>795</v>
      </c>
    </row>
    <row r="186" spans="1:9" x14ac:dyDescent="0.25">
      <c r="A186" s="18" t="s">
        <v>169</v>
      </c>
      <c r="B186" t="s">
        <v>47</v>
      </c>
      <c r="C186" t="s">
        <v>419</v>
      </c>
      <c r="D186">
        <v>44.333500000000001</v>
      </c>
      <c r="E186">
        <v>-66.201880000000003</v>
      </c>
      <c r="F186" t="s">
        <v>796</v>
      </c>
      <c r="G186" t="s">
        <v>797</v>
      </c>
      <c r="H186" t="s">
        <v>895</v>
      </c>
    </row>
    <row r="187" spans="1:9" x14ac:dyDescent="0.25">
      <c r="A187" s="18" t="s">
        <v>798</v>
      </c>
      <c r="B187" t="s">
        <v>47</v>
      </c>
      <c r="C187" t="s">
        <v>419</v>
      </c>
      <c r="D187">
        <v>44.333199999999998</v>
      </c>
      <c r="E187">
        <v>-66.243510000000001</v>
      </c>
      <c r="F187" t="s">
        <v>799</v>
      </c>
      <c r="G187" t="s">
        <v>800</v>
      </c>
      <c r="H187" t="s">
        <v>894</v>
      </c>
    </row>
    <row r="188" spans="1:9" x14ac:dyDescent="0.25">
      <c r="A188" s="18" t="s">
        <v>181</v>
      </c>
      <c r="B188" t="s">
        <v>47</v>
      </c>
      <c r="C188" t="s">
        <v>419</v>
      </c>
      <c r="D188">
        <v>44.386839999999999</v>
      </c>
      <c r="E188">
        <v>-66.144239999999996</v>
      </c>
      <c r="F188" t="s">
        <v>801</v>
      </c>
      <c r="G188" t="s">
        <v>802</v>
      </c>
      <c r="H188" t="s">
        <v>894</v>
      </c>
    </row>
    <row r="189" spans="1:9" x14ac:dyDescent="0.25">
      <c r="A189" s="18" t="s">
        <v>206</v>
      </c>
      <c r="B189" t="s">
        <v>47</v>
      </c>
      <c r="C189" t="s">
        <v>419</v>
      </c>
      <c r="D189">
        <v>44.485700000000001</v>
      </c>
      <c r="E189">
        <v>-66.059460000000001</v>
      </c>
      <c r="F189" t="s">
        <v>803</v>
      </c>
      <c r="G189" t="s">
        <v>804</v>
      </c>
      <c r="H189" t="s">
        <v>895</v>
      </c>
      <c r="I189" t="s">
        <v>805</v>
      </c>
    </row>
    <row r="190" spans="1:9" x14ac:dyDescent="0.25">
      <c r="A190" s="18" t="s">
        <v>163</v>
      </c>
      <c r="B190" t="s">
        <v>81</v>
      </c>
      <c r="C190" t="s">
        <v>417</v>
      </c>
      <c r="D190">
        <v>45.078110000000002</v>
      </c>
      <c r="E190">
        <v>-61.93844</v>
      </c>
      <c r="F190" t="s">
        <v>806</v>
      </c>
      <c r="G190" t="s">
        <v>807</v>
      </c>
      <c r="H190" t="s">
        <v>894</v>
      </c>
    </row>
    <row r="191" spans="1:9" x14ac:dyDescent="0.25">
      <c r="A191" s="18" t="s">
        <v>164</v>
      </c>
      <c r="B191" t="s">
        <v>81</v>
      </c>
      <c r="C191" t="s">
        <v>417</v>
      </c>
      <c r="D191">
        <v>45.071190000000001</v>
      </c>
      <c r="E191">
        <v>-61.926720000000003</v>
      </c>
      <c r="F191" t="s">
        <v>808</v>
      </c>
      <c r="G191" t="s">
        <v>809</v>
      </c>
      <c r="H191" t="s">
        <v>894</v>
      </c>
    </row>
    <row r="192" spans="1:9" x14ac:dyDescent="0.25">
      <c r="A192" s="18" t="s">
        <v>165</v>
      </c>
      <c r="B192" t="s">
        <v>81</v>
      </c>
      <c r="C192" t="s">
        <v>417</v>
      </c>
      <c r="D192">
        <v>45.067889999999998</v>
      </c>
      <c r="E192">
        <v>-61.914059999999999</v>
      </c>
      <c r="F192" t="s">
        <v>810</v>
      </c>
      <c r="G192" t="s">
        <v>811</v>
      </c>
      <c r="H192" t="s">
        <v>894</v>
      </c>
    </row>
    <row r="193" spans="1:9" x14ac:dyDescent="0.25">
      <c r="A193" s="18" t="s">
        <v>170</v>
      </c>
      <c r="B193" t="s">
        <v>81</v>
      </c>
      <c r="C193" t="s">
        <v>417</v>
      </c>
      <c r="D193">
        <v>45.071190000000001</v>
      </c>
      <c r="E193">
        <v>-61.926720000000003</v>
      </c>
      <c r="F193" t="s">
        <v>808</v>
      </c>
      <c r="G193" t="s">
        <v>809</v>
      </c>
      <c r="H193" t="s">
        <v>894</v>
      </c>
      <c r="I193" t="s">
        <v>812</v>
      </c>
    </row>
    <row r="194" spans="1:9" x14ac:dyDescent="0.25">
      <c r="A194" s="18">
        <v>778</v>
      </c>
      <c r="B194" t="s">
        <v>431</v>
      </c>
      <c r="C194" t="s">
        <v>408</v>
      </c>
      <c r="D194">
        <v>45.661830000000002</v>
      </c>
      <c r="E194">
        <v>-60.847610000000003</v>
      </c>
      <c r="F194" t="s">
        <v>813</v>
      </c>
      <c r="G194" t="s">
        <v>814</v>
      </c>
      <c r="H194" t="s">
        <v>894</v>
      </c>
    </row>
    <row r="195" spans="1:9" x14ac:dyDescent="0.25">
      <c r="A195" s="18">
        <v>994</v>
      </c>
      <c r="B195" t="s">
        <v>431</v>
      </c>
      <c r="C195" t="s">
        <v>408</v>
      </c>
      <c r="D195">
        <v>45.655329999999999</v>
      </c>
      <c r="E195">
        <v>-60.84581</v>
      </c>
      <c r="F195" t="s">
        <v>815</v>
      </c>
      <c r="G195" t="s">
        <v>816</v>
      </c>
      <c r="H195" t="s">
        <v>894</v>
      </c>
    </row>
    <row r="196" spans="1:9" x14ac:dyDescent="0.25">
      <c r="A196" s="18" t="s">
        <v>121</v>
      </c>
      <c r="B196" t="s">
        <v>66</v>
      </c>
      <c r="C196" t="s">
        <v>413</v>
      </c>
      <c r="D196">
        <v>45.646880000000003</v>
      </c>
      <c r="E196">
        <v>-61.411470000000001</v>
      </c>
      <c r="F196" t="s">
        <v>817</v>
      </c>
      <c r="G196" t="s">
        <v>818</v>
      </c>
      <c r="H196" t="s">
        <v>894</v>
      </c>
    </row>
    <row r="197" spans="1:9" x14ac:dyDescent="0.25">
      <c r="A197" s="18" t="s">
        <v>139</v>
      </c>
      <c r="B197" t="s">
        <v>66</v>
      </c>
      <c r="C197" t="s">
        <v>417</v>
      </c>
      <c r="D197">
        <v>45.525170000000003</v>
      </c>
      <c r="E197">
        <v>-61.25535</v>
      </c>
      <c r="F197" t="s">
        <v>819</v>
      </c>
      <c r="G197" t="s">
        <v>820</v>
      </c>
      <c r="H197" t="s">
        <v>894</v>
      </c>
    </row>
    <row r="198" spans="1:9" x14ac:dyDescent="0.25">
      <c r="A198" s="18" t="s">
        <v>195</v>
      </c>
      <c r="B198" t="s">
        <v>66</v>
      </c>
      <c r="C198" t="s">
        <v>417</v>
      </c>
      <c r="D198">
        <v>45.589300000000001</v>
      </c>
      <c r="E198">
        <v>-61.379440000000002</v>
      </c>
      <c r="F198" t="s">
        <v>821</v>
      </c>
      <c r="G198" t="s">
        <v>822</v>
      </c>
      <c r="H198" t="s">
        <v>895</v>
      </c>
    </row>
    <row r="199" spans="1:9" x14ac:dyDescent="0.25">
      <c r="A199" s="18" t="s">
        <v>196</v>
      </c>
      <c r="B199" t="s">
        <v>66</v>
      </c>
      <c r="C199" t="s">
        <v>413</v>
      </c>
      <c r="D199">
        <v>45.595860000000002</v>
      </c>
      <c r="E199">
        <v>-61.363819999999997</v>
      </c>
      <c r="F199" t="s">
        <v>823</v>
      </c>
      <c r="G199" t="s">
        <v>824</v>
      </c>
      <c r="H199" t="s">
        <v>894</v>
      </c>
    </row>
    <row r="200" spans="1:9" x14ac:dyDescent="0.25">
      <c r="A200" s="18" t="s">
        <v>825</v>
      </c>
      <c r="B200" t="s">
        <v>66</v>
      </c>
      <c r="C200" t="s">
        <v>413</v>
      </c>
      <c r="D200">
        <v>45.594499999999996</v>
      </c>
      <c r="E200">
        <v>-61.363819999999997</v>
      </c>
      <c r="F200" t="s">
        <v>826</v>
      </c>
      <c r="G200" t="s">
        <v>824</v>
      </c>
      <c r="H200" t="s">
        <v>894</v>
      </c>
    </row>
    <row r="201" spans="1:9" x14ac:dyDescent="0.25">
      <c r="A201" s="18" t="s">
        <v>891</v>
      </c>
      <c r="B201" t="s">
        <v>66</v>
      </c>
      <c r="C201" t="s">
        <v>413</v>
      </c>
      <c r="F201" t="s">
        <v>892</v>
      </c>
      <c r="G201" t="s">
        <v>893</v>
      </c>
      <c r="H201" t="s">
        <v>895</v>
      </c>
    </row>
    <row r="202" spans="1:9" x14ac:dyDescent="0.25">
      <c r="A202" s="18" t="s">
        <v>173</v>
      </c>
      <c r="B202" t="s">
        <v>83</v>
      </c>
      <c r="C202" t="s">
        <v>421</v>
      </c>
      <c r="D202">
        <v>45.783160000000002</v>
      </c>
      <c r="E202">
        <v>-63.225169999999999</v>
      </c>
      <c r="F202" t="s">
        <v>827</v>
      </c>
      <c r="G202" t="s">
        <v>828</v>
      </c>
      <c r="H202" t="s">
        <v>894</v>
      </c>
    </row>
    <row r="203" spans="1:9" x14ac:dyDescent="0.25">
      <c r="A203" s="18" t="s">
        <v>126</v>
      </c>
      <c r="B203" t="s">
        <v>68</v>
      </c>
      <c r="C203" t="s">
        <v>417</v>
      </c>
      <c r="D203">
        <v>45.225650000000002</v>
      </c>
      <c r="E203">
        <v>-61.29616</v>
      </c>
      <c r="F203" t="s">
        <v>829</v>
      </c>
      <c r="G203" t="s">
        <v>830</v>
      </c>
      <c r="H203" t="s">
        <v>895</v>
      </c>
      <c r="I203" t="s">
        <v>831</v>
      </c>
    </row>
    <row r="204" spans="1:9" x14ac:dyDescent="0.25">
      <c r="A204" s="18" t="s">
        <v>140</v>
      </c>
      <c r="B204" t="s">
        <v>68</v>
      </c>
      <c r="C204" t="s">
        <v>417</v>
      </c>
      <c r="D204">
        <v>45.250070000000001</v>
      </c>
      <c r="E204">
        <v>-61.298659999999998</v>
      </c>
      <c r="F204" t="s">
        <v>832</v>
      </c>
      <c r="G204" t="s">
        <v>833</v>
      </c>
      <c r="H204" t="s">
        <v>894</v>
      </c>
    </row>
    <row r="205" spans="1:9" x14ac:dyDescent="0.25">
      <c r="A205" s="18" t="s">
        <v>155</v>
      </c>
      <c r="B205" t="s">
        <v>68</v>
      </c>
      <c r="C205" t="s">
        <v>417</v>
      </c>
      <c r="D205">
        <v>45.207680000000003</v>
      </c>
      <c r="E205">
        <v>-61.353189999999998</v>
      </c>
      <c r="F205" t="s">
        <v>834</v>
      </c>
      <c r="G205" t="s">
        <v>835</v>
      </c>
      <c r="H205" t="s">
        <v>894</v>
      </c>
    </row>
    <row r="206" spans="1:9" x14ac:dyDescent="0.25">
      <c r="A206" s="18" t="s">
        <v>218</v>
      </c>
      <c r="B206" t="s">
        <v>68</v>
      </c>
      <c r="C206" t="s">
        <v>417</v>
      </c>
      <c r="D206">
        <v>45.230179999999997</v>
      </c>
      <c r="E206">
        <v>-61.253390000000003</v>
      </c>
      <c r="F206" t="s">
        <v>836</v>
      </c>
      <c r="G206" t="s">
        <v>837</v>
      </c>
      <c r="H206" t="s">
        <v>894</v>
      </c>
    </row>
    <row r="207" spans="1:9" x14ac:dyDescent="0.25">
      <c r="A207" s="18" t="s">
        <v>227</v>
      </c>
      <c r="B207" t="s">
        <v>99</v>
      </c>
      <c r="C207" t="s">
        <v>406</v>
      </c>
      <c r="D207">
        <v>45.643909999999998</v>
      </c>
      <c r="E207">
        <v>-61.647590000000001</v>
      </c>
      <c r="F207" t="s">
        <v>838</v>
      </c>
      <c r="G207" t="s">
        <v>839</v>
      </c>
      <c r="H207" t="s">
        <v>894</v>
      </c>
    </row>
    <row r="208" spans="1:9" x14ac:dyDescent="0.25">
      <c r="A208" s="18" t="s">
        <v>228</v>
      </c>
      <c r="B208" t="s">
        <v>99</v>
      </c>
      <c r="C208" t="s">
        <v>406</v>
      </c>
      <c r="D208">
        <v>45.644039999999997</v>
      </c>
      <c r="E208">
        <v>-61.647759999999998</v>
      </c>
      <c r="F208" t="s">
        <v>840</v>
      </c>
      <c r="G208" t="s">
        <v>841</v>
      </c>
      <c r="H208" t="s">
        <v>894</v>
      </c>
    </row>
    <row r="209" spans="1:9" x14ac:dyDescent="0.25">
      <c r="A209" s="18" t="s">
        <v>229</v>
      </c>
      <c r="B209" t="s">
        <v>99</v>
      </c>
      <c r="C209" t="s">
        <v>406</v>
      </c>
      <c r="D209">
        <v>45.644170000000003</v>
      </c>
      <c r="E209">
        <v>-61.647889999999997</v>
      </c>
      <c r="F209" t="s">
        <v>842</v>
      </c>
      <c r="G209" t="s">
        <v>843</v>
      </c>
      <c r="H209" t="s">
        <v>894</v>
      </c>
    </row>
    <row r="210" spans="1:9" x14ac:dyDescent="0.25">
      <c r="A210" s="18">
        <v>1199</v>
      </c>
      <c r="B210" t="s">
        <v>49</v>
      </c>
      <c r="C210" t="s">
        <v>417</v>
      </c>
      <c r="D210">
        <v>45.274290000000001</v>
      </c>
      <c r="E210">
        <v>-61.128439999999998</v>
      </c>
      <c r="F210" t="s">
        <v>844</v>
      </c>
      <c r="G210" t="s">
        <v>845</v>
      </c>
      <c r="H210" t="s">
        <v>894</v>
      </c>
      <c r="I210" t="s">
        <v>846</v>
      </c>
    </row>
    <row r="211" spans="1:9" x14ac:dyDescent="0.25">
      <c r="A211" s="18" t="s">
        <v>109</v>
      </c>
      <c r="B211" t="s">
        <v>49</v>
      </c>
      <c r="C211" t="s">
        <v>417</v>
      </c>
      <c r="D211">
        <v>45.198680000000003</v>
      </c>
      <c r="E211">
        <v>-61.188630000000003</v>
      </c>
      <c r="F211" t="s">
        <v>847</v>
      </c>
      <c r="G211" t="s">
        <v>848</v>
      </c>
      <c r="H211" t="s">
        <v>894</v>
      </c>
    </row>
    <row r="212" spans="1:9" x14ac:dyDescent="0.25">
      <c r="A212" s="18" t="s">
        <v>119</v>
      </c>
      <c r="B212" t="s">
        <v>49</v>
      </c>
      <c r="C212" t="s">
        <v>417</v>
      </c>
      <c r="D212">
        <v>45.255710000000001</v>
      </c>
      <c r="E212">
        <v>-61.146680000000003</v>
      </c>
      <c r="F212" t="s">
        <v>849</v>
      </c>
      <c r="G212" t="s">
        <v>850</v>
      </c>
      <c r="H212" t="s">
        <v>896</v>
      </c>
    </row>
    <row r="213" spans="1:9" x14ac:dyDescent="0.25">
      <c r="A213" s="18" t="s">
        <v>141</v>
      </c>
      <c r="B213" t="s">
        <v>49</v>
      </c>
      <c r="C213" t="s">
        <v>417</v>
      </c>
      <c r="D213">
        <v>45.23997</v>
      </c>
      <c r="E213">
        <v>-61.168379999999999</v>
      </c>
      <c r="F213" t="s">
        <v>851</v>
      </c>
      <c r="G213" t="s">
        <v>852</v>
      </c>
      <c r="H213" t="s">
        <v>896</v>
      </c>
    </row>
    <row r="214" spans="1:9" x14ac:dyDescent="0.25">
      <c r="A214" s="18" t="s">
        <v>148</v>
      </c>
      <c r="B214" t="s">
        <v>49</v>
      </c>
      <c r="C214" t="s">
        <v>417</v>
      </c>
      <c r="D214">
        <v>45.23836</v>
      </c>
      <c r="E214">
        <v>-61.150509999999997</v>
      </c>
      <c r="F214" t="s">
        <v>853</v>
      </c>
      <c r="G214" t="s">
        <v>854</v>
      </c>
      <c r="H214" t="s">
        <v>896</v>
      </c>
    </row>
    <row r="215" spans="1:9" x14ac:dyDescent="0.25">
      <c r="A215" s="18" t="s">
        <v>186</v>
      </c>
      <c r="B215" t="s">
        <v>49</v>
      </c>
      <c r="C215" t="s">
        <v>417</v>
      </c>
      <c r="D215">
        <v>45.239899999999999</v>
      </c>
      <c r="E215">
        <v>-61.152700000000003</v>
      </c>
      <c r="F215" t="s">
        <v>855</v>
      </c>
      <c r="G215" t="s">
        <v>856</v>
      </c>
      <c r="H215" t="s">
        <v>894</v>
      </c>
    </row>
    <row r="216" spans="1:9" x14ac:dyDescent="0.25">
      <c r="A216" s="18" t="s">
        <v>188</v>
      </c>
      <c r="B216" t="s">
        <v>49</v>
      </c>
      <c r="C216" t="s">
        <v>417</v>
      </c>
      <c r="D216">
        <v>45.270620000000001</v>
      </c>
      <c r="E216">
        <v>-61.134999999999998</v>
      </c>
      <c r="F216" t="s">
        <v>857</v>
      </c>
      <c r="G216" t="s">
        <v>858</v>
      </c>
      <c r="H216" t="s">
        <v>896</v>
      </c>
    </row>
    <row r="217" spans="1:9" x14ac:dyDescent="0.25">
      <c r="A217" s="18" t="s">
        <v>189</v>
      </c>
      <c r="B217" t="s">
        <v>49</v>
      </c>
      <c r="C217" t="s">
        <v>417</v>
      </c>
      <c r="D217">
        <v>45.286740000000002</v>
      </c>
      <c r="E217">
        <v>-61.168349999999997</v>
      </c>
      <c r="F217" t="s">
        <v>859</v>
      </c>
      <c r="G217" t="s">
        <v>860</v>
      </c>
      <c r="H217" t="s">
        <v>896</v>
      </c>
    </row>
    <row r="218" spans="1:9" x14ac:dyDescent="0.25">
      <c r="A218" s="18" t="s">
        <v>221</v>
      </c>
      <c r="B218" t="s">
        <v>49</v>
      </c>
      <c r="C218" t="s">
        <v>417</v>
      </c>
      <c r="D218">
        <v>45.237589999999997</v>
      </c>
      <c r="E218">
        <v>-61.149470000000001</v>
      </c>
      <c r="F218" t="s">
        <v>861</v>
      </c>
      <c r="G218" t="s">
        <v>862</v>
      </c>
      <c r="H218" t="s">
        <v>895</v>
      </c>
    </row>
    <row r="219" spans="1:9" x14ac:dyDescent="0.25">
      <c r="A219" s="18" t="s">
        <v>297</v>
      </c>
      <c r="B219" t="s">
        <v>49</v>
      </c>
      <c r="C219" t="s">
        <v>417</v>
      </c>
      <c r="D219">
        <v>45.239060000000002</v>
      </c>
      <c r="E219">
        <v>-61.149619999999999</v>
      </c>
      <c r="F219" t="s">
        <v>863</v>
      </c>
      <c r="G219" t="s">
        <v>864</v>
      </c>
      <c r="H219" t="s">
        <v>894</v>
      </c>
    </row>
    <row r="220" spans="1:9" x14ac:dyDescent="0.25">
      <c r="A220" s="18" t="s">
        <v>223</v>
      </c>
      <c r="B220" t="s">
        <v>49</v>
      </c>
      <c r="C220" t="s">
        <v>417</v>
      </c>
      <c r="D220">
        <v>45.249290000000002</v>
      </c>
      <c r="E220">
        <v>-61.146769999999997</v>
      </c>
      <c r="F220" t="s">
        <v>865</v>
      </c>
      <c r="G220" t="s">
        <v>866</v>
      </c>
      <c r="H220" t="s">
        <v>896</v>
      </c>
    </row>
    <row r="221" spans="1:9" x14ac:dyDescent="0.25">
      <c r="A221" s="18" t="s">
        <v>235</v>
      </c>
      <c r="B221" t="s">
        <v>49</v>
      </c>
      <c r="C221" t="s">
        <v>417</v>
      </c>
      <c r="D221">
        <v>45.246490000000001</v>
      </c>
      <c r="E221">
        <v>-61.156199999999998</v>
      </c>
      <c r="F221" t="s">
        <v>867</v>
      </c>
      <c r="G221" t="s">
        <v>868</v>
      </c>
      <c r="H221" t="s">
        <v>896</v>
      </c>
    </row>
    <row r="222" spans="1:9" x14ac:dyDescent="0.25">
      <c r="A222" s="18" t="s">
        <v>236</v>
      </c>
      <c r="B222" t="s">
        <v>49</v>
      </c>
      <c r="C222" t="s">
        <v>417</v>
      </c>
      <c r="D222">
        <v>45.233609999999999</v>
      </c>
      <c r="E222">
        <v>-61.158479999999997</v>
      </c>
      <c r="F222" t="s">
        <v>869</v>
      </c>
      <c r="G222" t="s">
        <v>870</v>
      </c>
      <c r="H222" t="s">
        <v>896</v>
      </c>
    </row>
    <row r="223" spans="1:9" x14ac:dyDescent="0.25">
      <c r="A223" s="18" t="s">
        <v>871</v>
      </c>
      <c r="B223" t="s">
        <v>52</v>
      </c>
      <c r="C223" t="s">
        <v>413</v>
      </c>
      <c r="D223">
        <v>45.951259999999998</v>
      </c>
      <c r="E223">
        <v>-61.120710000000003</v>
      </c>
      <c r="F223" t="s">
        <v>872</v>
      </c>
      <c r="G223" t="s">
        <v>873</v>
      </c>
      <c r="H223" t="s">
        <v>894</v>
      </c>
    </row>
    <row r="224" spans="1:9" x14ac:dyDescent="0.25">
      <c r="A224" s="18" t="s">
        <v>874</v>
      </c>
      <c r="B224" t="s">
        <v>52</v>
      </c>
      <c r="C224" t="s">
        <v>413</v>
      </c>
      <c r="D224">
        <v>45.94547</v>
      </c>
      <c r="E224">
        <v>-61.129170000000002</v>
      </c>
      <c r="F224" t="s">
        <v>875</v>
      </c>
      <c r="G224" t="s">
        <v>876</v>
      </c>
      <c r="H224" t="s">
        <v>894</v>
      </c>
    </row>
    <row r="225" spans="1:9" x14ac:dyDescent="0.25">
      <c r="A225" s="18" t="s">
        <v>132</v>
      </c>
      <c r="B225" t="s">
        <v>52</v>
      </c>
      <c r="C225" t="s">
        <v>413</v>
      </c>
      <c r="D225">
        <v>45.948509999999999</v>
      </c>
      <c r="E225">
        <v>-61.124659999999999</v>
      </c>
      <c r="F225" t="s">
        <v>877</v>
      </c>
      <c r="G225" t="s">
        <v>878</v>
      </c>
      <c r="H225" t="s">
        <v>894</v>
      </c>
    </row>
    <row r="226" spans="1:9" x14ac:dyDescent="0.25">
      <c r="A226" s="18" t="s">
        <v>104</v>
      </c>
      <c r="B226" t="s">
        <v>53</v>
      </c>
      <c r="C226" t="s">
        <v>413</v>
      </c>
      <c r="D226">
        <v>45.976080000000003</v>
      </c>
      <c r="E226">
        <v>-61.022680000000001</v>
      </c>
      <c r="F226" t="s">
        <v>879</v>
      </c>
      <c r="G226" t="s">
        <v>880</v>
      </c>
      <c r="H226" t="s">
        <v>894</v>
      </c>
    </row>
    <row r="227" spans="1:9" x14ac:dyDescent="0.25">
      <c r="A227" s="18" t="s">
        <v>326</v>
      </c>
      <c r="B227" t="s">
        <v>53</v>
      </c>
      <c r="C227" t="s">
        <v>413</v>
      </c>
      <c r="D227">
        <v>45.979666999999999</v>
      </c>
      <c r="E227">
        <v>-61.028832999999999</v>
      </c>
      <c r="I227" t="s">
        <v>483</v>
      </c>
    </row>
    <row r="228" spans="1:9" x14ac:dyDescent="0.25">
      <c r="A228" s="18" t="s">
        <v>336</v>
      </c>
      <c r="B228" t="s">
        <v>53</v>
      </c>
      <c r="C228" t="s">
        <v>413</v>
      </c>
      <c r="D228">
        <v>45.957861000000001</v>
      </c>
      <c r="E228">
        <v>-61.001582999999997</v>
      </c>
      <c r="I228" t="s">
        <v>483</v>
      </c>
    </row>
    <row r="229" spans="1:9" x14ac:dyDescent="0.25">
      <c r="A229" s="18" t="s">
        <v>101</v>
      </c>
      <c r="B229" t="s">
        <v>101</v>
      </c>
      <c r="C229" t="s">
        <v>417</v>
      </c>
      <c r="D229">
        <v>45.072290000000002</v>
      </c>
      <c r="E229">
        <v>-61.86092</v>
      </c>
      <c r="F229" t="s">
        <v>881</v>
      </c>
      <c r="G229" t="s">
        <v>882</v>
      </c>
      <c r="H229" t="s">
        <v>895</v>
      </c>
    </row>
    <row r="230" spans="1:9" x14ac:dyDescent="0.25">
      <c r="A230" s="18" t="s">
        <v>120</v>
      </c>
      <c r="B230" t="s">
        <v>65</v>
      </c>
      <c r="C230" t="s">
        <v>420</v>
      </c>
      <c r="D230">
        <v>43.497140000000002</v>
      </c>
      <c r="E230">
        <v>-65.737840000000006</v>
      </c>
      <c r="F230" t="s">
        <v>883</v>
      </c>
      <c r="G230" t="s">
        <v>884</v>
      </c>
      <c r="H230" t="s">
        <v>894</v>
      </c>
    </row>
    <row r="231" spans="1:9" x14ac:dyDescent="0.25">
      <c r="A231" s="18" t="s">
        <v>919</v>
      </c>
      <c r="B231" t="s">
        <v>47</v>
      </c>
      <c r="C231" t="s">
        <v>419</v>
      </c>
      <c r="F231" t="s">
        <v>920</v>
      </c>
      <c r="G231" t="s">
        <v>921</v>
      </c>
      <c r="H231" t="s">
        <v>895</v>
      </c>
    </row>
  </sheetData>
  <autoFilter ref="A1:I225" xr:uid="{F9178D97-480E-4A1C-A868-3FF779D47BC0}">
    <sortState xmlns:xlrd2="http://schemas.microsoft.com/office/spreadsheetml/2017/richdata2" ref="A2:I230">
      <sortCondition ref="B1:B225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BE4C6-3F93-489F-ACED-C7B3A538ED98}">
  <dimension ref="A1:E41"/>
  <sheetViews>
    <sheetView workbookViewId="0">
      <selection activeCell="A33" sqref="A33"/>
    </sheetView>
  </sheetViews>
  <sheetFormatPr defaultRowHeight="16.899999999999999" customHeight="1" x14ac:dyDescent="0.25"/>
  <cols>
    <col min="1" max="1" width="33.28515625" bestFit="1" customWidth="1"/>
    <col min="2" max="2" width="96" bestFit="1" customWidth="1"/>
    <col min="3" max="3" width="61.7109375" bestFit="1" customWidth="1"/>
    <col min="4" max="4" width="140.7109375" bestFit="1" customWidth="1"/>
    <col min="5" max="5" width="134.42578125" bestFit="1" customWidth="1"/>
  </cols>
  <sheetData>
    <row r="1" spans="1:5" ht="16.899999999999999" customHeight="1" thickBot="1" x14ac:dyDescent="0.3">
      <c r="A1" s="12" t="s">
        <v>347</v>
      </c>
      <c r="B1" s="12" t="s">
        <v>348</v>
      </c>
      <c r="C1" s="12" t="s">
        <v>349</v>
      </c>
      <c r="D1" s="12" t="s">
        <v>350</v>
      </c>
      <c r="E1" s="12" t="s">
        <v>351</v>
      </c>
    </row>
    <row r="2" spans="1:5" ht="16.899999999999999" customHeight="1" thickBot="1" x14ac:dyDescent="0.3">
      <c r="A2" s="11" t="s">
        <v>254</v>
      </c>
      <c r="B2" s="11" t="s">
        <v>352</v>
      </c>
      <c r="C2" s="11" t="s">
        <v>353</v>
      </c>
      <c r="D2" s="13">
        <v>45526</v>
      </c>
      <c r="E2" s="11"/>
    </row>
    <row r="3" spans="1:5" ht="16.899999999999999" customHeight="1" thickBot="1" x14ac:dyDescent="0.3">
      <c r="A3" s="11" t="s">
        <v>1</v>
      </c>
      <c r="B3" s="11" t="s">
        <v>354</v>
      </c>
      <c r="C3" s="14" t="s">
        <v>355</v>
      </c>
      <c r="D3" s="11" t="s">
        <v>109</v>
      </c>
      <c r="E3" s="11" t="s">
        <v>356</v>
      </c>
    </row>
    <row r="4" spans="1:5" ht="16.899999999999999" customHeight="1" thickBot="1" x14ac:dyDescent="0.3">
      <c r="A4" s="11" t="s">
        <v>405</v>
      </c>
      <c r="B4" s="11" t="s">
        <v>432</v>
      </c>
      <c r="C4" s="14"/>
      <c r="D4" s="11"/>
      <c r="E4" s="11"/>
    </row>
    <row r="5" spans="1:5" ht="16.899999999999999" customHeight="1" thickBot="1" x14ac:dyDescent="0.3">
      <c r="A5" s="11" t="s">
        <v>0</v>
      </c>
      <c r="B5" s="11" t="s">
        <v>357</v>
      </c>
      <c r="C5" s="14" t="s">
        <v>355</v>
      </c>
      <c r="D5" s="11" t="s">
        <v>95</v>
      </c>
      <c r="E5" s="11" t="s">
        <v>358</v>
      </c>
    </row>
    <row r="6" spans="1:5" ht="16.899999999999999" customHeight="1" thickBot="1" x14ac:dyDescent="0.3">
      <c r="A6" s="11" t="s">
        <v>2</v>
      </c>
      <c r="B6" s="11" t="s">
        <v>359</v>
      </c>
      <c r="C6" s="11"/>
      <c r="D6" s="11">
        <v>1443</v>
      </c>
      <c r="E6" s="11"/>
    </row>
    <row r="7" spans="1:5" ht="16.899999999999999" customHeight="1" thickBot="1" x14ac:dyDescent="0.3">
      <c r="A7" s="11" t="s">
        <v>3</v>
      </c>
      <c r="B7" s="11" t="s">
        <v>360</v>
      </c>
      <c r="C7" s="11"/>
      <c r="D7" s="11" t="s">
        <v>34</v>
      </c>
      <c r="E7" s="11" t="s">
        <v>361</v>
      </c>
    </row>
    <row r="8" spans="1:5" ht="16.899999999999999" customHeight="1" thickBot="1" x14ac:dyDescent="0.3">
      <c r="A8" s="11" t="s">
        <v>4</v>
      </c>
      <c r="B8" s="11" t="s">
        <v>362</v>
      </c>
      <c r="C8" s="11" t="s">
        <v>353</v>
      </c>
      <c r="D8" s="13">
        <v>45404</v>
      </c>
      <c r="E8" s="11"/>
    </row>
    <row r="9" spans="1:5" ht="16.899999999999999" customHeight="1" thickBot="1" x14ac:dyDescent="0.3">
      <c r="A9" s="11" t="s">
        <v>5</v>
      </c>
      <c r="B9" s="11" t="s">
        <v>363</v>
      </c>
      <c r="C9" s="11" t="s">
        <v>364</v>
      </c>
      <c r="D9" s="15">
        <v>0.60624999999999996</v>
      </c>
      <c r="E9" s="11"/>
    </row>
    <row r="10" spans="1:5" ht="16.899999999999999" customHeight="1" thickBot="1" x14ac:dyDescent="0.3">
      <c r="A10" s="11" t="s">
        <v>6</v>
      </c>
      <c r="B10" s="11" t="s">
        <v>365</v>
      </c>
      <c r="C10" s="11" t="s">
        <v>353</v>
      </c>
      <c r="D10" s="13">
        <v>45384</v>
      </c>
      <c r="E10" s="11"/>
    </row>
    <row r="11" spans="1:5" ht="16.899999999999999" customHeight="1" thickBot="1" x14ac:dyDescent="0.3">
      <c r="A11" s="11" t="s">
        <v>7</v>
      </c>
      <c r="B11" s="11" t="s">
        <v>366</v>
      </c>
      <c r="C11" s="11" t="s">
        <v>364</v>
      </c>
      <c r="D11" s="15">
        <v>0.60624999999999996</v>
      </c>
      <c r="E11" s="11"/>
    </row>
    <row r="12" spans="1:5" ht="16.899999999999999" customHeight="1" thickBot="1" x14ac:dyDescent="0.3">
      <c r="A12" s="11" t="s">
        <v>8</v>
      </c>
      <c r="B12" s="11" t="s">
        <v>367</v>
      </c>
      <c r="C12" s="11" t="s">
        <v>368</v>
      </c>
      <c r="D12" s="11">
        <v>43.770429999999998</v>
      </c>
      <c r="E12" s="11"/>
    </row>
    <row r="13" spans="1:5" ht="16.899999999999999" customHeight="1" thickBot="1" x14ac:dyDescent="0.3">
      <c r="A13" s="11" t="s">
        <v>9</v>
      </c>
      <c r="B13" s="11" t="s">
        <v>369</v>
      </c>
      <c r="C13" s="11" t="s">
        <v>368</v>
      </c>
      <c r="D13" s="11">
        <v>-66.135149999999996</v>
      </c>
      <c r="E13" s="11"/>
    </row>
    <row r="14" spans="1:5" ht="16.899999999999999" customHeight="1" thickBot="1" x14ac:dyDescent="0.3">
      <c r="A14" s="11" t="s">
        <v>10</v>
      </c>
      <c r="B14" s="11" t="s">
        <v>370</v>
      </c>
      <c r="C14" s="11" t="s">
        <v>368</v>
      </c>
      <c r="D14" s="11">
        <v>44.570148000000003</v>
      </c>
      <c r="E14" s="11"/>
    </row>
    <row r="15" spans="1:5" ht="16.899999999999999" customHeight="1" thickBot="1" x14ac:dyDescent="0.3">
      <c r="A15" s="11" t="s">
        <v>11</v>
      </c>
      <c r="B15" s="11" t="s">
        <v>371</v>
      </c>
      <c r="C15" s="11" t="s">
        <v>368</v>
      </c>
      <c r="D15" s="11">
        <v>-64.034546000000006</v>
      </c>
      <c r="E15" s="11"/>
    </row>
    <row r="16" spans="1:5" ht="16.899999999999999" customHeight="1" thickBot="1" x14ac:dyDescent="0.3">
      <c r="A16" s="11" t="s">
        <v>251</v>
      </c>
      <c r="B16" s="11" t="s">
        <v>372</v>
      </c>
      <c r="C16" s="11" t="s">
        <v>373</v>
      </c>
      <c r="D16" s="11" t="s">
        <v>264</v>
      </c>
      <c r="E16" s="11"/>
    </row>
    <row r="17" spans="1:5" ht="16.899999999999999" customHeight="1" thickBot="1" x14ac:dyDescent="0.3">
      <c r="A17" s="11" t="s">
        <v>250</v>
      </c>
      <c r="B17" s="11" t="s">
        <v>374</v>
      </c>
      <c r="C17" s="11" t="s">
        <v>373</v>
      </c>
      <c r="D17" s="11" t="s">
        <v>265</v>
      </c>
      <c r="E17" s="11"/>
    </row>
    <row r="18" spans="1:5" ht="16.899999999999999" customHeight="1" thickBot="1" x14ac:dyDescent="0.3">
      <c r="A18" s="11" t="s">
        <v>252</v>
      </c>
      <c r="B18" s="11" t="s">
        <v>375</v>
      </c>
      <c r="C18" s="11" t="s">
        <v>373</v>
      </c>
      <c r="D18" s="11" t="s">
        <v>262</v>
      </c>
      <c r="E18" s="11"/>
    </row>
    <row r="19" spans="1:5" ht="16.899999999999999" customHeight="1" thickBot="1" x14ac:dyDescent="0.3">
      <c r="A19" s="11" t="s">
        <v>253</v>
      </c>
      <c r="B19" s="11" t="s">
        <v>376</v>
      </c>
      <c r="C19" s="11" t="s">
        <v>373</v>
      </c>
      <c r="D19" s="11" t="s">
        <v>263</v>
      </c>
      <c r="E19" s="11"/>
    </row>
    <row r="20" spans="1:5" ht="16.899999999999999" customHeight="1" thickBot="1" x14ac:dyDescent="0.3">
      <c r="A20" s="11" t="s">
        <v>12</v>
      </c>
      <c r="B20" s="11" t="s">
        <v>377</v>
      </c>
      <c r="C20" s="11"/>
      <c r="D20" s="11" t="s">
        <v>240</v>
      </c>
      <c r="E20" s="11" t="s">
        <v>378</v>
      </c>
    </row>
    <row r="21" spans="1:5" ht="16.899999999999999" customHeight="1" thickBot="1" x14ac:dyDescent="0.3">
      <c r="A21" s="11" t="s">
        <v>13</v>
      </c>
      <c r="B21" s="11" t="s">
        <v>379</v>
      </c>
      <c r="C21" s="11"/>
      <c r="D21" s="11">
        <v>680324</v>
      </c>
      <c r="E21" s="11"/>
    </row>
    <row r="22" spans="1:5" ht="16.899999999999999" customHeight="1" thickBot="1" x14ac:dyDescent="0.3">
      <c r="A22" s="11" t="s">
        <v>14</v>
      </c>
      <c r="B22" s="11" t="s">
        <v>380</v>
      </c>
      <c r="C22" s="11"/>
      <c r="D22" s="11">
        <v>1</v>
      </c>
      <c r="E22" s="11"/>
    </row>
    <row r="23" spans="1:5" ht="16.899999999999999" customHeight="1" thickBot="1" x14ac:dyDescent="0.3">
      <c r="A23" s="11" t="s">
        <v>16</v>
      </c>
      <c r="B23" s="11" t="s">
        <v>381</v>
      </c>
      <c r="C23" s="11"/>
      <c r="D23" s="11" t="s">
        <v>36</v>
      </c>
      <c r="E23" s="11" t="s">
        <v>382</v>
      </c>
    </row>
    <row r="24" spans="1:5" ht="16.899999999999999" customHeight="1" thickBot="1" x14ac:dyDescent="0.3">
      <c r="A24" s="11" t="s">
        <v>17</v>
      </c>
      <c r="B24" s="11" t="s">
        <v>383</v>
      </c>
      <c r="C24" s="11"/>
      <c r="D24" s="11">
        <v>13.1</v>
      </c>
      <c r="E24" s="11"/>
    </row>
    <row r="25" spans="1:5" ht="16.899999999999999" customHeight="1" thickBot="1" x14ac:dyDescent="0.3">
      <c r="A25" s="11" t="s">
        <v>15</v>
      </c>
      <c r="B25" s="11" t="s">
        <v>384</v>
      </c>
      <c r="C25" s="11"/>
      <c r="D25" s="11" t="s">
        <v>35</v>
      </c>
      <c r="E25" s="11" t="s">
        <v>385</v>
      </c>
    </row>
    <row r="26" spans="1:5" ht="16.899999999999999" customHeight="1" thickBot="1" x14ac:dyDescent="0.3">
      <c r="A26" s="11" t="s">
        <v>18</v>
      </c>
      <c r="B26" s="11" t="s">
        <v>386</v>
      </c>
      <c r="C26" s="14" t="s">
        <v>387</v>
      </c>
      <c r="D26" s="11">
        <v>0.3</v>
      </c>
      <c r="E26" s="11"/>
    </row>
    <row r="27" spans="1:5" ht="16.899999999999999" customHeight="1" thickBot="1" x14ac:dyDescent="0.3">
      <c r="A27" s="11" t="s">
        <v>20</v>
      </c>
      <c r="B27" s="11" t="s">
        <v>388</v>
      </c>
      <c r="C27" s="11"/>
      <c r="D27" s="11">
        <v>1</v>
      </c>
      <c r="E27" s="11"/>
    </row>
    <row r="28" spans="1:5" ht="16.899999999999999" customHeight="1" thickBot="1" x14ac:dyDescent="0.3">
      <c r="A28" s="11" t="s">
        <v>19</v>
      </c>
      <c r="B28" s="11" t="s">
        <v>389</v>
      </c>
      <c r="C28" s="11"/>
      <c r="D28" s="11" t="s">
        <v>242</v>
      </c>
      <c r="E28" s="11" t="s">
        <v>390</v>
      </c>
    </row>
    <row r="29" spans="1:5" ht="16.899999999999999" customHeight="1" thickBot="1" x14ac:dyDescent="0.3">
      <c r="A29" s="11" t="s">
        <v>23</v>
      </c>
      <c r="B29" s="11" t="s">
        <v>391</v>
      </c>
      <c r="C29" s="11"/>
      <c r="D29" s="11" t="s">
        <v>38</v>
      </c>
      <c r="E29" s="11" t="s">
        <v>392</v>
      </c>
    </row>
    <row r="30" spans="1:5" ht="16.899999999999999" customHeight="1" thickBot="1" x14ac:dyDescent="0.3">
      <c r="A30" s="11" t="s">
        <v>24</v>
      </c>
      <c r="B30" s="11" t="s">
        <v>393</v>
      </c>
      <c r="C30" s="11"/>
      <c r="D30" s="11" t="s">
        <v>39</v>
      </c>
      <c r="E30" s="11" t="s">
        <v>392</v>
      </c>
    </row>
    <row r="31" spans="1:5" ht="16.899999999999999" customHeight="1" thickBot="1" x14ac:dyDescent="0.3">
      <c r="A31" s="11" t="s">
        <v>25</v>
      </c>
      <c r="B31" s="11" t="s">
        <v>394</v>
      </c>
      <c r="C31" s="11"/>
      <c r="D31" s="11" t="s">
        <v>39</v>
      </c>
      <c r="E31" s="11" t="s">
        <v>392</v>
      </c>
    </row>
    <row r="32" spans="1:5" ht="16.899999999999999" customHeight="1" thickBot="1" x14ac:dyDescent="0.3">
      <c r="A32" s="11" t="s">
        <v>886</v>
      </c>
      <c r="B32" s="11" t="s">
        <v>887</v>
      </c>
      <c r="C32" s="11"/>
      <c r="D32" s="11" t="s">
        <v>890</v>
      </c>
      <c r="E32" s="11" t="s">
        <v>889</v>
      </c>
    </row>
    <row r="33" spans="1:5" ht="16.899999999999999" customHeight="1" thickBot="1" x14ac:dyDescent="0.3">
      <c r="A33" s="11" t="s">
        <v>885</v>
      </c>
      <c r="B33" s="11" t="s">
        <v>888</v>
      </c>
      <c r="C33" s="11"/>
      <c r="D33" s="11">
        <v>1</v>
      </c>
      <c r="E33" s="11"/>
    </row>
    <row r="34" spans="1:5" ht="16.899999999999999" customHeight="1" thickBot="1" x14ac:dyDescent="0.3">
      <c r="A34" s="11" t="s">
        <v>21</v>
      </c>
      <c r="B34" s="11" t="s">
        <v>395</v>
      </c>
      <c r="C34" s="11"/>
      <c r="D34" s="11" t="s">
        <v>37</v>
      </c>
      <c r="E34" s="11"/>
    </row>
    <row r="35" spans="1:5" ht="16.899999999999999" customHeight="1" thickBot="1" x14ac:dyDescent="0.3">
      <c r="A35" s="11" t="s">
        <v>22</v>
      </c>
      <c r="B35" s="11" t="s">
        <v>396</v>
      </c>
      <c r="C35" s="11"/>
      <c r="D35" s="11">
        <v>60</v>
      </c>
      <c r="E35" s="11"/>
    </row>
    <row r="36" spans="1:5" ht="16.899999999999999" customHeight="1" thickBot="1" x14ac:dyDescent="0.3">
      <c r="A36" s="11" t="s">
        <v>26</v>
      </c>
      <c r="B36" s="11" t="s">
        <v>397</v>
      </c>
      <c r="C36" s="11"/>
      <c r="D36" s="11" t="s">
        <v>40</v>
      </c>
      <c r="E36" s="11" t="s">
        <v>398</v>
      </c>
    </row>
    <row r="37" spans="1:5" ht="16.899999999999999" customHeight="1" thickBot="1" x14ac:dyDescent="0.3">
      <c r="A37" s="11" t="s">
        <v>29</v>
      </c>
      <c r="B37" s="11" t="s">
        <v>399</v>
      </c>
      <c r="C37" s="11"/>
      <c r="D37" s="11" t="s">
        <v>238</v>
      </c>
      <c r="E37" s="11"/>
    </row>
    <row r="38" spans="1:5" ht="16.899999999999999" customHeight="1" thickBot="1" x14ac:dyDescent="0.3">
      <c r="A38" s="11" t="s">
        <v>30</v>
      </c>
      <c r="B38" s="11" t="s">
        <v>400</v>
      </c>
      <c r="C38" s="11"/>
      <c r="D38" s="11" t="s">
        <v>35</v>
      </c>
      <c r="E38" s="11" t="s">
        <v>385</v>
      </c>
    </row>
    <row r="39" spans="1:5" ht="16.899999999999999" customHeight="1" thickBot="1" x14ac:dyDescent="0.3">
      <c r="A39" s="11" t="s">
        <v>27</v>
      </c>
      <c r="B39" s="11" t="s">
        <v>401</v>
      </c>
      <c r="C39" s="11"/>
      <c r="D39" s="11" t="s">
        <v>402</v>
      </c>
      <c r="E39" s="11"/>
    </row>
    <row r="40" spans="1:5" ht="16.899999999999999" customHeight="1" thickBot="1" x14ac:dyDescent="0.3">
      <c r="A40" s="11" t="s">
        <v>28</v>
      </c>
      <c r="B40" s="11" t="s">
        <v>403</v>
      </c>
      <c r="C40" s="11"/>
      <c r="D40" s="11" t="s">
        <v>402</v>
      </c>
      <c r="E40" s="11"/>
    </row>
    <row r="41" spans="1:5" ht="16.899999999999999" customHeight="1" thickBot="1" x14ac:dyDescent="0.3">
      <c r="A41" s="11" t="s">
        <v>31</v>
      </c>
      <c r="B41" s="11" t="s">
        <v>404</v>
      </c>
      <c r="C41" s="11"/>
      <c r="D41" s="16" t="s">
        <v>269</v>
      </c>
      <c r="E41" s="11"/>
    </row>
  </sheetData>
  <hyperlinks>
    <hyperlink ref="C3" r:id="rId1" display="https://geonames.nrcan.gc.ca/search-place-names/search?_gl=1*g1h5mk*_ga*NDY0MTMzMDUxLjE2ODkyNTM1ODg.*_ga_C2N57Y7DX5*MTcyNDM0MjgwMy4xLjAuMTcyNDM0MjgwMy4wLjAuMA.." xr:uid="{0F1FB8EF-4EC4-477C-B42D-14BF9EF74C97}"/>
    <hyperlink ref="C5" r:id="rId2" display="https://geonames.nrcan.gc.ca/search-place-names/search?_gl=1*g1h5mk*_ga*NDY0MTMzMDUxLjE2ODkyNTM1ODg.*_ga_C2N57Y7DX5*MTcyNDM0MjgwMy4xLjAuMTcyNDM0MjgwMy4wLjAuMA.." xr:uid="{8E017E88-48C3-43C6-AE93-DF22A5DC17DC}"/>
    <hyperlink ref="C26" r:id="rId3" display="https://tides.gc.ca/en/stations/00353/2024-08-22?tz=ADT&amp;unit=m" xr:uid="{74695836-CA10-4BB7-AFD2-703BBC9BE8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tracker</vt:lpstr>
      <vt:lpstr>station_waterbody_county</vt:lpstr>
      <vt:lpstr>column_key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Torrie</dc:creator>
  <cp:lastModifiedBy>Rachel Woodside</cp:lastModifiedBy>
  <dcterms:created xsi:type="dcterms:W3CDTF">2015-06-05T18:17:20Z</dcterms:created>
  <dcterms:modified xsi:type="dcterms:W3CDTF">2025-10-28T14:06:10Z</dcterms:modified>
</cp:coreProperties>
</file>